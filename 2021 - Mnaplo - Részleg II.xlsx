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izsa\Downloads\"/>
    </mc:Choice>
  </mc:AlternateContent>
  <xr:revisionPtr revIDLastSave="0" documentId="13_ncr:1_{299E08ED-BC58-4ED2-943B-64F323A9551B}" xr6:coauthVersionLast="45" xr6:coauthVersionMax="45" xr10:uidLastSave="{00000000-0000-0000-0000-000000000000}"/>
  <bookViews>
    <workbookView xWindow="-10695" yWindow="4695" windowWidth="21600" windowHeight="11385" firstSheet="1" activeTab="2" xr2:uid="{00000000-000D-0000-FFFF-FFFF00000000}"/>
  </bookViews>
  <sheets>
    <sheet name="2021" sheetId="1" state="hidden" r:id="rId1"/>
    <sheet name="ÖSSZES" sheetId="3" r:id="rId2"/>
    <sheet name="A" sheetId="4" r:id="rId3"/>
  </sheets>
  <calcPr calcId="181029"/>
</workbook>
</file>

<file path=xl/calcChain.xml><?xml version="1.0" encoding="utf-8"?>
<calcChain xmlns="http://schemas.openxmlformats.org/spreadsheetml/2006/main">
  <c r="Q27" i="3" l="1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AI269" i="4"/>
  <c r="Q4" i="3" s="1"/>
  <c r="AI270" i="4"/>
  <c r="Q5" i="3" s="1"/>
  <c r="AI271" i="4"/>
  <c r="Q6" i="3" s="1"/>
  <c r="AI272" i="4"/>
  <c r="Q7" i="3" s="1"/>
  <c r="AI273" i="4"/>
  <c r="Q8" i="3" s="1"/>
  <c r="AI274" i="4"/>
  <c r="Q9" i="3" s="1"/>
  <c r="AI275" i="4"/>
  <c r="Q10" i="3" s="1"/>
  <c r="AI276" i="4"/>
  <c r="Q11" i="3" s="1"/>
  <c r="AI277" i="4"/>
  <c r="Q12" i="3" s="1"/>
  <c r="AI278" i="4"/>
  <c r="Q13" i="3" s="1"/>
  <c r="AI279" i="4"/>
  <c r="Q14" i="3" s="1"/>
  <c r="AI280" i="4"/>
  <c r="Q15" i="3" s="1"/>
  <c r="AI281" i="4"/>
  <c r="Q16" i="3" s="1"/>
  <c r="AI282" i="4"/>
  <c r="Q17" i="3" s="1"/>
  <c r="AI283" i="4"/>
  <c r="Q18" i="3" s="1"/>
  <c r="AI284" i="4"/>
  <c r="Q19" i="3" s="1"/>
  <c r="AI285" i="4"/>
  <c r="Q20" i="3" s="1"/>
  <c r="AI286" i="4"/>
  <c r="Q21" i="3" s="1"/>
  <c r="AI287" i="4"/>
  <c r="Q22" i="3" s="1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73" i="3"/>
  <c r="P74" i="3"/>
  <c r="P75" i="3"/>
  <c r="P77" i="3"/>
  <c r="P79" i="3"/>
  <c r="P80" i="3"/>
  <c r="P81" i="3"/>
  <c r="P82" i="3"/>
  <c r="P83" i="3"/>
  <c r="P85" i="3"/>
  <c r="P86" i="3"/>
  <c r="P87" i="3"/>
  <c r="P89" i="3"/>
  <c r="P90" i="3"/>
  <c r="P91" i="3"/>
  <c r="P97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AI245" i="4"/>
  <c r="P4" i="3" s="1"/>
  <c r="AI246" i="4"/>
  <c r="P5" i="3" s="1"/>
  <c r="AI247" i="4"/>
  <c r="P6" i="3" s="1"/>
  <c r="AI248" i="4"/>
  <c r="P7" i="3" s="1"/>
  <c r="AI249" i="4"/>
  <c r="P8" i="3" s="1"/>
  <c r="AI250" i="4"/>
  <c r="AI251" i="4"/>
  <c r="P10" i="3" s="1"/>
  <c r="AI252" i="4"/>
  <c r="P11" i="3" s="1"/>
  <c r="AI253" i="4"/>
  <c r="P12" i="3" s="1"/>
  <c r="AI254" i="4"/>
  <c r="P13" i="3" s="1"/>
  <c r="AI255" i="4"/>
  <c r="P14" i="3" s="1"/>
  <c r="AI256" i="4"/>
  <c r="P15" i="3" s="1"/>
  <c r="AI257" i="4"/>
  <c r="P16" i="3" s="1"/>
  <c r="AI258" i="4"/>
  <c r="P17" i="3" s="1"/>
  <c r="AI259" i="4"/>
  <c r="P18" i="3" s="1"/>
  <c r="AI260" i="4"/>
  <c r="P19" i="3" s="1"/>
  <c r="AI261" i="4"/>
  <c r="P20" i="3" s="1"/>
  <c r="AI262" i="4"/>
  <c r="P21" i="3" s="1"/>
  <c r="AI263" i="4"/>
  <c r="P22" i="3" s="1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6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1" i="3"/>
  <c r="O112" i="3"/>
  <c r="O113" i="3"/>
  <c r="O114" i="3"/>
  <c r="AI221" i="4"/>
  <c r="O4" i="3" s="1"/>
  <c r="AI222" i="4"/>
  <c r="O5" i="3" s="1"/>
  <c r="AI223" i="4"/>
  <c r="O6" i="3" s="1"/>
  <c r="AI224" i="4"/>
  <c r="O7" i="3" s="1"/>
  <c r="AI225" i="4"/>
  <c r="O8" i="3" s="1"/>
  <c r="AI226" i="4"/>
  <c r="O9" i="3" s="1"/>
  <c r="AI227" i="4"/>
  <c r="O10" i="3" s="1"/>
  <c r="AI228" i="4"/>
  <c r="O11" i="3" s="1"/>
  <c r="AI229" i="4"/>
  <c r="O12" i="3" s="1"/>
  <c r="AI230" i="4"/>
  <c r="O13" i="3" s="1"/>
  <c r="AI231" i="4"/>
  <c r="O14" i="3" s="1"/>
  <c r="AI232" i="4"/>
  <c r="O15" i="3" s="1"/>
  <c r="AI233" i="4"/>
  <c r="O16" i="3" s="1"/>
  <c r="AI234" i="4"/>
  <c r="O17" i="3" s="1"/>
  <c r="AI235" i="4"/>
  <c r="AI236" i="4"/>
  <c r="O19" i="3" s="1"/>
  <c r="AI237" i="4"/>
  <c r="O20" i="3" s="1"/>
  <c r="AI238" i="4"/>
  <c r="O21" i="3" s="1"/>
  <c r="AI239" i="4"/>
  <c r="O22" i="3" s="1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51" i="3"/>
  <c r="N52" i="3"/>
  <c r="N53" i="3"/>
  <c r="N54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6" i="3"/>
  <c r="N97" i="3"/>
  <c r="N98" i="3"/>
  <c r="N99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AI197" i="4"/>
  <c r="N4" i="3" s="1"/>
  <c r="AI198" i="4"/>
  <c r="N5" i="3" s="1"/>
  <c r="AI199" i="4"/>
  <c r="N6" i="3" s="1"/>
  <c r="AI200" i="4"/>
  <c r="N7" i="3" s="1"/>
  <c r="AI201" i="4"/>
  <c r="N8" i="3" s="1"/>
  <c r="AI202" i="4"/>
  <c r="N9" i="3" s="1"/>
  <c r="AI203" i="4"/>
  <c r="N10" i="3" s="1"/>
  <c r="AI204" i="4"/>
  <c r="N11" i="3" s="1"/>
  <c r="AI205" i="4"/>
  <c r="N12" i="3" s="1"/>
  <c r="AI206" i="4"/>
  <c r="N13" i="3" s="1"/>
  <c r="AI207" i="4"/>
  <c r="N14" i="3" s="1"/>
  <c r="AI208" i="4"/>
  <c r="N15" i="3" s="1"/>
  <c r="AI209" i="4"/>
  <c r="N16" i="3" s="1"/>
  <c r="AI210" i="4"/>
  <c r="N17" i="3" s="1"/>
  <c r="AI211" i="4"/>
  <c r="N18" i="3" s="1"/>
  <c r="AI212" i="4"/>
  <c r="N19" i="3" s="1"/>
  <c r="AI213" i="4"/>
  <c r="N20" i="3" s="1"/>
  <c r="AI214" i="4"/>
  <c r="N21" i="3" s="1"/>
  <c r="AI215" i="4"/>
  <c r="N22" i="3" s="1"/>
  <c r="M27" i="3"/>
  <c r="M28" i="3"/>
  <c r="M29" i="3"/>
  <c r="M30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AI173" i="4"/>
  <c r="AI174" i="4"/>
  <c r="M5" i="3" s="1"/>
  <c r="AI175" i="4"/>
  <c r="M6" i="3" s="1"/>
  <c r="AI176" i="4"/>
  <c r="M7" i="3" s="1"/>
  <c r="AI177" i="4"/>
  <c r="M8" i="3" s="1"/>
  <c r="AI178" i="4"/>
  <c r="M9" i="3" s="1"/>
  <c r="AI179" i="4"/>
  <c r="M10" i="3" s="1"/>
  <c r="AI180" i="4"/>
  <c r="M11" i="3" s="1"/>
  <c r="AI181" i="4"/>
  <c r="M12" i="3" s="1"/>
  <c r="AI182" i="4"/>
  <c r="M13" i="3" s="1"/>
  <c r="AI183" i="4"/>
  <c r="M14" i="3" s="1"/>
  <c r="AI184" i="4"/>
  <c r="M15" i="3" s="1"/>
  <c r="AI185" i="4"/>
  <c r="M16" i="3" s="1"/>
  <c r="AI186" i="4"/>
  <c r="M17" i="3" s="1"/>
  <c r="AI187" i="4"/>
  <c r="M18" i="3" s="1"/>
  <c r="AI188" i="4"/>
  <c r="M19" i="3" s="1"/>
  <c r="AI189" i="4"/>
  <c r="M20" i="3" s="1"/>
  <c r="AI190" i="4"/>
  <c r="M21" i="3" s="1"/>
  <c r="AI191" i="4"/>
  <c r="M22" i="3" s="1"/>
  <c r="L27" i="3"/>
  <c r="L28" i="3"/>
  <c r="L29" i="3"/>
  <c r="L30" i="3"/>
  <c r="L31" i="3"/>
  <c r="L32" i="3"/>
  <c r="L33" i="3"/>
  <c r="L35" i="3"/>
  <c r="L37" i="3"/>
  <c r="L38" i="3"/>
  <c r="L39" i="3"/>
  <c r="L41" i="3"/>
  <c r="L42" i="3"/>
  <c r="L43" i="3"/>
  <c r="L44" i="3"/>
  <c r="L45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AI149" i="4"/>
  <c r="L4" i="3" s="1"/>
  <c r="AI150" i="4"/>
  <c r="L5" i="3" s="1"/>
  <c r="AI151" i="4"/>
  <c r="L6" i="3" s="1"/>
  <c r="AI152" i="4"/>
  <c r="L7" i="3" s="1"/>
  <c r="AI153" i="4"/>
  <c r="L8" i="3" s="1"/>
  <c r="AI154" i="4"/>
  <c r="L9" i="3" s="1"/>
  <c r="AI155" i="4"/>
  <c r="L10" i="3" s="1"/>
  <c r="AI156" i="4"/>
  <c r="L11" i="3" s="1"/>
  <c r="AI157" i="4"/>
  <c r="L12" i="3" s="1"/>
  <c r="AI158" i="4"/>
  <c r="L13" i="3" s="1"/>
  <c r="AI159" i="4"/>
  <c r="L14" i="3" s="1"/>
  <c r="AI160" i="4"/>
  <c r="L15" i="3" s="1"/>
  <c r="AI161" i="4"/>
  <c r="L16" i="3" s="1"/>
  <c r="AI162" i="4"/>
  <c r="L17" i="3" s="1"/>
  <c r="AI163" i="4"/>
  <c r="L18" i="3" s="1"/>
  <c r="AI164" i="4"/>
  <c r="L19" i="3" s="1"/>
  <c r="AI165" i="4"/>
  <c r="L20" i="3" s="1"/>
  <c r="AI166" i="4"/>
  <c r="L21" i="3" s="1"/>
  <c r="AI167" i="4"/>
  <c r="L22" i="3" s="1"/>
  <c r="K28" i="3"/>
  <c r="K29" i="3"/>
  <c r="K30" i="3"/>
  <c r="K32" i="3"/>
  <c r="K33" i="3"/>
  <c r="K34" i="3"/>
  <c r="K35" i="3"/>
  <c r="K36" i="3"/>
  <c r="K37" i="3"/>
  <c r="K38" i="3"/>
  <c r="K40" i="3"/>
  <c r="K41" i="3"/>
  <c r="K42" i="3"/>
  <c r="K43" i="3"/>
  <c r="K44" i="3"/>
  <c r="K45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AI125" i="4"/>
  <c r="K4" i="3" s="1"/>
  <c r="AI126" i="4"/>
  <c r="K5" i="3" s="1"/>
  <c r="AI127" i="4"/>
  <c r="K6" i="3" s="1"/>
  <c r="AI128" i="4"/>
  <c r="K7" i="3" s="1"/>
  <c r="AI129" i="4"/>
  <c r="K8" i="3" s="1"/>
  <c r="AI130" i="4"/>
  <c r="K9" i="3" s="1"/>
  <c r="AI131" i="4"/>
  <c r="K10" i="3" s="1"/>
  <c r="AI132" i="4"/>
  <c r="K11" i="3" s="1"/>
  <c r="AI133" i="4"/>
  <c r="K12" i="3" s="1"/>
  <c r="AI134" i="4"/>
  <c r="K13" i="3" s="1"/>
  <c r="AI135" i="4"/>
  <c r="AI136" i="4"/>
  <c r="K15" i="3" s="1"/>
  <c r="AI137" i="4"/>
  <c r="K16" i="3" s="1"/>
  <c r="AI138" i="4"/>
  <c r="K17" i="3" s="1"/>
  <c r="AI139" i="4"/>
  <c r="K18" i="3" s="1"/>
  <c r="AI140" i="4"/>
  <c r="K19" i="3" s="1"/>
  <c r="AI141" i="4"/>
  <c r="AI142" i="4"/>
  <c r="K21" i="3" s="1"/>
  <c r="AI143" i="4"/>
  <c r="K22" i="3" s="1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1" i="3"/>
  <c r="J42" i="3"/>
  <c r="J43" i="3"/>
  <c r="J44" i="3"/>
  <c r="J45" i="3"/>
  <c r="J50" i="3"/>
  <c r="J51" i="3"/>
  <c r="J52" i="3"/>
  <c r="J53" i="3"/>
  <c r="J54" i="3"/>
  <c r="J55" i="3"/>
  <c r="J56" i="3"/>
  <c r="J57" i="3"/>
  <c r="J58" i="3"/>
  <c r="J59" i="3"/>
  <c r="J61" i="3"/>
  <c r="J62" i="3"/>
  <c r="J63" i="3"/>
  <c r="J64" i="3"/>
  <c r="J65" i="3"/>
  <c r="J66" i="3"/>
  <c r="J67" i="3"/>
  <c r="J68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AI101" i="4"/>
  <c r="J4" i="3" s="1"/>
  <c r="AI102" i="4"/>
  <c r="AI103" i="4"/>
  <c r="J6" i="3" s="1"/>
  <c r="AI104" i="4"/>
  <c r="J7" i="3" s="1"/>
  <c r="AI105" i="4"/>
  <c r="J8" i="3" s="1"/>
  <c r="AI106" i="4"/>
  <c r="AI107" i="4"/>
  <c r="J10" i="3" s="1"/>
  <c r="AI108" i="4"/>
  <c r="J11" i="3" s="1"/>
  <c r="AI109" i="4"/>
  <c r="J12" i="3" s="1"/>
  <c r="AI110" i="4"/>
  <c r="J13" i="3" s="1"/>
  <c r="AI111" i="4"/>
  <c r="J14" i="3" s="1"/>
  <c r="AI112" i="4"/>
  <c r="J15" i="3" s="1"/>
  <c r="AI113" i="4"/>
  <c r="J16" i="3" s="1"/>
  <c r="AI114" i="4"/>
  <c r="J17" i="3" s="1"/>
  <c r="AI115" i="4"/>
  <c r="J18" i="3" s="1"/>
  <c r="AI116" i="4"/>
  <c r="J19" i="3" s="1"/>
  <c r="AI117" i="4"/>
  <c r="J20" i="3" s="1"/>
  <c r="AI118" i="4"/>
  <c r="J21" i="3" s="1"/>
  <c r="AI119" i="4"/>
  <c r="J22" i="3" s="1"/>
  <c r="I27" i="3"/>
  <c r="I28" i="3"/>
  <c r="I29" i="3"/>
  <c r="I30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106" i="3"/>
  <c r="I107" i="3"/>
  <c r="I108" i="3"/>
  <c r="I109" i="3"/>
  <c r="AI77" i="4"/>
  <c r="I4" i="3" s="1"/>
  <c r="AI78" i="4"/>
  <c r="I5" i="3" s="1"/>
  <c r="AI79" i="4"/>
  <c r="I6" i="3" s="1"/>
  <c r="AI80" i="4"/>
  <c r="I7" i="3" s="1"/>
  <c r="AI81" i="4"/>
  <c r="I8" i="3" s="1"/>
  <c r="AI82" i="4"/>
  <c r="I9" i="3" s="1"/>
  <c r="AI83" i="4"/>
  <c r="I10" i="3" s="1"/>
  <c r="AI84" i="4"/>
  <c r="I11" i="3" s="1"/>
  <c r="AI85" i="4"/>
  <c r="AI86" i="4"/>
  <c r="I13" i="3" s="1"/>
  <c r="AI87" i="4"/>
  <c r="I14" i="3" s="1"/>
  <c r="AI88" i="4"/>
  <c r="I15" i="3" s="1"/>
  <c r="AI89" i="4"/>
  <c r="I16" i="3" s="1"/>
  <c r="AI90" i="4"/>
  <c r="I17" i="3" s="1"/>
  <c r="AI91" i="4"/>
  <c r="AI92" i="4"/>
  <c r="I19" i="3" s="1"/>
  <c r="AI93" i="4"/>
  <c r="AI94" i="4"/>
  <c r="I21" i="3" s="1"/>
  <c r="AI95" i="4"/>
  <c r="I22" i="3" s="1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73" i="3"/>
  <c r="H74" i="3"/>
  <c r="H75" i="3"/>
  <c r="H76" i="3"/>
  <c r="H77" i="3"/>
  <c r="H78" i="3"/>
  <c r="H79" i="3"/>
  <c r="H81" i="3"/>
  <c r="H82" i="3"/>
  <c r="H83" i="3"/>
  <c r="H84" i="3"/>
  <c r="H85" i="3"/>
  <c r="H86" i="3"/>
  <c r="H87" i="3"/>
  <c r="H88" i="3"/>
  <c r="H89" i="3"/>
  <c r="H90" i="3"/>
  <c r="H91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3" i="3"/>
  <c r="H114" i="3"/>
  <c r="AI53" i="4"/>
  <c r="H4" i="3" s="1"/>
  <c r="AI54" i="4"/>
  <c r="H5" i="3" s="1"/>
  <c r="AI55" i="4"/>
  <c r="H6" i="3" s="1"/>
  <c r="AI56" i="4"/>
  <c r="H7" i="3" s="1"/>
  <c r="AI57" i="4"/>
  <c r="H8" i="3" s="1"/>
  <c r="AI58" i="4"/>
  <c r="H9" i="3" s="1"/>
  <c r="AI59" i="4"/>
  <c r="H10" i="3" s="1"/>
  <c r="AI60" i="4"/>
  <c r="H11" i="3" s="1"/>
  <c r="AI61" i="4"/>
  <c r="H12" i="3" s="1"/>
  <c r="AI62" i="4"/>
  <c r="H13" i="3" s="1"/>
  <c r="AI63" i="4"/>
  <c r="H14" i="3" s="1"/>
  <c r="AI64" i="4"/>
  <c r="H15" i="3" s="1"/>
  <c r="AI65" i="4"/>
  <c r="H16" i="3" s="1"/>
  <c r="AI66" i="4"/>
  <c r="H17" i="3" s="1"/>
  <c r="AI67" i="4"/>
  <c r="H18" i="3" s="1"/>
  <c r="AI68" i="4"/>
  <c r="H19" i="3" s="1"/>
  <c r="AI69" i="4"/>
  <c r="H20" i="3" s="1"/>
  <c r="AI70" i="4"/>
  <c r="AI71" i="4"/>
  <c r="H22" i="3" s="1"/>
  <c r="G27" i="3"/>
  <c r="G28" i="3"/>
  <c r="G30" i="3"/>
  <c r="G31" i="3"/>
  <c r="G32" i="3"/>
  <c r="G33" i="3"/>
  <c r="G34" i="3"/>
  <c r="G36" i="3"/>
  <c r="G38" i="3"/>
  <c r="G40" i="3"/>
  <c r="G41" i="3"/>
  <c r="G42" i="3"/>
  <c r="G43" i="3"/>
  <c r="G44" i="3"/>
  <c r="G45" i="3"/>
  <c r="G50" i="3"/>
  <c r="G51" i="3"/>
  <c r="G52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8" i="3"/>
  <c r="G89" i="3"/>
  <c r="G90" i="3"/>
  <c r="G91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AI29" i="4"/>
  <c r="G4" i="3" s="1"/>
  <c r="AI30" i="4"/>
  <c r="G5" i="3" s="1"/>
  <c r="AI31" i="4"/>
  <c r="G6" i="3" s="1"/>
  <c r="AI32" i="4"/>
  <c r="G7" i="3" s="1"/>
  <c r="AI33" i="4"/>
  <c r="G8" i="3" s="1"/>
  <c r="AI34" i="4"/>
  <c r="G9" i="3" s="1"/>
  <c r="AI35" i="4"/>
  <c r="G10" i="3" s="1"/>
  <c r="AI36" i="4"/>
  <c r="G11" i="3" s="1"/>
  <c r="AI37" i="4"/>
  <c r="G12" i="3" s="1"/>
  <c r="AI38" i="4"/>
  <c r="G13" i="3" s="1"/>
  <c r="AI39" i="4"/>
  <c r="G14" i="3" s="1"/>
  <c r="AI40" i="4"/>
  <c r="G15" i="3" s="1"/>
  <c r="AI41" i="4"/>
  <c r="G16" i="3" s="1"/>
  <c r="AI42" i="4"/>
  <c r="G17" i="3" s="1"/>
  <c r="AI43" i="4"/>
  <c r="G18" i="3" s="1"/>
  <c r="AI44" i="4"/>
  <c r="G19" i="3" s="1"/>
  <c r="AI45" i="4"/>
  <c r="G20" i="3" s="1"/>
  <c r="AI46" i="4"/>
  <c r="G21" i="3" s="1"/>
  <c r="AI47" i="4"/>
  <c r="G22" i="3" s="1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AI5" i="4"/>
  <c r="F4" i="3" s="1"/>
  <c r="AI6" i="4"/>
  <c r="F5" i="3" s="1"/>
  <c r="AI7" i="4"/>
  <c r="F6" i="3" s="1"/>
  <c r="AI8" i="4"/>
  <c r="F7" i="3" s="1"/>
  <c r="AI9" i="4"/>
  <c r="F8" i="3" s="1"/>
  <c r="AI10" i="4"/>
  <c r="F9" i="3" s="1"/>
  <c r="AI11" i="4"/>
  <c r="F10" i="3" s="1"/>
  <c r="AI12" i="4"/>
  <c r="F11" i="3" s="1"/>
  <c r="AI13" i="4"/>
  <c r="F12" i="3" s="1"/>
  <c r="AI14" i="4"/>
  <c r="F13" i="3" s="1"/>
  <c r="AI15" i="4"/>
  <c r="F14" i="3" s="1"/>
  <c r="AI16" i="4"/>
  <c r="F15" i="3" s="1"/>
  <c r="AI17" i="4"/>
  <c r="F16" i="3" s="1"/>
  <c r="AI18" i="4"/>
  <c r="F17" i="3" s="1"/>
  <c r="AI19" i="4"/>
  <c r="F18" i="3" s="1"/>
  <c r="AI20" i="4"/>
  <c r="F19" i="3" s="1"/>
  <c r="AI21" i="4"/>
  <c r="F20" i="3" s="1"/>
  <c r="AI22" i="4"/>
  <c r="F21" i="3" s="1"/>
  <c r="AI23" i="4"/>
  <c r="F22" i="3" s="1"/>
  <c r="N55" i="3"/>
  <c r="M31" i="3"/>
  <c r="M73" i="3"/>
  <c r="L34" i="3"/>
  <c r="L36" i="3"/>
  <c r="L40" i="3"/>
  <c r="K39" i="3"/>
  <c r="K14" i="3"/>
  <c r="J60" i="3"/>
  <c r="I105" i="3"/>
  <c r="I18" i="3"/>
  <c r="H21" i="3"/>
  <c r="G37" i="3"/>
  <c r="G39" i="3"/>
  <c r="G87" i="3"/>
  <c r="AF86" i="3"/>
  <c r="AF85" i="3"/>
  <c r="AF84" i="3"/>
  <c r="AF83" i="3"/>
  <c r="AF82" i="3"/>
  <c r="AE86" i="3"/>
  <c r="AE85" i="3"/>
  <c r="AE84" i="3"/>
  <c r="AE83" i="3"/>
  <c r="AE82" i="3"/>
  <c r="AD86" i="3"/>
  <c r="AD85" i="3"/>
  <c r="AD84" i="3"/>
  <c r="AD83" i="3"/>
  <c r="AD82" i="3"/>
  <c r="AC86" i="3"/>
  <c r="AC85" i="3"/>
  <c r="AC84" i="3"/>
  <c r="AC83" i="3"/>
  <c r="AC82" i="3"/>
  <c r="AB86" i="3"/>
  <c r="AB85" i="3"/>
  <c r="AB84" i="3"/>
  <c r="AB83" i="3"/>
  <c r="AB82" i="3"/>
  <c r="AA86" i="3"/>
  <c r="AA85" i="3"/>
  <c r="AA84" i="3"/>
  <c r="AA83" i="3"/>
  <c r="AA82" i="3"/>
  <c r="Z86" i="3"/>
  <c r="Z85" i="3"/>
  <c r="Z84" i="3"/>
  <c r="Z83" i="3"/>
  <c r="Z82" i="3"/>
  <c r="Y86" i="3"/>
  <c r="Y85" i="3"/>
  <c r="Y84" i="3"/>
  <c r="Y83" i="3"/>
  <c r="Y82" i="3"/>
  <c r="X86" i="3"/>
  <c r="X85" i="3"/>
  <c r="X84" i="3"/>
  <c r="X83" i="3"/>
  <c r="X82" i="3"/>
  <c r="W86" i="3"/>
  <c r="W85" i="3"/>
  <c r="W84" i="3"/>
  <c r="W83" i="3"/>
  <c r="W82" i="3"/>
  <c r="V86" i="3"/>
  <c r="V85" i="3"/>
  <c r="V84" i="3"/>
  <c r="V83" i="3"/>
  <c r="V82" i="3"/>
  <c r="U91" i="3"/>
  <c r="U90" i="3"/>
  <c r="U89" i="3"/>
  <c r="U88" i="3"/>
  <c r="U87" i="3"/>
  <c r="AF63" i="3"/>
  <c r="AF62" i="3"/>
  <c r="AF61" i="3"/>
  <c r="AF60" i="3"/>
  <c r="AF59" i="3"/>
  <c r="AE63" i="3"/>
  <c r="AE62" i="3"/>
  <c r="AE61" i="3"/>
  <c r="AE60" i="3"/>
  <c r="AE59" i="3"/>
  <c r="AD63" i="3"/>
  <c r="AD62" i="3"/>
  <c r="AD61" i="3"/>
  <c r="AD60" i="3"/>
  <c r="AD59" i="3"/>
  <c r="AC63" i="3"/>
  <c r="AC62" i="3"/>
  <c r="AC61" i="3"/>
  <c r="AC60" i="3"/>
  <c r="AC59" i="3"/>
  <c r="AB63" i="3"/>
  <c r="AB62" i="3"/>
  <c r="AB61" i="3"/>
  <c r="AB60" i="3"/>
  <c r="AB59" i="3"/>
  <c r="AA63" i="3"/>
  <c r="AA62" i="3"/>
  <c r="AA61" i="3"/>
  <c r="AA60" i="3"/>
  <c r="AA59" i="3"/>
  <c r="Z63" i="3"/>
  <c r="Z62" i="3"/>
  <c r="Z61" i="3"/>
  <c r="Z60" i="3"/>
  <c r="Z59" i="3"/>
  <c r="Y63" i="3"/>
  <c r="Y62" i="3"/>
  <c r="Y61" i="3"/>
  <c r="Y60" i="3"/>
  <c r="Y59" i="3"/>
  <c r="X63" i="3"/>
  <c r="X62" i="3"/>
  <c r="X61" i="3"/>
  <c r="X60" i="3"/>
  <c r="X59" i="3"/>
  <c r="W63" i="3"/>
  <c r="W62" i="3"/>
  <c r="W61" i="3"/>
  <c r="W60" i="3"/>
  <c r="W59" i="3"/>
  <c r="V63" i="3"/>
  <c r="V62" i="3"/>
  <c r="V61" i="3"/>
  <c r="V60" i="3"/>
  <c r="V59" i="3"/>
  <c r="U68" i="3"/>
  <c r="U67" i="3"/>
  <c r="U66" i="3"/>
  <c r="U65" i="3"/>
  <c r="U64" i="3"/>
  <c r="AF40" i="3"/>
  <c r="AF39" i="3"/>
  <c r="AF38" i="3"/>
  <c r="AF37" i="3"/>
  <c r="AF36" i="3"/>
  <c r="AE40" i="3"/>
  <c r="AE39" i="3"/>
  <c r="AE38" i="3"/>
  <c r="AE37" i="3"/>
  <c r="AE36" i="3"/>
  <c r="AD40" i="3"/>
  <c r="AD39" i="3"/>
  <c r="AD38" i="3"/>
  <c r="AD37" i="3"/>
  <c r="AD36" i="3"/>
  <c r="AC40" i="3"/>
  <c r="AC39" i="3"/>
  <c r="AC38" i="3"/>
  <c r="AC37" i="3"/>
  <c r="AC36" i="3"/>
  <c r="AB40" i="3"/>
  <c r="AB39" i="3"/>
  <c r="AB38" i="3"/>
  <c r="AB37" i="3"/>
  <c r="AB36" i="3"/>
  <c r="AA40" i="3"/>
  <c r="AA39" i="3"/>
  <c r="AA38" i="3"/>
  <c r="AA37" i="3"/>
  <c r="AA36" i="3"/>
  <c r="Z40" i="3"/>
  <c r="Z39" i="3"/>
  <c r="Z38" i="3"/>
  <c r="Z37" i="3"/>
  <c r="Z36" i="3"/>
  <c r="Y40" i="3"/>
  <c r="Y39" i="3"/>
  <c r="Y38" i="3"/>
  <c r="Y37" i="3"/>
  <c r="Y36" i="3"/>
  <c r="X40" i="3"/>
  <c r="X39" i="3"/>
  <c r="X38" i="3"/>
  <c r="X37" i="3"/>
  <c r="X36" i="3"/>
  <c r="W40" i="3"/>
  <c r="W39" i="3"/>
  <c r="W38" i="3"/>
  <c r="W37" i="3"/>
  <c r="W36" i="3"/>
  <c r="V40" i="3"/>
  <c r="V39" i="3"/>
  <c r="V38" i="3"/>
  <c r="V37" i="3"/>
  <c r="V36" i="3"/>
  <c r="U45" i="3"/>
  <c r="U44" i="3"/>
  <c r="U43" i="3"/>
  <c r="U42" i="3"/>
  <c r="U41" i="3"/>
  <c r="A286" i="4"/>
  <c r="AH286" i="4" s="1"/>
  <c r="A285" i="4"/>
  <c r="AH285" i="4" s="1"/>
  <c r="A284" i="4"/>
  <c r="AH284" i="4" s="1"/>
  <c r="A283" i="4"/>
  <c r="AH283" i="4" s="1"/>
  <c r="A282" i="4"/>
  <c r="AH282" i="4" s="1"/>
  <c r="AF17" i="3" s="1"/>
  <c r="A281" i="4"/>
  <c r="AH281" i="4" s="1"/>
  <c r="AF16" i="3" s="1"/>
  <c r="A280" i="4"/>
  <c r="AH280" i="4" s="1"/>
  <c r="AF15" i="3" s="1"/>
  <c r="A279" i="4"/>
  <c r="AH279" i="4" s="1"/>
  <c r="AF14" i="3" s="1"/>
  <c r="A278" i="4"/>
  <c r="AH278" i="4" s="1"/>
  <c r="AF13" i="3" s="1"/>
  <c r="A277" i="4"/>
  <c r="AH277" i="4" s="1"/>
  <c r="A276" i="4"/>
  <c r="AH276" i="4" s="1"/>
  <c r="A275" i="4"/>
  <c r="AH275" i="4" s="1"/>
  <c r="A274" i="4"/>
  <c r="AH274" i="4" s="1"/>
  <c r="A273" i="4"/>
  <c r="AH273" i="4" s="1"/>
  <c r="A272" i="4"/>
  <c r="AH272" i="4" s="1"/>
  <c r="A271" i="4"/>
  <c r="AH271" i="4" s="1"/>
  <c r="A270" i="4"/>
  <c r="AH270" i="4" s="1"/>
  <c r="A269" i="4"/>
  <c r="AH269" i="4" s="1"/>
  <c r="A268" i="4"/>
  <c r="A262" i="4"/>
  <c r="AH262" i="4" s="1"/>
  <c r="A261" i="4"/>
  <c r="AH261" i="4" s="1"/>
  <c r="A260" i="4"/>
  <c r="AH260" i="4" s="1"/>
  <c r="A259" i="4"/>
  <c r="AH259" i="4" s="1"/>
  <c r="A258" i="4"/>
  <c r="AH258" i="4" s="1"/>
  <c r="AE17" i="3" s="1"/>
  <c r="A257" i="4"/>
  <c r="AH257" i="4" s="1"/>
  <c r="AE16" i="3" s="1"/>
  <c r="A256" i="4"/>
  <c r="AH256" i="4" s="1"/>
  <c r="AE15" i="3" s="1"/>
  <c r="A255" i="4"/>
  <c r="AH255" i="4" s="1"/>
  <c r="AE14" i="3" s="1"/>
  <c r="A254" i="4"/>
  <c r="AH254" i="4" s="1"/>
  <c r="AE13" i="3" s="1"/>
  <c r="A253" i="4"/>
  <c r="AH253" i="4" s="1"/>
  <c r="A252" i="4"/>
  <c r="AH252" i="4" s="1"/>
  <c r="A251" i="4"/>
  <c r="AH251" i="4" s="1"/>
  <c r="A250" i="4"/>
  <c r="AH250" i="4" s="1"/>
  <c r="A249" i="4"/>
  <c r="AH249" i="4" s="1"/>
  <c r="A248" i="4"/>
  <c r="AH248" i="4" s="1"/>
  <c r="A247" i="4"/>
  <c r="AH247" i="4" s="1"/>
  <c r="A246" i="4"/>
  <c r="AH246" i="4" s="1"/>
  <c r="A245" i="4"/>
  <c r="AH245" i="4" s="1"/>
  <c r="A244" i="4"/>
  <c r="A238" i="4"/>
  <c r="AH238" i="4" s="1"/>
  <c r="A237" i="4"/>
  <c r="AH237" i="4" s="1"/>
  <c r="A236" i="4"/>
  <c r="AH236" i="4" s="1"/>
  <c r="A235" i="4"/>
  <c r="AH235" i="4" s="1"/>
  <c r="A234" i="4"/>
  <c r="AH234" i="4" s="1"/>
  <c r="AD17" i="3" s="1"/>
  <c r="A233" i="4"/>
  <c r="AH233" i="4" s="1"/>
  <c r="AD16" i="3" s="1"/>
  <c r="A232" i="4"/>
  <c r="AH232" i="4" s="1"/>
  <c r="AD15" i="3" s="1"/>
  <c r="A231" i="4"/>
  <c r="AH231" i="4" s="1"/>
  <c r="AD14" i="3" s="1"/>
  <c r="A230" i="4"/>
  <c r="AH230" i="4" s="1"/>
  <c r="AD13" i="3" s="1"/>
  <c r="A229" i="4"/>
  <c r="AH229" i="4" s="1"/>
  <c r="A228" i="4"/>
  <c r="AH228" i="4" s="1"/>
  <c r="A227" i="4"/>
  <c r="AH227" i="4" s="1"/>
  <c r="A226" i="4"/>
  <c r="AH226" i="4" s="1"/>
  <c r="A225" i="4"/>
  <c r="AH225" i="4" s="1"/>
  <c r="A224" i="4"/>
  <c r="AH224" i="4" s="1"/>
  <c r="A223" i="4"/>
  <c r="AH223" i="4" s="1"/>
  <c r="A222" i="4"/>
  <c r="AH222" i="4" s="1"/>
  <c r="A221" i="4"/>
  <c r="AH221" i="4" s="1"/>
  <c r="A220" i="4"/>
  <c r="A214" i="4"/>
  <c r="AH214" i="4" s="1"/>
  <c r="A213" i="4"/>
  <c r="AH213" i="4" s="1"/>
  <c r="A212" i="4"/>
  <c r="AH212" i="4" s="1"/>
  <c r="A211" i="4"/>
  <c r="AH211" i="4" s="1"/>
  <c r="A210" i="4"/>
  <c r="AH210" i="4" s="1"/>
  <c r="AC17" i="3" s="1"/>
  <c r="A209" i="4"/>
  <c r="AH209" i="4" s="1"/>
  <c r="AC16" i="3" s="1"/>
  <c r="A208" i="4"/>
  <c r="AH208" i="4" s="1"/>
  <c r="AC15" i="3" s="1"/>
  <c r="A207" i="4"/>
  <c r="AH207" i="4" s="1"/>
  <c r="AC14" i="3" s="1"/>
  <c r="A206" i="4"/>
  <c r="AH206" i="4" s="1"/>
  <c r="AC13" i="3" s="1"/>
  <c r="A205" i="4"/>
  <c r="AH205" i="4" s="1"/>
  <c r="A204" i="4"/>
  <c r="AH204" i="4" s="1"/>
  <c r="A203" i="4"/>
  <c r="AH203" i="4" s="1"/>
  <c r="A202" i="4"/>
  <c r="AH202" i="4" s="1"/>
  <c r="A201" i="4"/>
  <c r="AH201" i="4" s="1"/>
  <c r="A200" i="4"/>
  <c r="AH200" i="4" s="1"/>
  <c r="A199" i="4"/>
  <c r="AH199" i="4" s="1"/>
  <c r="A198" i="4"/>
  <c r="AH198" i="4" s="1"/>
  <c r="A197" i="4"/>
  <c r="AH197" i="4" s="1"/>
  <c r="A196" i="4"/>
  <c r="A190" i="4"/>
  <c r="AH190" i="4" s="1"/>
  <c r="A189" i="4"/>
  <c r="AH189" i="4" s="1"/>
  <c r="A188" i="4"/>
  <c r="AH188" i="4" s="1"/>
  <c r="A187" i="4"/>
  <c r="AH187" i="4" s="1"/>
  <c r="A186" i="4"/>
  <c r="AH186" i="4" s="1"/>
  <c r="AB17" i="3" s="1"/>
  <c r="A185" i="4"/>
  <c r="AH185" i="4" s="1"/>
  <c r="AB16" i="3" s="1"/>
  <c r="A184" i="4"/>
  <c r="AH184" i="4" s="1"/>
  <c r="AB15" i="3" s="1"/>
  <c r="A183" i="4"/>
  <c r="AH183" i="4" s="1"/>
  <c r="AB14" i="3" s="1"/>
  <c r="A182" i="4"/>
  <c r="AH182" i="4" s="1"/>
  <c r="AB13" i="3" s="1"/>
  <c r="A181" i="4"/>
  <c r="AH181" i="4" s="1"/>
  <c r="A180" i="4"/>
  <c r="AH180" i="4" s="1"/>
  <c r="A179" i="4"/>
  <c r="AH179" i="4" s="1"/>
  <c r="A178" i="4"/>
  <c r="AH178" i="4" s="1"/>
  <c r="A177" i="4"/>
  <c r="AH177" i="4" s="1"/>
  <c r="A176" i="4"/>
  <c r="AH176" i="4" s="1"/>
  <c r="A175" i="4"/>
  <c r="AH175" i="4" s="1"/>
  <c r="A174" i="4"/>
  <c r="AH174" i="4" s="1"/>
  <c r="A173" i="4"/>
  <c r="AH173" i="4" s="1"/>
  <c r="A172" i="4"/>
  <c r="A166" i="4"/>
  <c r="AH166" i="4" s="1"/>
  <c r="A165" i="4"/>
  <c r="AH165" i="4" s="1"/>
  <c r="A164" i="4"/>
  <c r="AH164" i="4" s="1"/>
  <c r="A163" i="4"/>
  <c r="AH163" i="4" s="1"/>
  <c r="A162" i="4"/>
  <c r="AH162" i="4" s="1"/>
  <c r="AA17" i="3" s="1"/>
  <c r="A161" i="4"/>
  <c r="AH161" i="4" s="1"/>
  <c r="AA16" i="3" s="1"/>
  <c r="A160" i="4"/>
  <c r="AH160" i="4" s="1"/>
  <c r="AA15" i="3" s="1"/>
  <c r="A159" i="4"/>
  <c r="AH159" i="4" s="1"/>
  <c r="AA14" i="3" s="1"/>
  <c r="A158" i="4"/>
  <c r="AH158" i="4" s="1"/>
  <c r="AA13" i="3" s="1"/>
  <c r="A157" i="4"/>
  <c r="AH157" i="4" s="1"/>
  <c r="A156" i="4"/>
  <c r="AH156" i="4" s="1"/>
  <c r="A155" i="4"/>
  <c r="AH155" i="4" s="1"/>
  <c r="A154" i="4"/>
  <c r="AH154" i="4" s="1"/>
  <c r="A153" i="4"/>
  <c r="AH153" i="4" s="1"/>
  <c r="A152" i="4"/>
  <c r="AH152" i="4" s="1"/>
  <c r="A151" i="4"/>
  <c r="AH151" i="4" s="1"/>
  <c r="A150" i="4"/>
  <c r="AH150" i="4" s="1"/>
  <c r="A149" i="4"/>
  <c r="AH149" i="4" s="1"/>
  <c r="A148" i="4"/>
  <c r="A142" i="4"/>
  <c r="AH142" i="4" s="1"/>
  <c r="A141" i="4"/>
  <c r="AH141" i="4" s="1"/>
  <c r="A140" i="4"/>
  <c r="AH140" i="4" s="1"/>
  <c r="A139" i="4"/>
  <c r="AH139" i="4" s="1"/>
  <c r="A138" i="4"/>
  <c r="AH138" i="4" s="1"/>
  <c r="Z17" i="3" s="1"/>
  <c r="A137" i="4"/>
  <c r="AH137" i="4" s="1"/>
  <c r="Z16" i="3" s="1"/>
  <c r="A136" i="4"/>
  <c r="AH136" i="4" s="1"/>
  <c r="Z15" i="3" s="1"/>
  <c r="A135" i="4"/>
  <c r="AH135" i="4" s="1"/>
  <c r="Z14" i="3" s="1"/>
  <c r="A134" i="4"/>
  <c r="AH134" i="4" s="1"/>
  <c r="Z13" i="3" s="1"/>
  <c r="A133" i="4"/>
  <c r="AH133" i="4" s="1"/>
  <c r="A132" i="4"/>
  <c r="AH132" i="4" s="1"/>
  <c r="A131" i="4"/>
  <c r="AH131" i="4" s="1"/>
  <c r="A130" i="4"/>
  <c r="AH130" i="4" s="1"/>
  <c r="A129" i="4"/>
  <c r="AH129" i="4" s="1"/>
  <c r="A128" i="4"/>
  <c r="AH128" i="4" s="1"/>
  <c r="A127" i="4"/>
  <c r="AH127" i="4" s="1"/>
  <c r="A126" i="4"/>
  <c r="AH126" i="4" s="1"/>
  <c r="A125" i="4"/>
  <c r="AH125" i="4" s="1"/>
  <c r="A124" i="4"/>
  <c r="A118" i="4"/>
  <c r="AH118" i="4" s="1"/>
  <c r="A117" i="4"/>
  <c r="AH117" i="4" s="1"/>
  <c r="A116" i="4"/>
  <c r="AH116" i="4" s="1"/>
  <c r="A115" i="4"/>
  <c r="AH115" i="4" s="1"/>
  <c r="A114" i="4"/>
  <c r="AH114" i="4" s="1"/>
  <c r="Y17" i="3" s="1"/>
  <c r="A113" i="4"/>
  <c r="AH113" i="4" s="1"/>
  <c r="Y16" i="3" s="1"/>
  <c r="A112" i="4"/>
  <c r="AH112" i="4" s="1"/>
  <c r="Y15" i="3" s="1"/>
  <c r="A111" i="4"/>
  <c r="AH111" i="4" s="1"/>
  <c r="Y14" i="3" s="1"/>
  <c r="A110" i="4"/>
  <c r="AH110" i="4" s="1"/>
  <c r="Y13" i="3" s="1"/>
  <c r="A109" i="4"/>
  <c r="AH109" i="4" s="1"/>
  <c r="A108" i="4"/>
  <c r="AH108" i="4" s="1"/>
  <c r="A107" i="4"/>
  <c r="AH107" i="4" s="1"/>
  <c r="A106" i="4"/>
  <c r="AH106" i="4" s="1"/>
  <c r="A105" i="4"/>
  <c r="AH105" i="4" s="1"/>
  <c r="A104" i="4"/>
  <c r="AH104" i="4" s="1"/>
  <c r="A103" i="4"/>
  <c r="AH103" i="4" s="1"/>
  <c r="A102" i="4"/>
  <c r="AH102" i="4" s="1"/>
  <c r="A101" i="4"/>
  <c r="AH101" i="4" s="1"/>
  <c r="A100" i="4"/>
  <c r="A94" i="4"/>
  <c r="AH94" i="4" s="1"/>
  <c r="A93" i="4"/>
  <c r="AH93" i="4" s="1"/>
  <c r="A92" i="4"/>
  <c r="AH92" i="4" s="1"/>
  <c r="A91" i="4"/>
  <c r="AH91" i="4" s="1"/>
  <c r="A90" i="4"/>
  <c r="AH90" i="4" s="1"/>
  <c r="X17" i="3" s="1"/>
  <c r="A89" i="4"/>
  <c r="AH89" i="4" s="1"/>
  <c r="X16" i="3" s="1"/>
  <c r="A88" i="4"/>
  <c r="AH88" i="4" s="1"/>
  <c r="X15" i="3" s="1"/>
  <c r="A87" i="4"/>
  <c r="AH87" i="4" s="1"/>
  <c r="X14" i="3" s="1"/>
  <c r="A86" i="4"/>
  <c r="AH86" i="4" s="1"/>
  <c r="X13" i="3" s="1"/>
  <c r="A85" i="4"/>
  <c r="AH85" i="4" s="1"/>
  <c r="A84" i="4"/>
  <c r="AH84" i="4" s="1"/>
  <c r="A83" i="4"/>
  <c r="AH83" i="4" s="1"/>
  <c r="A82" i="4"/>
  <c r="AH82" i="4" s="1"/>
  <c r="A81" i="4"/>
  <c r="AH81" i="4" s="1"/>
  <c r="A80" i="4"/>
  <c r="AH80" i="4" s="1"/>
  <c r="A79" i="4"/>
  <c r="AH79" i="4" s="1"/>
  <c r="A78" i="4"/>
  <c r="AH78" i="4" s="1"/>
  <c r="A77" i="4"/>
  <c r="AH77" i="4" s="1"/>
  <c r="A76" i="4"/>
  <c r="A70" i="4"/>
  <c r="AH70" i="4" s="1"/>
  <c r="A69" i="4"/>
  <c r="AH69" i="4" s="1"/>
  <c r="A68" i="4"/>
  <c r="AH68" i="4" s="1"/>
  <c r="A67" i="4"/>
  <c r="AH67" i="4" s="1"/>
  <c r="A66" i="4"/>
  <c r="AH66" i="4" s="1"/>
  <c r="W17" i="3" s="1"/>
  <c r="A65" i="4"/>
  <c r="AH65" i="4" s="1"/>
  <c r="W16" i="3" s="1"/>
  <c r="A64" i="4"/>
  <c r="AH64" i="4" s="1"/>
  <c r="W15" i="3" s="1"/>
  <c r="A63" i="4"/>
  <c r="AH63" i="4" s="1"/>
  <c r="W14" i="3" s="1"/>
  <c r="A62" i="4"/>
  <c r="AH62" i="4" s="1"/>
  <c r="W13" i="3" s="1"/>
  <c r="A61" i="4"/>
  <c r="AH61" i="4" s="1"/>
  <c r="A60" i="4"/>
  <c r="AH60" i="4" s="1"/>
  <c r="A59" i="4"/>
  <c r="AH59" i="4" s="1"/>
  <c r="A58" i="4"/>
  <c r="AH58" i="4" s="1"/>
  <c r="A57" i="4"/>
  <c r="AH57" i="4" s="1"/>
  <c r="A56" i="4"/>
  <c r="AH56" i="4" s="1"/>
  <c r="A55" i="4"/>
  <c r="AH55" i="4" s="1"/>
  <c r="A54" i="4"/>
  <c r="AH54" i="4" s="1"/>
  <c r="A53" i="4"/>
  <c r="AH53" i="4" s="1"/>
  <c r="A52" i="4"/>
  <c r="A46" i="4"/>
  <c r="AH46" i="4" s="1"/>
  <c r="A45" i="4"/>
  <c r="AH45" i="4" s="1"/>
  <c r="A44" i="4"/>
  <c r="AH44" i="4" s="1"/>
  <c r="A43" i="4"/>
  <c r="AH43" i="4" s="1"/>
  <c r="A42" i="4"/>
  <c r="AH42" i="4" s="1"/>
  <c r="V17" i="3" s="1"/>
  <c r="A41" i="4"/>
  <c r="AH41" i="4" s="1"/>
  <c r="V16" i="3" s="1"/>
  <c r="A40" i="4"/>
  <c r="AH40" i="4" s="1"/>
  <c r="V15" i="3" s="1"/>
  <c r="A39" i="4"/>
  <c r="AH39" i="4" s="1"/>
  <c r="V14" i="3" s="1"/>
  <c r="A38" i="4"/>
  <c r="AH38" i="4" s="1"/>
  <c r="V13" i="3" s="1"/>
  <c r="A37" i="4"/>
  <c r="AH37" i="4" s="1"/>
  <c r="A36" i="4"/>
  <c r="AH36" i="4" s="1"/>
  <c r="A35" i="4"/>
  <c r="AH35" i="4" s="1"/>
  <c r="A34" i="4"/>
  <c r="AH34" i="4" s="1"/>
  <c r="A33" i="4"/>
  <c r="AH33" i="4" s="1"/>
  <c r="A32" i="4"/>
  <c r="AH32" i="4" s="1"/>
  <c r="A31" i="4"/>
  <c r="AH31" i="4" s="1"/>
  <c r="A30" i="4"/>
  <c r="AH30" i="4" s="1"/>
  <c r="A29" i="4"/>
  <c r="AH29" i="4" s="1"/>
  <c r="A28" i="4"/>
  <c r="A23" i="4"/>
  <c r="AH23" i="4" s="1"/>
  <c r="U22" i="3" s="1"/>
  <c r="A22" i="4"/>
  <c r="AH22" i="4" s="1"/>
  <c r="U21" i="3" s="1"/>
  <c r="A21" i="4"/>
  <c r="AH21" i="4" s="1"/>
  <c r="U20" i="3" s="1"/>
  <c r="A20" i="4"/>
  <c r="AH20" i="4" s="1"/>
  <c r="U19" i="3" s="1"/>
  <c r="A19" i="4"/>
  <c r="AH19" i="4" s="1"/>
  <c r="U18" i="3" s="1"/>
  <c r="A18" i="4"/>
  <c r="AH18" i="4" s="1"/>
  <c r="E82" i="3"/>
  <c r="E83" i="3"/>
  <c r="E84" i="3"/>
  <c r="E85" i="3"/>
  <c r="E86" i="3"/>
  <c r="E87" i="3"/>
  <c r="E59" i="3"/>
  <c r="E60" i="3"/>
  <c r="E61" i="3"/>
  <c r="E62" i="3"/>
  <c r="E63" i="3"/>
  <c r="E64" i="3"/>
  <c r="E36" i="3"/>
  <c r="E37" i="3"/>
  <c r="E38" i="3"/>
  <c r="E39" i="3"/>
  <c r="E40" i="3"/>
  <c r="E96" i="3"/>
  <c r="P96" i="3"/>
  <c r="E97" i="3"/>
  <c r="O97" i="3"/>
  <c r="E98" i="3"/>
  <c r="P98" i="3"/>
  <c r="E99" i="3"/>
  <c r="E100" i="3"/>
  <c r="N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P76" i="3"/>
  <c r="P78" i="3"/>
  <c r="H80" i="3"/>
  <c r="P84" i="3"/>
  <c r="P88" i="3"/>
  <c r="N50" i="3"/>
  <c r="G53" i="3"/>
  <c r="K27" i="3"/>
  <c r="G29" i="3"/>
  <c r="I31" i="3"/>
  <c r="K31" i="3"/>
  <c r="G35" i="3"/>
  <c r="J40" i="3"/>
  <c r="M4" i="3"/>
  <c r="J5" i="3"/>
  <c r="J9" i="3"/>
  <c r="P9" i="3"/>
  <c r="I12" i="3"/>
  <c r="O18" i="3"/>
  <c r="I20" i="3"/>
  <c r="K20" i="3"/>
  <c r="E18" i="3"/>
  <c r="E19" i="3"/>
  <c r="E20" i="3"/>
  <c r="E21" i="3"/>
  <c r="E22" i="3"/>
  <c r="R8" i="3" l="1"/>
  <c r="R6" i="3"/>
  <c r="R12" i="3"/>
  <c r="R4" i="3"/>
  <c r="R29" i="3"/>
  <c r="R11" i="3"/>
  <c r="R9" i="3"/>
  <c r="R7" i="3"/>
  <c r="R5" i="3"/>
  <c r="R10" i="3"/>
  <c r="R33" i="3"/>
  <c r="R81" i="3"/>
  <c r="R77" i="3"/>
  <c r="R32" i="3"/>
  <c r="R28" i="3"/>
  <c r="R80" i="3"/>
  <c r="R76" i="3"/>
  <c r="R35" i="3"/>
  <c r="R31" i="3"/>
  <c r="R27" i="3"/>
  <c r="R79" i="3"/>
  <c r="R75" i="3"/>
  <c r="R73" i="3"/>
  <c r="R34" i="3"/>
  <c r="R30" i="3"/>
  <c r="R78" i="3"/>
  <c r="R74" i="3"/>
  <c r="R15" i="3"/>
  <c r="R90" i="3"/>
  <c r="R105" i="3"/>
  <c r="S105" i="3" s="1"/>
  <c r="R84" i="3"/>
  <c r="S84" i="3" s="1"/>
  <c r="R82" i="3"/>
  <c r="S82" i="3" s="1"/>
  <c r="R14" i="3"/>
  <c r="R13" i="3"/>
  <c r="R40" i="3"/>
  <c r="S40" i="3" s="1"/>
  <c r="R38" i="3"/>
  <c r="S38" i="3" s="1"/>
  <c r="R17" i="3"/>
  <c r="R36" i="3"/>
  <c r="S36" i="3" s="1"/>
  <c r="R107" i="3"/>
  <c r="S107" i="3" s="1"/>
  <c r="R42" i="3"/>
  <c r="R106" i="3"/>
  <c r="S106" i="3" s="1"/>
  <c r="R16" i="3"/>
  <c r="R108" i="3"/>
  <c r="S108" i="3" s="1"/>
  <c r="R62" i="3"/>
  <c r="S62" i="3" s="1"/>
  <c r="R60" i="3"/>
  <c r="S60" i="3" s="1"/>
  <c r="R39" i="3"/>
  <c r="S39" i="3" s="1"/>
  <c r="R37" i="3"/>
  <c r="S37" i="3" s="1"/>
  <c r="R63" i="3"/>
  <c r="S63" i="3" s="1"/>
  <c r="R59" i="3"/>
  <c r="S59" i="3" s="1"/>
  <c r="R22" i="3"/>
  <c r="S22" i="3" s="1"/>
  <c r="R83" i="3"/>
  <c r="S83" i="3" s="1"/>
  <c r="R21" i="3"/>
  <c r="S21" i="3" s="1"/>
  <c r="R20" i="3"/>
  <c r="S20" i="3" s="1"/>
  <c r="R18" i="3"/>
  <c r="S18" i="3" s="1"/>
  <c r="R61" i="3"/>
  <c r="S61" i="3" s="1"/>
  <c r="R85" i="3"/>
  <c r="S85" i="3" s="1"/>
  <c r="R109" i="3"/>
  <c r="S109" i="3" s="1"/>
  <c r="R19" i="3"/>
  <c r="S19" i="3" s="1"/>
  <c r="R91" i="3"/>
  <c r="R87" i="3"/>
  <c r="S87" i="3" s="1"/>
  <c r="R45" i="3"/>
  <c r="R41" i="3"/>
  <c r="R89" i="3"/>
  <c r="R43" i="3"/>
  <c r="R44" i="3"/>
  <c r="R88" i="3"/>
  <c r="R86" i="3"/>
  <c r="S86" i="3" s="1"/>
  <c r="C3" i="4" l="1"/>
  <c r="D3" i="4"/>
  <c r="Q95" i="3" l="1"/>
  <c r="P95" i="3"/>
  <c r="O110" i="3"/>
  <c r="O95" i="3"/>
  <c r="N95" i="3"/>
  <c r="M95" i="3"/>
  <c r="L95" i="3"/>
  <c r="K95" i="3"/>
  <c r="J95" i="3"/>
  <c r="I114" i="3"/>
  <c r="R114" i="3" s="1"/>
  <c r="S114" i="3" s="1"/>
  <c r="I113" i="3"/>
  <c r="R113" i="3" s="1"/>
  <c r="S113" i="3" s="1"/>
  <c r="I112" i="3"/>
  <c r="I111" i="3"/>
  <c r="I110" i="3"/>
  <c r="I104" i="3"/>
  <c r="R104" i="3" s="1"/>
  <c r="S104" i="3" s="1"/>
  <c r="I103" i="3"/>
  <c r="R103" i="3" s="1"/>
  <c r="S103" i="3" s="1"/>
  <c r="I102" i="3"/>
  <c r="R102" i="3" s="1"/>
  <c r="S102" i="3" s="1"/>
  <c r="I101" i="3"/>
  <c r="R101" i="3" s="1"/>
  <c r="S101" i="3" s="1"/>
  <c r="I100" i="3"/>
  <c r="R100" i="3" s="1"/>
  <c r="S100" i="3" s="1"/>
  <c r="I99" i="3"/>
  <c r="R99" i="3" s="1"/>
  <c r="S99" i="3" s="1"/>
  <c r="I98" i="3"/>
  <c r="R98" i="3" s="1"/>
  <c r="S98" i="3" s="1"/>
  <c r="I97" i="3"/>
  <c r="R97" i="3" s="1"/>
  <c r="S97" i="3" s="1"/>
  <c r="I96" i="3"/>
  <c r="R96" i="3" s="1"/>
  <c r="S96" i="3" s="1"/>
  <c r="I95" i="3"/>
  <c r="H112" i="3"/>
  <c r="H111" i="3"/>
  <c r="H110" i="3"/>
  <c r="H95" i="3"/>
  <c r="G95" i="3"/>
  <c r="F95" i="3"/>
  <c r="R111" i="3" l="1"/>
  <c r="S111" i="3" s="1"/>
  <c r="R112" i="3"/>
  <c r="S112" i="3" s="1"/>
  <c r="R110" i="3"/>
  <c r="S110" i="3" s="1"/>
  <c r="R95" i="3"/>
  <c r="E95" i="3"/>
  <c r="S95" i="3" l="1"/>
  <c r="Y54" i="3"/>
  <c r="A10" i="4" l="1"/>
  <c r="AH10" i="4" s="1"/>
  <c r="U9" i="3" s="1"/>
  <c r="V9" i="3"/>
  <c r="W9" i="3"/>
  <c r="X9" i="3"/>
  <c r="Y9" i="3"/>
  <c r="Z9" i="3"/>
  <c r="AA9" i="3"/>
  <c r="AB9" i="3"/>
  <c r="AC9" i="3"/>
  <c r="AD9" i="3"/>
  <c r="AE9" i="3"/>
  <c r="AF9" i="3"/>
  <c r="AF91" i="3"/>
  <c r="AF90" i="3"/>
  <c r="AF89" i="3"/>
  <c r="AF88" i="3"/>
  <c r="AF87" i="3"/>
  <c r="AF81" i="3"/>
  <c r="AF80" i="3"/>
  <c r="AF79" i="3"/>
  <c r="AF78" i="3"/>
  <c r="AF77" i="3"/>
  <c r="AF76" i="3"/>
  <c r="AF75" i="3"/>
  <c r="AF74" i="3"/>
  <c r="AF73" i="3"/>
  <c r="AE91" i="3"/>
  <c r="AE90" i="3"/>
  <c r="AE89" i="3"/>
  <c r="AE88" i="3"/>
  <c r="AE87" i="3"/>
  <c r="AE81" i="3"/>
  <c r="AE80" i="3"/>
  <c r="AE79" i="3"/>
  <c r="AE78" i="3"/>
  <c r="AE77" i="3"/>
  <c r="AE76" i="3"/>
  <c r="AE75" i="3"/>
  <c r="AE74" i="3"/>
  <c r="AE73" i="3"/>
  <c r="AD91" i="3"/>
  <c r="AD90" i="3"/>
  <c r="AD89" i="3"/>
  <c r="AD88" i="3"/>
  <c r="AD87" i="3"/>
  <c r="AD81" i="3"/>
  <c r="AD80" i="3"/>
  <c r="AD79" i="3"/>
  <c r="AD78" i="3"/>
  <c r="AD77" i="3"/>
  <c r="AD76" i="3"/>
  <c r="AD75" i="3"/>
  <c r="AD74" i="3"/>
  <c r="AD73" i="3"/>
  <c r="AC91" i="3"/>
  <c r="AC90" i="3"/>
  <c r="AC89" i="3"/>
  <c r="AC88" i="3"/>
  <c r="AC87" i="3"/>
  <c r="AC81" i="3"/>
  <c r="AC80" i="3"/>
  <c r="AC79" i="3"/>
  <c r="AC78" i="3"/>
  <c r="AC77" i="3"/>
  <c r="AC76" i="3"/>
  <c r="AC75" i="3"/>
  <c r="AC74" i="3"/>
  <c r="AC73" i="3"/>
  <c r="AB91" i="3"/>
  <c r="AB90" i="3"/>
  <c r="AB89" i="3"/>
  <c r="AB88" i="3"/>
  <c r="AB87" i="3"/>
  <c r="AB81" i="3"/>
  <c r="AB80" i="3"/>
  <c r="AB79" i="3"/>
  <c r="AB78" i="3"/>
  <c r="AB77" i="3"/>
  <c r="AB76" i="3"/>
  <c r="AB75" i="3"/>
  <c r="AB74" i="3"/>
  <c r="AB73" i="3"/>
  <c r="AA91" i="3"/>
  <c r="AA90" i="3"/>
  <c r="AA89" i="3"/>
  <c r="AA88" i="3"/>
  <c r="AA87" i="3"/>
  <c r="AA81" i="3"/>
  <c r="AA80" i="3"/>
  <c r="AA79" i="3"/>
  <c r="AA78" i="3"/>
  <c r="AA77" i="3"/>
  <c r="AA76" i="3"/>
  <c r="AA75" i="3"/>
  <c r="AA74" i="3"/>
  <c r="AA73" i="3"/>
  <c r="Z91" i="3"/>
  <c r="Z90" i="3"/>
  <c r="Z89" i="3"/>
  <c r="Z88" i="3"/>
  <c r="Z87" i="3"/>
  <c r="Z81" i="3"/>
  <c r="Z80" i="3"/>
  <c r="Z79" i="3"/>
  <c r="Z78" i="3"/>
  <c r="Z77" i="3"/>
  <c r="Z76" i="3"/>
  <c r="Z75" i="3"/>
  <c r="Z74" i="3"/>
  <c r="Z73" i="3"/>
  <c r="Y91" i="3"/>
  <c r="Y90" i="3"/>
  <c r="Y89" i="3"/>
  <c r="Y88" i="3"/>
  <c r="Y87" i="3"/>
  <c r="Y81" i="3"/>
  <c r="Y80" i="3"/>
  <c r="Y79" i="3"/>
  <c r="Y78" i="3"/>
  <c r="Y77" i="3"/>
  <c r="Y76" i="3"/>
  <c r="Y75" i="3"/>
  <c r="Y74" i="3"/>
  <c r="Y73" i="3"/>
  <c r="X91" i="3"/>
  <c r="X90" i="3"/>
  <c r="X89" i="3"/>
  <c r="X88" i="3"/>
  <c r="X87" i="3"/>
  <c r="X81" i="3"/>
  <c r="X80" i="3"/>
  <c r="X79" i="3"/>
  <c r="X77" i="3"/>
  <c r="X76" i="3"/>
  <c r="X75" i="3"/>
  <c r="X74" i="3"/>
  <c r="X73" i="3"/>
  <c r="W91" i="3"/>
  <c r="W90" i="3"/>
  <c r="W89" i="3"/>
  <c r="W88" i="3"/>
  <c r="W87" i="3"/>
  <c r="W81" i="3"/>
  <c r="W80" i="3"/>
  <c r="W79" i="3"/>
  <c r="W78" i="3"/>
  <c r="W76" i="3"/>
  <c r="W75" i="3"/>
  <c r="W74" i="3"/>
  <c r="W73" i="3"/>
  <c r="V91" i="3"/>
  <c r="V90" i="3"/>
  <c r="V89" i="3"/>
  <c r="V88" i="3"/>
  <c r="V87" i="3"/>
  <c r="V81" i="3"/>
  <c r="V80" i="3"/>
  <c r="V79" i="3"/>
  <c r="V78" i="3"/>
  <c r="V77" i="3"/>
  <c r="V76" i="3"/>
  <c r="V75" i="3"/>
  <c r="V74" i="3"/>
  <c r="V73" i="3"/>
  <c r="U86" i="3"/>
  <c r="AG86" i="3" s="1"/>
  <c r="AH86" i="3" s="1"/>
  <c r="U85" i="3"/>
  <c r="AG85" i="3" s="1"/>
  <c r="AH85" i="3" s="1"/>
  <c r="U84" i="3"/>
  <c r="AG84" i="3" s="1"/>
  <c r="AH84" i="3" s="1"/>
  <c r="U83" i="3"/>
  <c r="AG83" i="3" s="1"/>
  <c r="AH83" i="3" s="1"/>
  <c r="U82" i="3"/>
  <c r="AG82" i="3" s="1"/>
  <c r="AH82" i="3" s="1"/>
  <c r="U81" i="3"/>
  <c r="U80" i="3"/>
  <c r="AF68" i="3"/>
  <c r="AF67" i="3"/>
  <c r="AF66" i="3"/>
  <c r="AF65" i="3"/>
  <c r="AF64" i="3"/>
  <c r="AF58" i="3"/>
  <c r="AF57" i="3"/>
  <c r="AF56" i="3"/>
  <c r="AF55" i="3"/>
  <c r="AF54" i="3"/>
  <c r="AF53" i="3"/>
  <c r="AF52" i="3"/>
  <c r="AF51" i="3"/>
  <c r="AF50" i="3"/>
  <c r="AF49" i="3"/>
  <c r="AE68" i="3"/>
  <c r="AE67" i="3"/>
  <c r="AE66" i="3"/>
  <c r="AE65" i="3"/>
  <c r="AE64" i="3"/>
  <c r="AE58" i="3"/>
  <c r="AE57" i="3"/>
  <c r="AE56" i="3"/>
  <c r="AE55" i="3"/>
  <c r="AE54" i="3"/>
  <c r="AE53" i="3"/>
  <c r="AE52" i="3"/>
  <c r="AE51" i="3"/>
  <c r="AE50" i="3"/>
  <c r="AE49" i="3"/>
  <c r="AD68" i="3"/>
  <c r="AD67" i="3"/>
  <c r="AD66" i="3"/>
  <c r="AD65" i="3"/>
  <c r="AD64" i="3"/>
  <c r="AD58" i="3"/>
  <c r="AD57" i="3"/>
  <c r="AD56" i="3"/>
  <c r="AD55" i="3"/>
  <c r="AD54" i="3"/>
  <c r="AD53" i="3"/>
  <c r="AD52" i="3"/>
  <c r="AD51" i="3"/>
  <c r="AD50" i="3"/>
  <c r="AD49" i="3"/>
  <c r="AC68" i="3"/>
  <c r="AC67" i="3"/>
  <c r="AC66" i="3"/>
  <c r="AC65" i="3"/>
  <c r="AC64" i="3"/>
  <c r="AC58" i="3"/>
  <c r="AC57" i="3"/>
  <c r="AC56" i="3"/>
  <c r="AC55" i="3"/>
  <c r="AC54" i="3"/>
  <c r="AC53" i="3"/>
  <c r="AC52" i="3"/>
  <c r="AC51" i="3"/>
  <c r="AC50" i="3"/>
  <c r="AC49" i="3"/>
  <c r="AB68" i="3"/>
  <c r="AB67" i="3"/>
  <c r="AB66" i="3"/>
  <c r="AB65" i="3"/>
  <c r="AB64" i="3"/>
  <c r="AB58" i="3"/>
  <c r="AB57" i="3"/>
  <c r="AB56" i="3"/>
  <c r="AB55" i="3"/>
  <c r="AB54" i="3"/>
  <c r="AB53" i="3"/>
  <c r="AB52" i="3"/>
  <c r="AB51" i="3"/>
  <c r="AB50" i="3"/>
  <c r="AB49" i="3"/>
  <c r="AA68" i="3"/>
  <c r="AA67" i="3"/>
  <c r="AA66" i="3"/>
  <c r="AA65" i="3"/>
  <c r="AA64" i="3"/>
  <c r="AA58" i="3"/>
  <c r="AA57" i="3"/>
  <c r="AA56" i="3"/>
  <c r="AA55" i="3"/>
  <c r="AA54" i="3"/>
  <c r="AA53" i="3"/>
  <c r="AA52" i="3"/>
  <c r="AA51" i="3"/>
  <c r="AA50" i="3"/>
  <c r="AA49" i="3"/>
  <c r="Z68" i="3"/>
  <c r="Z67" i="3"/>
  <c r="Z66" i="3"/>
  <c r="Z65" i="3"/>
  <c r="Z64" i="3"/>
  <c r="Z58" i="3"/>
  <c r="Z57" i="3"/>
  <c r="Z56" i="3"/>
  <c r="Z55" i="3"/>
  <c r="Z54" i="3"/>
  <c r="Z53" i="3"/>
  <c r="Z52" i="3"/>
  <c r="Z51" i="3"/>
  <c r="Z50" i="3"/>
  <c r="Z49" i="3"/>
  <c r="Y68" i="3"/>
  <c r="Y67" i="3"/>
  <c r="Y66" i="3"/>
  <c r="Y65" i="3"/>
  <c r="Y64" i="3"/>
  <c r="Y58" i="3"/>
  <c r="Y57" i="3"/>
  <c r="Y56" i="3"/>
  <c r="Y55" i="3"/>
  <c r="Y53" i="3"/>
  <c r="Y52" i="3"/>
  <c r="Y51" i="3"/>
  <c r="Y50" i="3"/>
  <c r="Y49" i="3"/>
  <c r="X68" i="3"/>
  <c r="X67" i="3"/>
  <c r="X66" i="3"/>
  <c r="X65" i="3"/>
  <c r="X64" i="3"/>
  <c r="X58" i="3"/>
  <c r="X57" i="3"/>
  <c r="X56" i="3"/>
  <c r="X55" i="3"/>
  <c r="X54" i="3"/>
  <c r="X53" i="3"/>
  <c r="X52" i="3"/>
  <c r="X51" i="3"/>
  <c r="X50" i="3"/>
  <c r="X49" i="3"/>
  <c r="W68" i="3"/>
  <c r="W67" i="3"/>
  <c r="W66" i="3"/>
  <c r="W65" i="3"/>
  <c r="W64" i="3"/>
  <c r="W58" i="3"/>
  <c r="W57" i="3"/>
  <c r="W56" i="3"/>
  <c r="W55" i="3"/>
  <c r="W54" i="3"/>
  <c r="W53" i="3"/>
  <c r="W52" i="3"/>
  <c r="W51" i="3"/>
  <c r="W50" i="3"/>
  <c r="W49" i="3"/>
  <c r="V68" i="3"/>
  <c r="V67" i="3"/>
  <c r="V66" i="3"/>
  <c r="V65" i="3"/>
  <c r="V64" i="3"/>
  <c r="V58" i="3"/>
  <c r="V57" i="3"/>
  <c r="V56" i="3"/>
  <c r="V55" i="3"/>
  <c r="V54" i="3"/>
  <c r="V53" i="3"/>
  <c r="V52" i="3"/>
  <c r="V51" i="3"/>
  <c r="V50" i="3"/>
  <c r="V49" i="3"/>
  <c r="U63" i="3"/>
  <c r="AG63" i="3" s="1"/>
  <c r="AH63" i="3" s="1"/>
  <c r="F68" i="3"/>
  <c r="R68" i="3" s="1"/>
  <c r="U62" i="3"/>
  <c r="AG62" i="3" s="1"/>
  <c r="AH62" i="3" s="1"/>
  <c r="U61" i="3"/>
  <c r="AG61" i="3" s="1"/>
  <c r="AH61" i="3" s="1"/>
  <c r="U60" i="3"/>
  <c r="AG60" i="3" s="1"/>
  <c r="AH60" i="3" s="1"/>
  <c r="U59" i="3"/>
  <c r="AG59" i="3" s="1"/>
  <c r="AH59" i="3" s="1"/>
  <c r="U58" i="3"/>
  <c r="U57" i="3"/>
  <c r="A287" i="4"/>
  <c r="AH287" i="4" s="1"/>
  <c r="AF22" i="3" s="1"/>
  <c r="AF21" i="3"/>
  <c r="AF20" i="3"/>
  <c r="AF19" i="3"/>
  <c r="AF18" i="3"/>
  <c r="AF12" i="3"/>
  <c r="AF11" i="3"/>
  <c r="AF10" i="3"/>
  <c r="AF8" i="3"/>
  <c r="AF7" i="3"/>
  <c r="AF6" i="3"/>
  <c r="AF5" i="3"/>
  <c r="AF4" i="3"/>
  <c r="AH268" i="4"/>
  <c r="A263" i="4"/>
  <c r="AH263" i="4" s="1"/>
  <c r="AE22" i="3" s="1"/>
  <c r="AE21" i="3"/>
  <c r="AE20" i="3"/>
  <c r="AE19" i="3"/>
  <c r="AE18" i="3"/>
  <c r="AE12" i="3"/>
  <c r="AE11" i="3"/>
  <c r="AE10" i="3"/>
  <c r="AE8" i="3"/>
  <c r="AE7" i="3"/>
  <c r="AE6" i="3"/>
  <c r="AE5" i="3"/>
  <c r="AE4" i="3"/>
  <c r="AH244" i="4"/>
  <c r="A239" i="4"/>
  <c r="AH239" i="4" s="1"/>
  <c r="AD22" i="3" s="1"/>
  <c r="AD21" i="3"/>
  <c r="AD20" i="3"/>
  <c r="AD19" i="3"/>
  <c r="AD18" i="3"/>
  <c r="AD12" i="3"/>
  <c r="AD11" i="3"/>
  <c r="AD10" i="3"/>
  <c r="AD8" i="3"/>
  <c r="AD7" i="3"/>
  <c r="AD6" i="3"/>
  <c r="AD5" i="3"/>
  <c r="AD4" i="3"/>
  <c r="AH220" i="4"/>
  <c r="A215" i="4"/>
  <c r="AH215" i="4" s="1"/>
  <c r="AC22" i="3" s="1"/>
  <c r="AC21" i="3"/>
  <c r="AC20" i="3"/>
  <c r="AC19" i="3"/>
  <c r="AC18" i="3"/>
  <c r="AC12" i="3"/>
  <c r="AC11" i="3"/>
  <c r="AC10" i="3"/>
  <c r="AC8" i="3"/>
  <c r="AC7" i="3"/>
  <c r="AC6" i="3"/>
  <c r="AC5" i="3"/>
  <c r="AC4" i="3"/>
  <c r="AH196" i="4"/>
  <c r="A191" i="4"/>
  <c r="AH191" i="4" s="1"/>
  <c r="AB22" i="3" s="1"/>
  <c r="AB21" i="3"/>
  <c r="AB20" i="3"/>
  <c r="AB19" i="3"/>
  <c r="AB18" i="3"/>
  <c r="AB12" i="3"/>
  <c r="AB11" i="3"/>
  <c r="AB10" i="3"/>
  <c r="AB8" i="3"/>
  <c r="AB7" i="3"/>
  <c r="AB6" i="3"/>
  <c r="AB5" i="3"/>
  <c r="AB4" i="3"/>
  <c r="AH172" i="4"/>
  <c r="A167" i="4"/>
  <c r="AH167" i="4" s="1"/>
  <c r="AA22" i="3" s="1"/>
  <c r="AA21" i="3"/>
  <c r="AA20" i="3"/>
  <c r="AA19" i="3"/>
  <c r="AA18" i="3"/>
  <c r="AA12" i="3"/>
  <c r="AA11" i="3"/>
  <c r="AA10" i="3"/>
  <c r="AA8" i="3"/>
  <c r="AA7" i="3"/>
  <c r="AA6" i="3"/>
  <c r="AA5" i="3"/>
  <c r="AA4" i="3"/>
  <c r="AH148" i="4"/>
  <c r="A143" i="4"/>
  <c r="AH143" i="4" s="1"/>
  <c r="Z22" i="3" s="1"/>
  <c r="Z21" i="3"/>
  <c r="Z20" i="3"/>
  <c r="Z19" i="3"/>
  <c r="Z18" i="3"/>
  <c r="Z12" i="3"/>
  <c r="Z11" i="3"/>
  <c r="Z10" i="3"/>
  <c r="Z8" i="3"/>
  <c r="Z7" i="3"/>
  <c r="Z6" i="3"/>
  <c r="Z5" i="3"/>
  <c r="Z4" i="3"/>
  <c r="AH124" i="4"/>
  <c r="A119" i="4"/>
  <c r="AH119" i="4" s="1"/>
  <c r="Y22" i="3" s="1"/>
  <c r="Y21" i="3"/>
  <c r="Y20" i="3"/>
  <c r="Y19" i="3"/>
  <c r="Y18" i="3"/>
  <c r="Y12" i="3"/>
  <c r="Y11" i="3"/>
  <c r="Y10" i="3"/>
  <c r="Y8" i="3"/>
  <c r="Y7" i="3"/>
  <c r="Y6" i="3"/>
  <c r="Y5" i="3"/>
  <c r="Y4" i="3"/>
  <c r="AH100" i="4"/>
  <c r="A95" i="4"/>
  <c r="AH95" i="4" s="1"/>
  <c r="X22" i="3" s="1"/>
  <c r="X21" i="3"/>
  <c r="X20" i="3"/>
  <c r="X19" i="3"/>
  <c r="X18" i="3"/>
  <c r="X12" i="3"/>
  <c r="X11" i="3"/>
  <c r="X10" i="3"/>
  <c r="X8" i="3"/>
  <c r="X7" i="3"/>
  <c r="X6" i="3"/>
  <c r="X5" i="3"/>
  <c r="X4" i="3"/>
  <c r="AH76" i="4"/>
  <c r="A71" i="4"/>
  <c r="AH71" i="4" s="1"/>
  <c r="W22" i="3" s="1"/>
  <c r="W21" i="3"/>
  <c r="W20" i="3"/>
  <c r="W19" i="3"/>
  <c r="W18" i="3"/>
  <c r="W12" i="3"/>
  <c r="W11" i="3"/>
  <c r="W10" i="3"/>
  <c r="W8" i="3"/>
  <c r="W7" i="3"/>
  <c r="W6" i="3"/>
  <c r="W5" i="3"/>
  <c r="W4" i="3"/>
  <c r="AH52" i="4"/>
  <c r="A47" i="4"/>
  <c r="AH47" i="4" s="1"/>
  <c r="V22" i="3" s="1"/>
  <c r="V21" i="3"/>
  <c r="V20" i="3"/>
  <c r="V19" i="3"/>
  <c r="V18" i="3"/>
  <c r="V12" i="3"/>
  <c r="V11" i="3"/>
  <c r="V10" i="3"/>
  <c r="V8" i="3"/>
  <c r="V7" i="3"/>
  <c r="V6" i="3"/>
  <c r="V5" i="3"/>
  <c r="V4" i="3"/>
  <c r="AH28" i="4"/>
  <c r="V3" i="3" s="1"/>
  <c r="E90" i="3"/>
  <c r="S90" i="3" s="1"/>
  <c r="E89" i="3"/>
  <c r="S89" i="3" s="1"/>
  <c r="E88" i="3"/>
  <c r="S88" i="3" s="1"/>
  <c r="E81" i="3"/>
  <c r="S81" i="3" s="1"/>
  <c r="E80" i="3"/>
  <c r="S80" i="3" s="1"/>
  <c r="E67" i="3"/>
  <c r="F67" i="3"/>
  <c r="R67" i="3" s="1"/>
  <c r="S67" i="3" s="1"/>
  <c r="E66" i="3"/>
  <c r="F66" i="3"/>
  <c r="R66" i="3" s="1"/>
  <c r="E65" i="3"/>
  <c r="F65" i="3"/>
  <c r="R65" i="3" s="1"/>
  <c r="S65" i="3" s="1"/>
  <c r="F64" i="3"/>
  <c r="R64" i="3" s="1"/>
  <c r="S64" i="3" s="1"/>
  <c r="E58" i="3"/>
  <c r="F58" i="3"/>
  <c r="R58" i="3" s="1"/>
  <c r="E57" i="3"/>
  <c r="F57" i="3"/>
  <c r="R57" i="3" s="1"/>
  <c r="AI268" i="4"/>
  <c r="Q3" i="3" s="1"/>
  <c r="AI244" i="4"/>
  <c r="P3" i="3" s="1"/>
  <c r="AI220" i="4"/>
  <c r="O3" i="3" s="1"/>
  <c r="AI196" i="4"/>
  <c r="N3" i="3" s="1"/>
  <c r="AI172" i="4"/>
  <c r="M3" i="3" s="1"/>
  <c r="AI148" i="4"/>
  <c r="L3" i="3" s="1"/>
  <c r="AI124" i="4"/>
  <c r="K3" i="3" s="1"/>
  <c r="AI100" i="4"/>
  <c r="J3" i="3" s="1"/>
  <c r="AI76" i="4"/>
  <c r="I3" i="3" s="1"/>
  <c r="AI52" i="4"/>
  <c r="H3" i="3" s="1"/>
  <c r="AI28" i="4"/>
  <c r="G3" i="3" s="1"/>
  <c r="U17" i="3"/>
  <c r="AG17" i="3" s="1"/>
  <c r="AH17" i="3" s="1"/>
  <c r="A17" i="4"/>
  <c r="AH17" i="4" s="1"/>
  <c r="U16" i="3" s="1"/>
  <c r="AG16" i="3" s="1"/>
  <c r="AH16" i="3" s="1"/>
  <c r="A16" i="4"/>
  <c r="AH16" i="4" s="1"/>
  <c r="U15" i="3" s="1"/>
  <c r="AG15" i="3" s="1"/>
  <c r="AH15" i="3" s="1"/>
  <c r="A15" i="4"/>
  <c r="AH15" i="4" s="1"/>
  <c r="U14" i="3" s="1"/>
  <c r="AG14" i="3" s="1"/>
  <c r="AH14" i="3" s="1"/>
  <c r="A14" i="4"/>
  <c r="AH14" i="4" s="1"/>
  <c r="U13" i="3" s="1"/>
  <c r="AG13" i="3" s="1"/>
  <c r="AH13" i="3" s="1"/>
  <c r="A13" i="4"/>
  <c r="AH13" i="4" s="1"/>
  <c r="U12" i="3" s="1"/>
  <c r="A12" i="4"/>
  <c r="AH12" i="4" s="1"/>
  <c r="U11" i="3" s="1"/>
  <c r="A11" i="4"/>
  <c r="AH11" i="4" s="1"/>
  <c r="U10" i="3" s="1"/>
  <c r="A9" i="4"/>
  <c r="AH9" i="4" s="1"/>
  <c r="U8" i="3" s="1"/>
  <c r="A8" i="4"/>
  <c r="AH8" i="4" s="1"/>
  <c r="U7" i="3" s="1"/>
  <c r="A7" i="4"/>
  <c r="AH7" i="4" s="1"/>
  <c r="U6" i="3" s="1"/>
  <c r="A6" i="4"/>
  <c r="AH6" i="4" s="1"/>
  <c r="U5" i="3" s="1"/>
  <c r="A5" i="4"/>
  <c r="AH5" i="4" s="1"/>
  <c r="U4" i="3" s="1"/>
  <c r="AI4" i="4"/>
  <c r="F3" i="3" s="1"/>
  <c r="A4" i="4"/>
  <c r="AH4" i="4" s="1"/>
  <c r="U3" i="3" s="1"/>
  <c r="Q49" i="3"/>
  <c r="Q72" i="3"/>
  <c r="AF45" i="3"/>
  <c r="AF44" i="3"/>
  <c r="AF43" i="3"/>
  <c r="AF42" i="3"/>
  <c r="AF41" i="3"/>
  <c r="AF35" i="3"/>
  <c r="AF34" i="3"/>
  <c r="AF33" i="3"/>
  <c r="AF32" i="3"/>
  <c r="AF31" i="3"/>
  <c r="AF30" i="3"/>
  <c r="AF29" i="3"/>
  <c r="AF28" i="3"/>
  <c r="AF27" i="3"/>
  <c r="Q26" i="3"/>
  <c r="AF26" i="3"/>
  <c r="P49" i="3"/>
  <c r="P72" i="3"/>
  <c r="AE45" i="3"/>
  <c r="AE44" i="3"/>
  <c r="AE43" i="3"/>
  <c r="AE42" i="3"/>
  <c r="AE41" i="3"/>
  <c r="AE35" i="3"/>
  <c r="AE34" i="3"/>
  <c r="AE33" i="3"/>
  <c r="AE32" i="3"/>
  <c r="AE31" i="3"/>
  <c r="AE30" i="3"/>
  <c r="AE29" i="3"/>
  <c r="AE28" i="3"/>
  <c r="AE27" i="3"/>
  <c r="P26" i="3"/>
  <c r="AE26" i="3"/>
  <c r="O49" i="3"/>
  <c r="O72" i="3"/>
  <c r="AD45" i="3"/>
  <c r="AD44" i="3"/>
  <c r="AD43" i="3"/>
  <c r="AD42" i="3"/>
  <c r="AD41" i="3"/>
  <c r="AD35" i="3"/>
  <c r="AD34" i="3"/>
  <c r="AD33" i="3"/>
  <c r="AD32" i="3"/>
  <c r="AD31" i="3"/>
  <c r="AD30" i="3"/>
  <c r="AD29" i="3"/>
  <c r="AD28" i="3"/>
  <c r="AD27" i="3"/>
  <c r="O26" i="3"/>
  <c r="AD26" i="3"/>
  <c r="N49" i="3"/>
  <c r="N72" i="3"/>
  <c r="AC45" i="3"/>
  <c r="AC44" i="3"/>
  <c r="AC43" i="3"/>
  <c r="AC42" i="3"/>
  <c r="AC41" i="3"/>
  <c r="AC35" i="3"/>
  <c r="AC34" i="3"/>
  <c r="AC33" i="3"/>
  <c r="AC32" i="3"/>
  <c r="AC31" i="3"/>
  <c r="AC30" i="3"/>
  <c r="AC29" i="3"/>
  <c r="AC28" i="3"/>
  <c r="AC27" i="3"/>
  <c r="N26" i="3"/>
  <c r="AC26" i="3"/>
  <c r="M49" i="3"/>
  <c r="M72" i="3"/>
  <c r="AB45" i="3"/>
  <c r="AB44" i="3"/>
  <c r="AB43" i="3"/>
  <c r="AB42" i="3"/>
  <c r="AB41" i="3"/>
  <c r="AB35" i="3"/>
  <c r="AB34" i="3"/>
  <c r="AB33" i="3"/>
  <c r="AB32" i="3"/>
  <c r="AB31" i="3"/>
  <c r="AB30" i="3"/>
  <c r="AB29" i="3"/>
  <c r="AB28" i="3"/>
  <c r="AB27" i="3"/>
  <c r="M26" i="3"/>
  <c r="AB26" i="3"/>
  <c r="L49" i="3"/>
  <c r="L72" i="3"/>
  <c r="AA45" i="3"/>
  <c r="AA44" i="3"/>
  <c r="AA43" i="3"/>
  <c r="AA42" i="3"/>
  <c r="AA41" i="3"/>
  <c r="AA35" i="3"/>
  <c r="AA34" i="3"/>
  <c r="AA33" i="3"/>
  <c r="AA32" i="3"/>
  <c r="AA31" i="3"/>
  <c r="AA30" i="3"/>
  <c r="AA29" i="3"/>
  <c r="AA28" i="3"/>
  <c r="AA27" i="3"/>
  <c r="L26" i="3"/>
  <c r="AA26" i="3"/>
  <c r="K49" i="3"/>
  <c r="K72" i="3"/>
  <c r="Z45" i="3"/>
  <c r="Z44" i="3"/>
  <c r="Z43" i="3"/>
  <c r="Z42" i="3"/>
  <c r="Z41" i="3"/>
  <c r="Z35" i="3"/>
  <c r="Z34" i="3"/>
  <c r="Z33" i="3"/>
  <c r="Z32" i="3"/>
  <c r="Z31" i="3"/>
  <c r="Z30" i="3"/>
  <c r="Z29" i="3"/>
  <c r="Z28" i="3"/>
  <c r="Z27" i="3"/>
  <c r="K26" i="3"/>
  <c r="Z26" i="3"/>
  <c r="J49" i="3"/>
  <c r="J72" i="3"/>
  <c r="Y45" i="3"/>
  <c r="Y44" i="3"/>
  <c r="Y43" i="3"/>
  <c r="Y42" i="3"/>
  <c r="Y41" i="3"/>
  <c r="Y35" i="3"/>
  <c r="Y34" i="3"/>
  <c r="Y33" i="3"/>
  <c r="Y32" i="3"/>
  <c r="Y31" i="3"/>
  <c r="Y30" i="3"/>
  <c r="Y29" i="3"/>
  <c r="Y28" i="3"/>
  <c r="Y27" i="3"/>
  <c r="J26" i="3"/>
  <c r="Y26" i="3"/>
  <c r="I49" i="3"/>
  <c r="X78" i="3"/>
  <c r="I72" i="3"/>
  <c r="X45" i="3"/>
  <c r="X44" i="3"/>
  <c r="X43" i="3"/>
  <c r="X42" i="3"/>
  <c r="X41" i="3"/>
  <c r="X35" i="3"/>
  <c r="X34" i="3"/>
  <c r="X33" i="3"/>
  <c r="X32" i="3"/>
  <c r="X31" i="3"/>
  <c r="X30" i="3"/>
  <c r="X29" i="3"/>
  <c r="X28" i="3"/>
  <c r="X27" i="3"/>
  <c r="I26" i="3"/>
  <c r="X26" i="3"/>
  <c r="H49" i="3"/>
  <c r="W77" i="3"/>
  <c r="H72" i="3"/>
  <c r="W45" i="3"/>
  <c r="W44" i="3"/>
  <c r="W43" i="3"/>
  <c r="W42" i="3"/>
  <c r="W41" i="3"/>
  <c r="W35" i="3"/>
  <c r="W34" i="3"/>
  <c r="W33" i="3"/>
  <c r="W32" i="3"/>
  <c r="W31" i="3"/>
  <c r="W30" i="3"/>
  <c r="W29" i="3"/>
  <c r="W28" i="3"/>
  <c r="W27" i="3"/>
  <c r="H26" i="3"/>
  <c r="W26" i="3"/>
  <c r="G49" i="3"/>
  <c r="G72" i="3"/>
  <c r="V45" i="3"/>
  <c r="V44" i="3"/>
  <c r="V43" i="3"/>
  <c r="V42" i="3"/>
  <c r="V41" i="3"/>
  <c r="V35" i="3"/>
  <c r="V34" i="3"/>
  <c r="V33" i="3"/>
  <c r="V32" i="3"/>
  <c r="V31" i="3"/>
  <c r="V30" i="3"/>
  <c r="V29" i="3"/>
  <c r="V28" i="3"/>
  <c r="V27" i="3"/>
  <c r="G26" i="3"/>
  <c r="V26" i="3"/>
  <c r="U50" i="3"/>
  <c r="F50" i="3"/>
  <c r="R50" i="3" s="1"/>
  <c r="U51" i="3"/>
  <c r="F51" i="3"/>
  <c r="R51" i="3" s="1"/>
  <c r="U52" i="3"/>
  <c r="F52" i="3"/>
  <c r="R52" i="3" s="1"/>
  <c r="U53" i="3"/>
  <c r="F53" i="3"/>
  <c r="R53" i="3" s="1"/>
  <c r="U54" i="3"/>
  <c r="F54" i="3"/>
  <c r="R54" i="3" s="1"/>
  <c r="U55" i="3"/>
  <c r="F55" i="3"/>
  <c r="R55" i="3" s="1"/>
  <c r="U56" i="3"/>
  <c r="F56" i="3"/>
  <c r="R56" i="3" s="1"/>
  <c r="U73" i="3"/>
  <c r="U74" i="3"/>
  <c r="U75" i="3"/>
  <c r="U76" i="3"/>
  <c r="U77" i="3"/>
  <c r="U78" i="3"/>
  <c r="U79" i="3"/>
  <c r="U27" i="3"/>
  <c r="U28" i="3"/>
  <c r="U29" i="3"/>
  <c r="U30" i="3"/>
  <c r="U31" i="3"/>
  <c r="U32" i="3"/>
  <c r="U33" i="3"/>
  <c r="U34" i="3"/>
  <c r="U35" i="3"/>
  <c r="U36" i="3"/>
  <c r="AG36" i="3" s="1"/>
  <c r="AH36" i="3" s="1"/>
  <c r="U37" i="3"/>
  <c r="AG37" i="3" s="1"/>
  <c r="AH37" i="3" s="1"/>
  <c r="U38" i="3"/>
  <c r="AG38" i="3" s="1"/>
  <c r="AH38" i="3" s="1"/>
  <c r="U39" i="3"/>
  <c r="AG39" i="3" s="1"/>
  <c r="AH39" i="3" s="1"/>
  <c r="U40" i="3"/>
  <c r="AG40" i="3" s="1"/>
  <c r="AH40" i="3" s="1"/>
  <c r="U49" i="3"/>
  <c r="U72" i="3"/>
  <c r="U26" i="3"/>
  <c r="E44" i="3"/>
  <c r="S44" i="3" s="1"/>
  <c r="E43" i="3"/>
  <c r="S43" i="3" s="1"/>
  <c r="E42" i="3"/>
  <c r="S42" i="3" s="1"/>
  <c r="E41" i="3"/>
  <c r="S41" i="3" s="1"/>
  <c r="E35" i="3"/>
  <c r="S35" i="3" s="1"/>
  <c r="E34" i="3"/>
  <c r="S34" i="3" s="1"/>
  <c r="E17" i="3"/>
  <c r="S17" i="3" s="1"/>
  <c r="B2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B3" i="4"/>
  <c r="E3" i="4"/>
  <c r="F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E72" i="3"/>
  <c r="E73" i="3"/>
  <c r="S73" i="3" s="1"/>
  <c r="E74" i="3"/>
  <c r="S74" i="3" s="1"/>
  <c r="E75" i="3"/>
  <c r="S75" i="3" s="1"/>
  <c r="E76" i="3"/>
  <c r="S76" i="3" s="1"/>
  <c r="E77" i="3"/>
  <c r="S77" i="3" s="1"/>
  <c r="E78" i="3"/>
  <c r="S78" i="3" s="1"/>
  <c r="E79" i="3"/>
  <c r="S79" i="3" s="1"/>
  <c r="E91" i="3"/>
  <c r="S91" i="3" s="1"/>
  <c r="F72" i="3"/>
  <c r="F49" i="3"/>
  <c r="B27" i="4"/>
  <c r="E68" i="3"/>
  <c r="E56" i="3"/>
  <c r="E55" i="3"/>
  <c r="E54" i="3"/>
  <c r="E53" i="3"/>
  <c r="E52" i="3"/>
  <c r="E51" i="3"/>
  <c r="E50" i="3"/>
  <c r="E49" i="3"/>
  <c r="AF2" i="4"/>
  <c r="AF3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74" i="4"/>
  <c r="C74" i="4"/>
  <c r="D74" i="4"/>
  <c r="E74" i="4"/>
  <c r="F74" i="4"/>
  <c r="G74" i="4"/>
  <c r="H74" i="4"/>
  <c r="I74" i="4"/>
  <c r="J74" i="4"/>
  <c r="K74" i="4"/>
  <c r="L74" i="4"/>
  <c r="M74" i="4"/>
  <c r="N74" i="4"/>
  <c r="O74" i="4"/>
  <c r="P74" i="4"/>
  <c r="Q74" i="4"/>
  <c r="R74" i="4"/>
  <c r="S74" i="4"/>
  <c r="T74" i="4"/>
  <c r="U74" i="4"/>
  <c r="V74" i="4"/>
  <c r="W74" i="4"/>
  <c r="X74" i="4"/>
  <c r="Y74" i="4"/>
  <c r="Z74" i="4"/>
  <c r="AA74" i="4"/>
  <c r="AB74" i="4"/>
  <c r="AC74" i="4"/>
  <c r="AD74" i="4"/>
  <c r="AE74" i="4"/>
  <c r="B75" i="4"/>
  <c r="C75" i="4"/>
  <c r="D75" i="4"/>
  <c r="E75" i="4"/>
  <c r="F75" i="4"/>
  <c r="G75" i="4"/>
  <c r="H75" i="4"/>
  <c r="I75" i="4"/>
  <c r="J75" i="4"/>
  <c r="K75" i="4"/>
  <c r="L75" i="4"/>
  <c r="M75" i="4"/>
  <c r="N75" i="4"/>
  <c r="O75" i="4"/>
  <c r="P75" i="4"/>
  <c r="Q75" i="4"/>
  <c r="R75" i="4"/>
  <c r="S75" i="4"/>
  <c r="T75" i="4"/>
  <c r="U75" i="4"/>
  <c r="V75" i="4"/>
  <c r="W75" i="4"/>
  <c r="X75" i="4"/>
  <c r="Y75" i="4"/>
  <c r="Z75" i="4"/>
  <c r="AA75" i="4"/>
  <c r="AB75" i="4"/>
  <c r="AC75" i="4"/>
  <c r="AD75" i="4"/>
  <c r="AE75" i="4"/>
  <c r="B98" i="4"/>
  <c r="C98" i="4"/>
  <c r="D98" i="4"/>
  <c r="E98" i="4"/>
  <c r="F98" i="4"/>
  <c r="G98" i="4"/>
  <c r="H98" i="4"/>
  <c r="I98" i="4"/>
  <c r="J98" i="4"/>
  <c r="K98" i="4"/>
  <c r="L98" i="4"/>
  <c r="M98" i="4"/>
  <c r="N98" i="4"/>
  <c r="O98" i="4"/>
  <c r="P98" i="4"/>
  <c r="Q98" i="4"/>
  <c r="R98" i="4"/>
  <c r="S98" i="4"/>
  <c r="T98" i="4"/>
  <c r="U98" i="4"/>
  <c r="V98" i="4"/>
  <c r="W98" i="4"/>
  <c r="X98" i="4"/>
  <c r="Y98" i="4"/>
  <c r="Z98" i="4"/>
  <c r="AA98" i="4"/>
  <c r="AB98" i="4"/>
  <c r="AC98" i="4"/>
  <c r="AD98" i="4"/>
  <c r="AE98" i="4"/>
  <c r="AF98" i="4"/>
  <c r="B99" i="4"/>
  <c r="C99" i="4"/>
  <c r="D99" i="4"/>
  <c r="E99" i="4"/>
  <c r="F99" i="4"/>
  <c r="G99" i="4"/>
  <c r="H99" i="4"/>
  <c r="I99" i="4"/>
  <c r="J99" i="4"/>
  <c r="K99" i="4"/>
  <c r="L99" i="4"/>
  <c r="M99" i="4"/>
  <c r="N99" i="4"/>
  <c r="O99" i="4"/>
  <c r="P99" i="4"/>
  <c r="Q99" i="4"/>
  <c r="R99" i="4"/>
  <c r="S99" i="4"/>
  <c r="T99" i="4"/>
  <c r="U99" i="4"/>
  <c r="V99" i="4"/>
  <c r="W99" i="4"/>
  <c r="X99" i="4"/>
  <c r="Y99" i="4"/>
  <c r="Z99" i="4"/>
  <c r="AA99" i="4"/>
  <c r="AB99" i="4"/>
  <c r="AC99" i="4"/>
  <c r="AD99" i="4"/>
  <c r="AE99" i="4"/>
  <c r="AF99" i="4"/>
  <c r="B122" i="4"/>
  <c r="C122" i="4"/>
  <c r="D122" i="4"/>
  <c r="E122" i="4"/>
  <c r="F122" i="4"/>
  <c r="G122" i="4"/>
  <c r="H122" i="4"/>
  <c r="I122" i="4"/>
  <c r="J122" i="4"/>
  <c r="K122" i="4"/>
  <c r="L122" i="4"/>
  <c r="M122" i="4"/>
  <c r="N122" i="4"/>
  <c r="O122" i="4"/>
  <c r="P122" i="4"/>
  <c r="Q122" i="4"/>
  <c r="R122" i="4"/>
  <c r="S122" i="4"/>
  <c r="T122" i="4"/>
  <c r="U122" i="4"/>
  <c r="V122" i="4"/>
  <c r="W122" i="4"/>
  <c r="X122" i="4"/>
  <c r="Y122" i="4"/>
  <c r="Z122" i="4"/>
  <c r="AA122" i="4"/>
  <c r="AB122" i="4"/>
  <c r="AC122" i="4"/>
  <c r="AD122" i="4"/>
  <c r="AE122" i="4"/>
  <c r="B123" i="4"/>
  <c r="C123" i="4"/>
  <c r="D123" i="4"/>
  <c r="E123" i="4"/>
  <c r="F123" i="4"/>
  <c r="G123" i="4"/>
  <c r="H123" i="4"/>
  <c r="I123" i="4"/>
  <c r="J123" i="4"/>
  <c r="K123" i="4"/>
  <c r="L123" i="4"/>
  <c r="M123" i="4"/>
  <c r="N123" i="4"/>
  <c r="O123" i="4"/>
  <c r="P123" i="4"/>
  <c r="Q123" i="4"/>
  <c r="R123" i="4"/>
  <c r="S123" i="4"/>
  <c r="T123" i="4"/>
  <c r="U123" i="4"/>
  <c r="V123" i="4"/>
  <c r="W123" i="4"/>
  <c r="X123" i="4"/>
  <c r="Y123" i="4"/>
  <c r="Z123" i="4"/>
  <c r="AA123" i="4"/>
  <c r="AB123" i="4"/>
  <c r="AC123" i="4"/>
  <c r="AD123" i="4"/>
  <c r="AE123" i="4"/>
  <c r="B146" i="4"/>
  <c r="C146" i="4"/>
  <c r="D146" i="4"/>
  <c r="E146" i="4"/>
  <c r="F146" i="4"/>
  <c r="G146" i="4"/>
  <c r="H146" i="4"/>
  <c r="I146" i="4"/>
  <c r="J146" i="4"/>
  <c r="K146" i="4"/>
  <c r="L146" i="4"/>
  <c r="M146" i="4"/>
  <c r="N146" i="4"/>
  <c r="O146" i="4"/>
  <c r="P146" i="4"/>
  <c r="Q146" i="4"/>
  <c r="R146" i="4"/>
  <c r="S146" i="4"/>
  <c r="T146" i="4"/>
  <c r="U146" i="4"/>
  <c r="V146" i="4"/>
  <c r="W146" i="4"/>
  <c r="X146" i="4"/>
  <c r="Y146" i="4"/>
  <c r="Z146" i="4"/>
  <c r="AA146" i="4"/>
  <c r="AB146" i="4"/>
  <c r="AC146" i="4"/>
  <c r="AD146" i="4"/>
  <c r="AE146" i="4"/>
  <c r="AF146" i="4"/>
  <c r="B147" i="4"/>
  <c r="C147" i="4"/>
  <c r="D147" i="4"/>
  <c r="E147" i="4"/>
  <c r="F147" i="4"/>
  <c r="G147" i="4"/>
  <c r="H147" i="4"/>
  <c r="I147" i="4"/>
  <c r="J147" i="4"/>
  <c r="K147" i="4"/>
  <c r="L147" i="4"/>
  <c r="M147" i="4"/>
  <c r="N147" i="4"/>
  <c r="O147" i="4"/>
  <c r="P147" i="4"/>
  <c r="Q147" i="4"/>
  <c r="R147" i="4"/>
  <c r="S147" i="4"/>
  <c r="T147" i="4"/>
  <c r="U147" i="4"/>
  <c r="V147" i="4"/>
  <c r="W147" i="4"/>
  <c r="X147" i="4"/>
  <c r="Y147" i="4"/>
  <c r="Z147" i="4"/>
  <c r="AA147" i="4"/>
  <c r="AB147" i="4"/>
  <c r="AC147" i="4"/>
  <c r="AD147" i="4"/>
  <c r="AE147" i="4"/>
  <c r="AF147" i="4"/>
  <c r="B170" i="4"/>
  <c r="C170" i="4"/>
  <c r="D170" i="4"/>
  <c r="E170" i="4"/>
  <c r="F170" i="4"/>
  <c r="G170" i="4"/>
  <c r="H170" i="4"/>
  <c r="I170" i="4"/>
  <c r="J170" i="4"/>
  <c r="K170" i="4"/>
  <c r="L170" i="4"/>
  <c r="M170" i="4"/>
  <c r="N170" i="4"/>
  <c r="O170" i="4"/>
  <c r="P170" i="4"/>
  <c r="Q170" i="4"/>
  <c r="R170" i="4"/>
  <c r="S170" i="4"/>
  <c r="T170" i="4"/>
  <c r="U170" i="4"/>
  <c r="V170" i="4"/>
  <c r="W170" i="4"/>
  <c r="X170" i="4"/>
  <c r="Y170" i="4"/>
  <c r="Z170" i="4"/>
  <c r="AA170" i="4"/>
  <c r="AB170" i="4"/>
  <c r="AC170" i="4"/>
  <c r="AD170" i="4"/>
  <c r="AE170" i="4"/>
  <c r="AF170" i="4"/>
  <c r="B171" i="4"/>
  <c r="C171" i="4"/>
  <c r="D171" i="4"/>
  <c r="E171" i="4"/>
  <c r="F171" i="4"/>
  <c r="G171" i="4"/>
  <c r="H171" i="4"/>
  <c r="I171" i="4"/>
  <c r="J171" i="4"/>
  <c r="K171" i="4"/>
  <c r="L171" i="4"/>
  <c r="M171" i="4"/>
  <c r="N171" i="4"/>
  <c r="O171" i="4"/>
  <c r="P171" i="4"/>
  <c r="Q171" i="4"/>
  <c r="R171" i="4"/>
  <c r="S171" i="4"/>
  <c r="T171" i="4"/>
  <c r="U171" i="4"/>
  <c r="V171" i="4"/>
  <c r="W171" i="4"/>
  <c r="X171" i="4"/>
  <c r="Y171" i="4"/>
  <c r="Z171" i="4"/>
  <c r="AA171" i="4"/>
  <c r="AB171" i="4"/>
  <c r="AC171" i="4"/>
  <c r="AD171" i="4"/>
  <c r="AE171" i="4"/>
  <c r="AF171" i="4"/>
  <c r="B194" i="4"/>
  <c r="C194" i="4"/>
  <c r="D194" i="4"/>
  <c r="E194" i="4"/>
  <c r="F194" i="4"/>
  <c r="G194" i="4"/>
  <c r="H194" i="4"/>
  <c r="I194" i="4"/>
  <c r="J194" i="4"/>
  <c r="K194" i="4"/>
  <c r="L194" i="4"/>
  <c r="M194" i="4"/>
  <c r="N194" i="4"/>
  <c r="O194" i="4"/>
  <c r="P194" i="4"/>
  <c r="Q194" i="4"/>
  <c r="R194" i="4"/>
  <c r="S194" i="4"/>
  <c r="T194" i="4"/>
  <c r="U194" i="4"/>
  <c r="V194" i="4"/>
  <c r="W194" i="4"/>
  <c r="X194" i="4"/>
  <c r="Y194" i="4"/>
  <c r="Z194" i="4"/>
  <c r="AA194" i="4"/>
  <c r="AB194" i="4"/>
  <c r="AC194" i="4"/>
  <c r="AD194" i="4"/>
  <c r="AE194" i="4"/>
  <c r="B195" i="4"/>
  <c r="C195" i="4"/>
  <c r="D195" i="4"/>
  <c r="E195" i="4"/>
  <c r="F195" i="4"/>
  <c r="G195" i="4"/>
  <c r="H195" i="4"/>
  <c r="I195" i="4"/>
  <c r="J195" i="4"/>
  <c r="K195" i="4"/>
  <c r="L195" i="4"/>
  <c r="M195" i="4"/>
  <c r="N195" i="4"/>
  <c r="O195" i="4"/>
  <c r="P195" i="4"/>
  <c r="Q195" i="4"/>
  <c r="R195" i="4"/>
  <c r="S195" i="4"/>
  <c r="T195" i="4"/>
  <c r="U195" i="4"/>
  <c r="V195" i="4"/>
  <c r="W195" i="4"/>
  <c r="X195" i="4"/>
  <c r="Y195" i="4"/>
  <c r="Z195" i="4"/>
  <c r="AA195" i="4"/>
  <c r="AB195" i="4"/>
  <c r="AC195" i="4"/>
  <c r="AD195" i="4"/>
  <c r="AE195" i="4"/>
  <c r="B218" i="4"/>
  <c r="C218" i="4"/>
  <c r="D218" i="4"/>
  <c r="E218" i="4"/>
  <c r="F218" i="4"/>
  <c r="G218" i="4"/>
  <c r="H218" i="4"/>
  <c r="I218" i="4"/>
  <c r="J218" i="4"/>
  <c r="K218" i="4"/>
  <c r="L218" i="4"/>
  <c r="M218" i="4"/>
  <c r="N218" i="4"/>
  <c r="O218" i="4"/>
  <c r="P218" i="4"/>
  <c r="Q218" i="4"/>
  <c r="R218" i="4"/>
  <c r="S218" i="4"/>
  <c r="T218" i="4"/>
  <c r="U218" i="4"/>
  <c r="V218" i="4"/>
  <c r="W218" i="4"/>
  <c r="X218" i="4"/>
  <c r="Y218" i="4"/>
  <c r="Z218" i="4"/>
  <c r="AA218" i="4"/>
  <c r="AB218" i="4"/>
  <c r="AC218" i="4"/>
  <c r="AD218" i="4"/>
  <c r="AE218" i="4"/>
  <c r="AF218" i="4"/>
  <c r="B219" i="4"/>
  <c r="C219" i="4"/>
  <c r="D219" i="4"/>
  <c r="E219" i="4"/>
  <c r="F219" i="4"/>
  <c r="G219" i="4"/>
  <c r="H219" i="4"/>
  <c r="I219" i="4"/>
  <c r="J219" i="4"/>
  <c r="K219" i="4"/>
  <c r="L219" i="4"/>
  <c r="M219" i="4"/>
  <c r="N219" i="4"/>
  <c r="O219" i="4"/>
  <c r="P219" i="4"/>
  <c r="Q219" i="4"/>
  <c r="R219" i="4"/>
  <c r="S219" i="4"/>
  <c r="T219" i="4"/>
  <c r="U219" i="4"/>
  <c r="V219" i="4"/>
  <c r="W219" i="4"/>
  <c r="X219" i="4"/>
  <c r="Y219" i="4"/>
  <c r="Z219" i="4"/>
  <c r="AA219" i="4"/>
  <c r="AB219" i="4"/>
  <c r="AC219" i="4"/>
  <c r="AD219" i="4"/>
  <c r="AE219" i="4"/>
  <c r="AF219" i="4"/>
  <c r="B242" i="4"/>
  <c r="C242" i="4"/>
  <c r="D242" i="4"/>
  <c r="E242" i="4"/>
  <c r="F242" i="4"/>
  <c r="G242" i="4"/>
  <c r="H242" i="4"/>
  <c r="I242" i="4"/>
  <c r="J242" i="4"/>
  <c r="K242" i="4"/>
  <c r="L242" i="4"/>
  <c r="M242" i="4"/>
  <c r="N242" i="4"/>
  <c r="O242" i="4"/>
  <c r="P242" i="4"/>
  <c r="Q242" i="4"/>
  <c r="R242" i="4"/>
  <c r="S242" i="4"/>
  <c r="T242" i="4"/>
  <c r="U242" i="4"/>
  <c r="V242" i="4"/>
  <c r="W242" i="4"/>
  <c r="X242" i="4"/>
  <c r="Y242" i="4"/>
  <c r="Z242" i="4"/>
  <c r="AA242" i="4"/>
  <c r="AB242" i="4"/>
  <c r="AC242" i="4"/>
  <c r="AD242" i="4"/>
  <c r="AE242" i="4"/>
  <c r="B243" i="4"/>
  <c r="C243" i="4"/>
  <c r="D243" i="4"/>
  <c r="E243" i="4"/>
  <c r="F243" i="4"/>
  <c r="G243" i="4"/>
  <c r="H243" i="4"/>
  <c r="I243" i="4"/>
  <c r="J243" i="4"/>
  <c r="K243" i="4"/>
  <c r="L243" i="4"/>
  <c r="M243" i="4"/>
  <c r="N243" i="4"/>
  <c r="O243" i="4"/>
  <c r="P243" i="4"/>
  <c r="Q243" i="4"/>
  <c r="R243" i="4"/>
  <c r="S243" i="4"/>
  <c r="T243" i="4"/>
  <c r="U243" i="4"/>
  <c r="V243" i="4"/>
  <c r="W243" i="4"/>
  <c r="X243" i="4"/>
  <c r="Y243" i="4"/>
  <c r="Z243" i="4"/>
  <c r="AA243" i="4"/>
  <c r="AB243" i="4"/>
  <c r="AC243" i="4"/>
  <c r="AD243" i="4"/>
  <c r="AE243" i="4"/>
  <c r="B266" i="4"/>
  <c r="C266" i="4"/>
  <c r="D266" i="4"/>
  <c r="E266" i="4"/>
  <c r="F266" i="4"/>
  <c r="G266" i="4"/>
  <c r="H266" i="4"/>
  <c r="I266" i="4"/>
  <c r="J266" i="4"/>
  <c r="K266" i="4"/>
  <c r="L266" i="4"/>
  <c r="M266" i="4"/>
  <c r="N266" i="4"/>
  <c r="O266" i="4"/>
  <c r="P266" i="4"/>
  <c r="Q266" i="4"/>
  <c r="R266" i="4"/>
  <c r="S266" i="4"/>
  <c r="T266" i="4"/>
  <c r="U266" i="4"/>
  <c r="V266" i="4"/>
  <c r="W266" i="4"/>
  <c r="X266" i="4"/>
  <c r="Y266" i="4"/>
  <c r="Z266" i="4"/>
  <c r="AA266" i="4"/>
  <c r="AB266" i="4"/>
  <c r="AC266" i="4"/>
  <c r="AD266" i="4"/>
  <c r="AE266" i="4"/>
  <c r="AF266" i="4"/>
  <c r="B267" i="4"/>
  <c r="C267" i="4"/>
  <c r="D267" i="4"/>
  <c r="E267" i="4"/>
  <c r="F267" i="4"/>
  <c r="G267" i="4"/>
  <c r="H267" i="4"/>
  <c r="I267" i="4"/>
  <c r="J267" i="4"/>
  <c r="K267" i="4"/>
  <c r="L267" i="4"/>
  <c r="M267" i="4"/>
  <c r="N267" i="4"/>
  <c r="O267" i="4"/>
  <c r="P267" i="4"/>
  <c r="Q267" i="4"/>
  <c r="R267" i="4"/>
  <c r="S267" i="4"/>
  <c r="T267" i="4"/>
  <c r="U267" i="4"/>
  <c r="V267" i="4"/>
  <c r="W267" i="4"/>
  <c r="X267" i="4"/>
  <c r="Y267" i="4"/>
  <c r="Z267" i="4"/>
  <c r="AA267" i="4"/>
  <c r="AB267" i="4"/>
  <c r="AC267" i="4"/>
  <c r="AD267" i="4"/>
  <c r="AE267" i="4"/>
  <c r="AF267" i="4"/>
  <c r="E16" i="3"/>
  <c r="S16" i="3" s="1"/>
  <c r="E15" i="3"/>
  <c r="S15" i="3" s="1"/>
  <c r="E14" i="3"/>
  <c r="S14" i="3" s="1"/>
  <c r="E13" i="3"/>
  <c r="S13" i="3" s="1"/>
  <c r="E12" i="3"/>
  <c r="S12" i="3" s="1"/>
  <c r="E11" i="3"/>
  <c r="S11" i="3" s="1"/>
  <c r="E10" i="3"/>
  <c r="S10" i="3" s="1"/>
  <c r="E9" i="3"/>
  <c r="S9" i="3" s="1"/>
  <c r="E8" i="3"/>
  <c r="S8" i="3" s="1"/>
  <c r="E7" i="3"/>
  <c r="S7" i="3" s="1"/>
  <c r="E6" i="3"/>
  <c r="S6" i="3" s="1"/>
  <c r="E5" i="3"/>
  <c r="S5" i="3" s="1"/>
  <c r="E4" i="3"/>
  <c r="S4" i="3" s="1"/>
  <c r="E3" i="3"/>
  <c r="E45" i="3"/>
  <c r="S45" i="3" s="1"/>
  <c r="E33" i="3"/>
  <c r="S33" i="3" s="1"/>
  <c r="E32" i="3"/>
  <c r="S32" i="3" s="1"/>
  <c r="E31" i="3"/>
  <c r="S31" i="3" s="1"/>
  <c r="E30" i="3"/>
  <c r="S30" i="3" s="1"/>
  <c r="F26" i="3"/>
  <c r="E27" i="3"/>
  <c r="S27" i="3" s="1"/>
  <c r="E28" i="3"/>
  <c r="S28" i="3" s="1"/>
  <c r="E29" i="3"/>
  <c r="S29" i="3" s="1"/>
  <c r="E26" i="3"/>
  <c r="S56" i="3" l="1"/>
  <c r="S52" i="3"/>
  <c r="S57" i="3"/>
  <c r="S68" i="3"/>
  <c r="AG22" i="3"/>
  <c r="AH22" i="3" s="1"/>
  <c r="S58" i="3"/>
  <c r="S66" i="3"/>
  <c r="S54" i="3"/>
  <c r="S50" i="3"/>
  <c r="S55" i="3"/>
  <c r="S53" i="3"/>
  <c r="S51" i="3"/>
  <c r="AG79" i="3"/>
  <c r="AH79" i="3" s="1"/>
  <c r="AG88" i="3"/>
  <c r="AH88" i="3" s="1"/>
  <c r="AG30" i="3"/>
  <c r="AH30" i="3" s="1"/>
  <c r="AG34" i="3"/>
  <c r="AH34" i="3" s="1"/>
  <c r="AG28" i="3"/>
  <c r="AH28" i="3" s="1"/>
  <c r="AG32" i="3"/>
  <c r="AH32" i="3" s="1"/>
  <c r="AG41" i="3"/>
  <c r="AH41" i="3" s="1"/>
  <c r="AG45" i="3"/>
  <c r="AH45" i="3" s="1"/>
  <c r="AG5" i="3"/>
  <c r="AH5" i="3" s="1"/>
  <c r="AG10" i="3"/>
  <c r="AH10" i="3" s="1"/>
  <c r="AG19" i="3"/>
  <c r="AH19" i="3" s="1"/>
  <c r="AG35" i="3"/>
  <c r="AH35" i="3" s="1"/>
  <c r="AG53" i="3"/>
  <c r="AH53" i="3" s="1"/>
  <c r="AG57" i="3"/>
  <c r="AH57" i="3" s="1"/>
  <c r="AG4" i="3"/>
  <c r="AH4" i="3" s="1"/>
  <c r="AG8" i="3"/>
  <c r="AH8" i="3" s="1"/>
  <c r="AG42" i="3"/>
  <c r="AH42" i="3" s="1"/>
  <c r="AG43" i="3"/>
  <c r="AH43" i="3" s="1"/>
  <c r="AG66" i="3"/>
  <c r="AH66" i="3" s="1"/>
  <c r="AG44" i="3"/>
  <c r="AH44" i="3" s="1"/>
  <c r="AG18" i="3"/>
  <c r="AH18" i="3" s="1"/>
  <c r="AG81" i="3"/>
  <c r="AH81" i="3" s="1"/>
  <c r="AG90" i="3"/>
  <c r="AH90" i="3" s="1"/>
  <c r="AG80" i="3"/>
  <c r="AH80" i="3" s="1"/>
  <c r="AG89" i="3"/>
  <c r="AH89" i="3" s="1"/>
  <c r="AG87" i="3"/>
  <c r="AH87" i="3" s="1"/>
  <c r="AG91" i="3"/>
  <c r="AH91" i="3" s="1"/>
  <c r="AG76" i="3"/>
  <c r="AH76" i="3" s="1"/>
  <c r="AG74" i="3"/>
  <c r="AH74" i="3" s="1"/>
  <c r="AG78" i="3"/>
  <c r="AH78" i="3" s="1"/>
  <c r="AG73" i="3"/>
  <c r="AH73" i="3" s="1"/>
  <c r="AG77" i="3"/>
  <c r="AH77" i="3" s="1"/>
  <c r="AG75" i="3"/>
  <c r="AH75" i="3" s="1"/>
  <c r="AG51" i="3"/>
  <c r="AH51" i="3" s="1"/>
  <c r="AG55" i="3"/>
  <c r="AH55" i="3" s="1"/>
  <c r="AG64" i="3"/>
  <c r="AH64" i="3" s="1"/>
  <c r="AG68" i="3"/>
  <c r="AH68" i="3" s="1"/>
  <c r="AG50" i="3"/>
  <c r="AH50" i="3" s="1"/>
  <c r="AG54" i="3"/>
  <c r="AH54" i="3" s="1"/>
  <c r="AG58" i="3"/>
  <c r="AH58" i="3" s="1"/>
  <c r="AG67" i="3"/>
  <c r="AH67" i="3" s="1"/>
  <c r="AG52" i="3"/>
  <c r="AH52" i="3" s="1"/>
  <c r="AG56" i="3"/>
  <c r="AH56" i="3" s="1"/>
  <c r="AG65" i="3"/>
  <c r="AH65" i="3" s="1"/>
  <c r="AG27" i="3"/>
  <c r="AH27" i="3" s="1"/>
  <c r="AG29" i="3"/>
  <c r="AH29" i="3" s="1"/>
  <c r="AG31" i="3"/>
  <c r="AH31" i="3" s="1"/>
  <c r="AG33" i="3"/>
  <c r="AH33" i="3" s="1"/>
  <c r="AG6" i="3"/>
  <c r="AH6" i="3" s="1"/>
  <c r="AG11" i="3"/>
  <c r="AH11" i="3" s="1"/>
  <c r="AG20" i="3"/>
  <c r="AH20" i="3" s="1"/>
  <c r="AG9" i="3"/>
  <c r="AH9" i="3" s="1"/>
  <c r="AG7" i="3"/>
  <c r="AH7" i="3" s="1"/>
  <c r="AG12" i="3"/>
  <c r="AH12" i="3" s="1"/>
  <c r="AG21" i="3"/>
  <c r="AH21" i="3" s="1"/>
  <c r="W3" i="3"/>
  <c r="AA3" i="3"/>
  <c r="AE3" i="3"/>
  <c r="X3" i="3"/>
  <c r="Z3" i="3"/>
  <c r="AB3" i="3"/>
  <c r="AD3" i="3"/>
  <c r="AF3" i="3"/>
  <c r="Y3" i="3"/>
  <c r="AC3" i="3"/>
  <c r="AF72" i="3"/>
  <c r="AE72" i="3"/>
  <c r="AD72" i="3"/>
  <c r="AC72" i="3"/>
  <c r="AB72" i="3"/>
  <c r="AA72" i="3"/>
  <c r="Z72" i="3"/>
  <c r="Y72" i="3"/>
  <c r="X72" i="3"/>
  <c r="W72" i="3"/>
  <c r="V72" i="3"/>
  <c r="R49" i="3"/>
  <c r="S49" i="3" s="1"/>
  <c r="AG49" i="3"/>
  <c r="AH49" i="3" s="1"/>
  <c r="R26" i="3"/>
  <c r="S26" i="3" s="1"/>
  <c r="AG26" i="3"/>
  <c r="AH26" i="3" s="1"/>
  <c r="R72" i="3"/>
  <c r="S72" i="3" s="1"/>
  <c r="R3" i="3"/>
  <c r="S3" i="3" s="1"/>
  <c r="AG3" i="3" l="1"/>
  <c r="AH3" i="3" s="1"/>
  <c r="AG72" i="3"/>
  <c r="AH72" i="3" s="1"/>
</calcChain>
</file>

<file path=xl/sharedStrings.xml><?xml version="1.0" encoding="utf-8"?>
<sst xmlns="http://schemas.openxmlformats.org/spreadsheetml/2006/main" count="3011" uniqueCount="100">
  <si>
    <t>JANUÁR</t>
  </si>
  <si>
    <t>V</t>
  </si>
  <si>
    <t>X</t>
  </si>
  <si>
    <t>"B" műszak</t>
  </si>
  <si>
    <t>"C" műszak</t>
  </si>
  <si>
    <t>"D" műszak</t>
  </si>
  <si>
    <t>FEBRUÁR</t>
  </si>
  <si>
    <t>MÁRCIUS</t>
  </si>
  <si>
    <t>ÁPRILIS</t>
  </si>
  <si>
    <t>MÁJUS</t>
  </si>
  <si>
    <t>JÚNIUS</t>
  </si>
  <si>
    <t>JÚLIUS</t>
  </si>
  <si>
    <t>AUGUSZTUS</t>
  </si>
  <si>
    <t>SZEPTEMBER</t>
  </si>
  <si>
    <t>OKTÓBER</t>
  </si>
  <si>
    <t>NOVEMBER</t>
  </si>
  <si>
    <t>DECEMBER</t>
  </si>
  <si>
    <t>ÁRPILIS</t>
  </si>
  <si>
    <t xml:space="preserve"> +</t>
  </si>
  <si>
    <t>SZF</t>
  </si>
  <si>
    <t>szf</t>
  </si>
  <si>
    <t>Áth.</t>
  </si>
  <si>
    <t>Össz.</t>
  </si>
  <si>
    <t>I.</t>
  </si>
  <si>
    <t>II</t>
  </si>
  <si>
    <t>II.</t>
  </si>
  <si>
    <t>III</t>
  </si>
  <si>
    <t>III.</t>
  </si>
  <si>
    <t>IV</t>
  </si>
  <si>
    <t>IV.</t>
  </si>
  <si>
    <t>V.</t>
  </si>
  <si>
    <t>VI</t>
  </si>
  <si>
    <t>VI.</t>
  </si>
  <si>
    <t>VII</t>
  </si>
  <si>
    <t>VIII</t>
  </si>
  <si>
    <t>IX</t>
  </si>
  <si>
    <t>XI</t>
  </si>
  <si>
    <t>XII</t>
  </si>
  <si>
    <t>M.</t>
  </si>
  <si>
    <t>Szf</t>
  </si>
  <si>
    <t>N é v</t>
  </si>
  <si>
    <t>Gye-rek</t>
  </si>
  <si>
    <t>"A" műszak</t>
  </si>
  <si>
    <t>Név15</t>
  </si>
  <si>
    <t>Név10</t>
  </si>
  <si>
    <t>Név11</t>
  </si>
  <si>
    <t>Név12</t>
  </si>
  <si>
    <t>Név13</t>
  </si>
  <si>
    <t>Név14</t>
  </si>
  <si>
    <t>Név8</t>
  </si>
  <si>
    <t>Név9</t>
  </si>
  <si>
    <t>K</t>
  </si>
  <si>
    <t>Sze</t>
  </si>
  <si>
    <t>Cs</t>
  </si>
  <si>
    <t>P</t>
  </si>
  <si>
    <t>Szo</t>
  </si>
  <si>
    <t>H</t>
  </si>
  <si>
    <t>Név16</t>
  </si>
  <si>
    <t>Név17</t>
  </si>
  <si>
    <t>Név18</t>
  </si>
  <si>
    <t>Név19</t>
  </si>
  <si>
    <t>Név20</t>
  </si>
  <si>
    <t>2021. év</t>
  </si>
  <si>
    <t>Csuka Lajos</t>
  </si>
  <si>
    <t>Batiz Attila</t>
  </si>
  <si>
    <t>Daku Gábor</t>
  </si>
  <si>
    <t>Füredi Antal</t>
  </si>
  <si>
    <t>Iványi István</t>
  </si>
  <si>
    <t>Katonka Tibor</t>
  </si>
  <si>
    <t>Kiss János Tamás</t>
  </si>
  <si>
    <t>Vatamány Gergő</t>
  </si>
  <si>
    <t>Katona László</t>
  </si>
  <si>
    <t>Habara Gábor</t>
  </si>
  <si>
    <t>Holba Imre</t>
  </si>
  <si>
    <t>Király Bálint Donát</t>
  </si>
  <si>
    <t>Mezei Lajos</t>
  </si>
  <si>
    <t>Kuik-Filep András</t>
  </si>
  <si>
    <t>Balogh Zsolt</t>
  </si>
  <si>
    <t>Éliás Viktor</t>
  </si>
  <si>
    <t>Hadházi Kálmán</t>
  </si>
  <si>
    <t>Kiss Attila</t>
  </si>
  <si>
    <t>Serestyén Dániel</t>
  </si>
  <si>
    <t>Varga Imre</t>
  </si>
  <si>
    <t>Borbély Csaba</t>
  </si>
  <si>
    <t>Erdei Bálint</t>
  </si>
  <si>
    <t>Fábián Gábor</t>
  </si>
  <si>
    <t>Gellei Zsolt</t>
  </si>
  <si>
    <t>Kiss Gyula</t>
  </si>
  <si>
    <t>Nagy István</t>
  </si>
  <si>
    <t>Fényi László</t>
  </si>
  <si>
    <t>Kovács Kriszitán</t>
  </si>
  <si>
    <t>Besse Éva</t>
  </si>
  <si>
    <t>Oláh Erika</t>
  </si>
  <si>
    <t>Bulyáki Csaba</t>
  </si>
  <si>
    <t>Fekete Tamás</t>
  </si>
  <si>
    <t>Tóth János</t>
  </si>
  <si>
    <t>Tóth Krisztián</t>
  </si>
  <si>
    <t>Mizsák Péter</t>
  </si>
  <si>
    <t>Dancsi Attila</t>
  </si>
  <si>
    <t>Iványi Roland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</si>
</sst>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0"/>
      <name val="HTimes"/>
      <charset val="238"/>
    </font>
    <font>
      <sz val="12"/>
      <name val="Times New Roman CE"/>
      <charset val="238"/>
    </font>
    <font>
      <b/>
      <sz val="9"/>
      <name val="Times New Roman CE"/>
      <charset val="238"/>
    </font>
    <font>
      <sz val="9"/>
      <name val="Times New Roman CE"/>
      <family val="1"/>
      <charset val="238"/>
    </font>
    <font>
      <b/>
      <sz val="9"/>
      <name val="Times New Roman CE"/>
      <family val="1"/>
      <charset val="238"/>
    </font>
    <font>
      <b/>
      <sz val="10"/>
      <name val="Times New Roman CE"/>
      <family val="1"/>
      <charset val="238"/>
    </font>
    <font>
      <sz val="10"/>
      <name val="HTimes"/>
      <charset val="238"/>
    </font>
    <font>
      <sz val="10"/>
      <name val="Times New Roman CE"/>
      <family val="1"/>
      <charset val="238"/>
    </font>
    <font>
      <b/>
      <sz val="10"/>
      <name val="Times New Roman CE"/>
      <charset val="238"/>
    </font>
    <font>
      <b/>
      <sz val="10"/>
      <name val="Times New Roman"/>
      <family val="1"/>
      <charset val="238"/>
    </font>
    <font>
      <sz val="9"/>
      <name val="HTimes"/>
      <charset val="238"/>
    </font>
    <font>
      <sz val="10"/>
      <name val="HTimes"/>
      <charset val="238"/>
    </font>
    <font>
      <sz val="8"/>
      <name val="Times New Roman"/>
      <family val="1"/>
      <charset val="238"/>
    </font>
    <font>
      <i/>
      <sz val="8"/>
      <name val="Times New Roman"/>
      <family val="1"/>
      <charset val="238"/>
    </font>
    <font>
      <b/>
      <sz val="8"/>
      <name val="Times New Roman"/>
      <family val="1"/>
      <charset val="238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1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 applyBorder="0"/>
    <xf numFmtId="0" fontId="1" fillId="0" borderId="0"/>
    <xf numFmtId="0" fontId="1" fillId="0" borderId="0"/>
  </cellStyleXfs>
  <cellXfs count="46">
    <xf numFmtId="0" fontId="0" fillId="0" borderId="0" xfId="0"/>
    <xf numFmtId="0" fontId="2" fillId="0" borderId="0" xfId="1" applyFont="1"/>
    <xf numFmtId="0" fontId="3" fillId="0" borderId="0" xfId="1" applyFont="1" applyAlignment="1">
      <alignment horizontal="center"/>
    </xf>
    <xf numFmtId="0" fontId="3" fillId="0" borderId="0" xfId="1" applyFont="1"/>
    <xf numFmtId="0" fontId="4" fillId="0" borderId="0" xfId="1" applyFont="1" applyAlignment="1">
      <alignment horizontal="center"/>
    </xf>
    <xf numFmtId="0" fontId="4" fillId="0" borderId="0" xfId="1" applyFont="1"/>
    <xf numFmtId="0" fontId="3" fillId="0" borderId="0" xfId="1" applyFont="1" applyFill="1"/>
    <xf numFmtId="0" fontId="4" fillId="0" borderId="0" xfId="1" applyFont="1" applyFill="1" applyBorder="1" applyAlignment="1">
      <alignment horizontal="center"/>
    </xf>
    <xf numFmtId="0" fontId="3" fillId="0" borderId="0" xfId="1" applyFont="1" applyFill="1" applyBorder="1" applyAlignment="1">
      <alignment horizontal="center"/>
    </xf>
    <xf numFmtId="0" fontId="3" fillId="0" borderId="0" xfId="1" applyFont="1" applyFill="1" applyAlignment="1">
      <alignment horizontal="center"/>
    </xf>
    <xf numFmtId="0" fontId="7" fillId="0" borderId="0" xfId="2" applyFont="1" applyFill="1" applyBorder="1" applyProtection="1"/>
    <xf numFmtId="0" fontId="10" fillId="0" borderId="1" xfId="0" applyFont="1" applyFill="1" applyBorder="1" applyAlignment="1" applyProtection="1">
      <alignment horizontal="center" vertical="center"/>
      <protection locked="0"/>
    </xf>
    <xf numFmtId="0" fontId="8" fillId="0" borderId="1" xfId="2" applyFont="1" applyFill="1" applyBorder="1" applyAlignment="1" applyProtection="1">
      <alignment horizontal="center"/>
    </xf>
    <xf numFmtId="0" fontId="4" fillId="0" borderId="1" xfId="1" applyFont="1" applyBorder="1"/>
    <xf numFmtId="0" fontId="3" fillId="0" borderId="1" xfId="1" applyFont="1" applyBorder="1"/>
    <xf numFmtId="0" fontId="7" fillId="0" borderId="1" xfId="2" applyFont="1" applyFill="1" applyBorder="1" applyProtection="1"/>
    <xf numFmtId="0" fontId="7" fillId="0" borderId="0" xfId="1" applyFont="1" applyFill="1"/>
    <xf numFmtId="0" fontId="7" fillId="0" borderId="0" xfId="1" applyFont="1" applyFill="1" applyProtection="1"/>
    <xf numFmtId="0" fontId="7" fillId="0" borderId="0" xfId="1" applyFont="1" applyFill="1" applyBorder="1" applyProtection="1"/>
    <xf numFmtId="0" fontId="5" fillId="3" borderId="1" xfId="1" applyFont="1" applyFill="1" applyBorder="1" applyAlignment="1" applyProtection="1">
      <alignment horizontal="center"/>
    </xf>
    <xf numFmtId="0" fontId="5" fillId="0" borderId="1" xfId="1" applyFont="1" applyFill="1" applyBorder="1" applyAlignment="1" applyProtection="1">
      <alignment horizontal="center"/>
    </xf>
    <xf numFmtId="0" fontId="5" fillId="0" borderId="0" xfId="1" applyFont="1" applyFill="1" applyProtection="1"/>
    <xf numFmtId="0" fontId="7" fillId="0" borderId="1" xfId="1" applyFont="1" applyFill="1" applyBorder="1" applyAlignment="1" applyProtection="1">
      <alignment horizontal="center"/>
    </xf>
    <xf numFmtId="0" fontId="7" fillId="0" borderId="0" xfId="1" applyFont="1" applyFill="1" applyAlignment="1" applyProtection="1">
      <alignment horizontal="center"/>
    </xf>
    <xf numFmtId="0" fontId="11" fillId="0" borderId="0" xfId="0" applyFont="1" applyFill="1" applyBorder="1" applyAlignment="1" applyProtection="1">
      <alignment horizontal="center" vertical="center"/>
    </xf>
    <xf numFmtId="1" fontId="7" fillId="0" borderId="1" xfId="1" applyNumberFormat="1" applyFont="1" applyFill="1" applyBorder="1" applyAlignment="1" applyProtection="1">
      <alignment horizontal="center"/>
    </xf>
    <xf numFmtId="0" fontId="7" fillId="0" borderId="0" xfId="1" applyFont="1" applyFill="1" applyBorder="1" applyAlignment="1" applyProtection="1">
      <alignment horizontal="center"/>
    </xf>
    <xf numFmtId="0" fontId="11" fillId="0" borderId="1" xfId="0" applyFont="1" applyFill="1" applyBorder="1" applyAlignment="1" applyProtection="1">
      <alignment horizontal="center" vertical="center"/>
      <protection locked="0"/>
    </xf>
    <xf numFmtId="0" fontId="0" fillId="0" borderId="1" xfId="0" applyFont="1" applyFill="1" applyBorder="1" applyAlignment="1" applyProtection="1">
      <alignment horizontal="center" vertical="center"/>
      <protection locked="0"/>
    </xf>
    <xf numFmtId="0" fontId="12" fillId="0" borderId="1" xfId="0" applyFont="1" applyFill="1" applyBorder="1" applyAlignment="1">
      <alignment horizontal="center" vertical="center"/>
    </xf>
    <xf numFmtId="0" fontId="13" fillId="0" borderId="1" xfId="0" applyFont="1" applyFill="1" applyBorder="1" applyAlignment="1">
      <alignment horizontal="center" vertical="center"/>
    </xf>
    <xf numFmtId="0" fontId="14" fillId="0" borderId="1" xfId="0" applyFont="1" applyFill="1" applyBorder="1" applyAlignment="1">
      <alignment horizontal="center" vertical="center"/>
    </xf>
    <xf numFmtId="0" fontId="8" fillId="2" borderId="1" xfId="2" applyFont="1" applyFill="1" applyBorder="1" applyAlignment="1" applyProtection="1">
      <alignment horizontal="center"/>
    </xf>
    <xf numFmtId="0" fontId="5" fillId="0" borderId="1" xfId="2" applyFont="1" applyFill="1" applyBorder="1" applyAlignment="1" applyProtection="1">
      <alignment horizontal="center"/>
    </xf>
    <xf numFmtId="0" fontId="5" fillId="2" borderId="1" xfId="2" applyFont="1" applyFill="1" applyBorder="1" applyAlignment="1" applyProtection="1">
      <alignment horizontal="center" wrapText="1"/>
    </xf>
    <xf numFmtId="0" fontId="7" fillId="0" borderId="0" xfId="1" applyFont="1"/>
    <xf numFmtId="0" fontId="7" fillId="2" borderId="1" xfId="2" applyFont="1" applyFill="1" applyBorder="1" applyAlignment="1" applyProtection="1">
      <alignment horizontal="center"/>
    </xf>
    <xf numFmtId="0" fontId="7" fillId="0" borderId="1" xfId="2" applyFont="1" applyFill="1" applyBorder="1" applyAlignment="1" applyProtection="1">
      <alignment horizontal="center"/>
    </xf>
    <xf numFmtId="0" fontId="5" fillId="2" borderId="1" xfId="2" applyFont="1" applyFill="1" applyBorder="1" applyAlignment="1" applyProtection="1">
      <alignment horizontal="center"/>
    </xf>
    <xf numFmtId="0" fontId="7" fillId="0" borderId="0" xfId="1" applyFont="1" applyFill="1" applyAlignment="1">
      <alignment horizontal="center"/>
    </xf>
    <xf numFmtId="0" fontId="9" fillId="0" borderId="1" xfId="0" applyFont="1" applyBorder="1" applyAlignment="1" applyProtection="1">
      <alignment horizontal="center" vertical="center"/>
    </xf>
    <xf numFmtId="0" fontId="9" fillId="0" borderId="1" xfId="0" applyFont="1" applyBorder="1" applyAlignment="1" applyProtection="1">
      <alignment horizontal="center" vertical="center" wrapText="1"/>
    </xf>
    <xf numFmtId="0" fontId="9" fillId="0" borderId="1" xfId="0" applyFont="1" applyFill="1" applyBorder="1" applyAlignment="1" applyProtection="1">
      <alignment horizontal="center" vertical="center" wrapText="1"/>
    </xf>
    <xf numFmtId="0" fontId="5" fillId="0" borderId="1" xfId="1" applyFont="1" applyFill="1" applyBorder="1" applyAlignment="1" applyProtection="1">
      <alignment horizontal="center" vertical="center"/>
    </xf>
    <xf numFmtId="0" fontId="6" fillId="0" borderId="1" xfId="0" applyFont="1" applyFill="1" applyBorder="1" applyAlignment="1" applyProtection="1">
      <alignment horizontal="center" vertical="center"/>
    </xf>
    <xf numFmtId="0" fontId="11" fillId="0" borderId="1" xfId="0" applyFont="1" applyFill="1" applyBorder="1" applyAlignment="1" applyProtection="1">
      <alignment horizontal="center" vertical="center"/>
    </xf>
  </cellXfs>
  <cellStyles count="3">
    <cellStyle name="Normál" xfId="0" builtinId="0"/>
    <cellStyle name="Normál_Szabi" xfId="1" xr:uid="{00000000-0005-0000-0000-000001000000}"/>
    <cellStyle name="Normál_SZN_99" xfId="2" xr:uid="{00000000-0005-0000-0000-000002000000}"/>
  </cellStyles>
  <dxfs count="29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u val="none"/>
        <color auto="1"/>
      </font>
      <fill>
        <patternFill>
          <bgColor rgb="FFFFFF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39994506668294322"/>
        </patternFill>
      </fill>
    </dxf>
    <dxf>
      <fill>
        <patternFill>
          <bgColor rgb="FF00B0F0"/>
        </patternFill>
      </fill>
    </dxf>
    <dxf>
      <fill>
        <patternFill>
          <bgColor theme="3" tint="0.59996337778862885"/>
        </patternFill>
      </fill>
    </dxf>
    <dxf>
      <font>
        <color rgb="FF9C0006"/>
      </font>
    </dxf>
    <dxf>
      <font>
        <color rgb="FF00B050"/>
      </font>
    </dxf>
    <dxf>
      <font>
        <color rgb="FFFF0000"/>
      </font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00B050"/>
          <bgColor rgb="FF00B050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mruColors>
      <color rgb="FF56EE3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97"/>
  <sheetViews>
    <sheetView showGridLines="0" topLeftCell="A52" workbookViewId="0">
      <selection activeCell="R85" sqref="R85"/>
    </sheetView>
  </sheetViews>
  <sheetFormatPr defaultColWidth="12" defaultRowHeight="12"/>
  <cols>
    <col min="1" max="1" width="12.85546875" style="3" customWidth="1"/>
    <col min="2" max="2" width="3.28515625" style="2" customWidth="1"/>
    <col min="3" max="8" width="3.140625" style="2" customWidth="1"/>
    <col min="9" max="9" width="3" style="2" customWidth="1"/>
    <col min="10" max="32" width="3.140625" style="2" customWidth="1"/>
    <col min="33" max="33" width="3.42578125" style="3" customWidth="1"/>
    <col min="34" max="16384" width="12" style="3"/>
  </cols>
  <sheetData>
    <row r="1" spans="1:34">
      <c r="A1" s="1" t="s">
        <v>62</v>
      </c>
    </row>
    <row r="2" spans="1:34">
      <c r="B2" s="4"/>
    </row>
    <row r="3" spans="1:34" s="5" customFormat="1">
      <c r="A3" s="13" t="s">
        <v>0</v>
      </c>
      <c r="B3" s="31">
        <v>1</v>
      </c>
      <c r="C3" s="31">
        <v>2</v>
      </c>
      <c r="D3" s="31">
        <v>3</v>
      </c>
      <c r="E3" s="31">
        <v>4</v>
      </c>
      <c r="F3" s="31">
        <v>5</v>
      </c>
      <c r="G3" s="31">
        <v>6</v>
      </c>
      <c r="H3" s="31">
        <v>7</v>
      </c>
      <c r="I3" s="31">
        <v>8</v>
      </c>
      <c r="J3" s="31">
        <v>9</v>
      </c>
      <c r="K3" s="31">
        <v>10</v>
      </c>
      <c r="L3" s="31">
        <v>11</v>
      </c>
      <c r="M3" s="31">
        <v>12</v>
      </c>
      <c r="N3" s="31">
        <v>13</v>
      </c>
      <c r="O3" s="31">
        <v>14</v>
      </c>
      <c r="P3" s="31">
        <v>15</v>
      </c>
      <c r="Q3" s="31">
        <v>16</v>
      </c>
      <c r="R3" s="31">
        <v>17</v>
      </c>
      <c r="S3" s="31">
        <v>18</v>
      </c>
      <c r="T3" s="31">
        <v>19</v>
      </c>
      <c r="U3" s="31">
        <v>20</v>
      </c>
      <c r="V3" s="31">
        <v>21</v>
      </c>
      <c r="W3" s="31">
        <v>22</v>
      </c>
      <c r="X3" s="31">
        <v>23</v>
      </c>
      <c r="Y3" s="31">
        <v>24</v>
      </c>
      <c r="Z3" s="31">
        <v>25</v>
      </c>
      <c r="AA3" s="31">
        <v>26</v>
      </c>
      <c r="AB3" s="31">
        <v>27</v>
      </c>
      <c r="AC3" s="31">
        <v>28</v>
      </c>
      <c r="AD3" s="31">
        <v>29</v>
      </c>
      <c r="AE3" s="31">
        <v>30</v>
      </c>
      <c r="AF3" s="31">
        <v>31</v>
      </c>
    </row>
    <row r="4" spans="1:34">
      <c r="A4" s="14"/>
      <c r="B4" s="30" t="s">
        <v>54</v>
      </c>
      <c r="C4" s="30" t="s">
        <v>55</v>
      </c>
      <c r="D4" s="30" t="s">
        <v>1</v>
      </c>
      <c r="E4" s="30" t="s">
        <v>56</v>
      </c>
      <c r="F4" s="30" t="s">
        <v>51</v>
      </c>
      <c r="G4" s="30" t="s">
        <v>52</v>
      </c>
      <c r="H4" s="30" t="s">
        <v>53</v>
      </c>
      <c r="I4" s="30" t="s">
        <v>54</v>
      </c>
      <c r="J4" s="30" t="s">
        <v>55</v>
      </c>
      <c r="K4" s="30" t="s">
        <v>1</v>
      </c>
      <c r="L4" s="30" t="s">
        <v>56</v>
      </c>
      <c r="M4" s="30" t="s">
        <v>51</v>
      </c>
      <c r="N4" s="30" t="s">
        <v>52</v>
      </c>
      <c r="O4" s="30" t="s">
        <v>53</v>
      </c>
      <c r="P4" s="30" t="s">
        <v>54</v>
      </c>
      <c r="Q4" s="30" t="s">
        <v>55</v>
      </c>
      <c r="R4" s="30" t="s">
        <v>1</v>
      </c>
      <c r="S4" s="30" t="s">
        <v>56</v>
      </c>
      <c r="T4" s="30" t="s">
        <v>51</v>
      </c>
      <c r="U4" s="30" t="s">
        <v>52</v>
      </c>
      <c r="V4" s="30" t="s">
        <v>53</v>
      </c>
      <c r="W4" s="30" t="s">
        <v>54</v>
      </c>
      <c r="X4" s="30" t="s">
        <v>55</v>
      </c>
      <c r="Y4" s="30" t="s">
        <v>1</v>
      </c>
      <c r="Z4" s="30" t="s">
        <v>56</v>
      </c>
      <c r="AA4" s="30" t="s">
        <v>51</v>
      </c>
      <c r="AB4" s="30" t="s">
        <v>52</v>
      </c>
      <c r="AC4" s="30" t="s">
        <v>53</v>
      </c>
      <c r="AD4" s="30" t="s">
        <v>54</v>
      </c>
      <c r="AE4" s="30" t="s">
        <v>55</v>
      </c>
      <c r="AF4" s="30" t="s">
        <v>1</v>
      </c>
    </row>
    <row r="5" spans="1:34">
      <c r="A5" s="14" t="s">
        <v>42</v>
      </c>
      <c r="B5" s="29">
        <v>2</v>
      </c>
      <c r="C5" s="29">
        <v>2</v>
      </c>
      <c r="D5" s="29">
        <v>2</v>
      </c>
      <c r="E5" s="29">
        <v>2</v>
      </c>
      <c r="F5" s="29" t="s">
        <v>2</v>
      </c>
      <c r="G5" s="29" t="s">
        <v>2</v>
      </c>
      <c r="H5" s="29">
        <v>1</v>
      </c>
      <c r="I5" s="29">
        <v>1</v>
      </c>
      <c r="J5" s="29">
        <v>1</v>
      </c>
      <c r="K5" s="29">
        <v>1</v>
      </c>
      <c r="L5" s="29">
        <v>1</v>
      </c>
      <c r="M5" s="29">
        <v>1</v>
      </c>
      <c r="N5" s="29" t="s">
        <v>2</v>
      </c>
      <c r="O5" s="29" t="s">
        <v>2</v>
      </c>
      <c r="P5" s="29">
        <v>3</v>
      </c>
      <c r="Q5" s="29">
        <v>3</v>
      </c>
      <c r="R5" s="29">
        <v>3</v>
      </c>
      <c r="S5" s="29">
        <v>3</v>
      </c>
      <c r="T5" s="29">
        <v>3</v>
      </c>
      <c r="U5" s="29">
        <v>3</v>
      </c>
      <c r="V5" s="29" t="s">
        <v>2</v>
      </c>
      <c r="W5" s="29" t="s">
        <v>2</v>
      </c>
      <c r="X5" s="29">
        <v>2</v>
      </c>
      <c r="Y5" s="29">
        <v>2</v>
      </c>
      <c r="Z5" s="29">
        <v>2</v>
      </c>
      <c r="AA5" s="29">
        <v>2</v>
      </c>
      <c r="AB5" s="29">
        <v>2</v>
      </c>
      <c r="AC5" s="29">
        <v>2</v>
      </c>
      <c r="AD5" s="29" t="s">
        <v>2</v>
      </c>
      <c r="AE5" s="29" t="s">
        <v>2</v>
      </c>
      <c r="AF5" s="29">
        <v>1</v>
      </c>
      <c r="AG5" s="6"/>
      <c r="AH5" s="6"/>
    </row>
    <row r="6" spans="1:34">
      <c r="A6" s="14" t="s">
        <v>3</v>
      </c>
      <c r="B6" s="29">
        <v>3</v>
      </c>
      <c r="C6" s="29">
        <v>3</v>
      </c>
      <c r="D6" s="29" t="s">
        <v>2</v>
      </c>
      <c r="E6" s="29" t="s">
        <v>2</v>
      </c>
      <c r="F6" s="29">
        <v>2</v>
      </c>
      <c r="G6" s="29">
        <v>2</v>
      </c>
      <c r="H6" s="29">
        <v>2</v>
      </c>
      <c r="I6" s="29">
        <v>2</v>
      </c>
      <c r="J6" s="29">
        <v>2</v>
      </c>
      <c r="K6" s="29">
        <v>2</v>
      </c>
      <c r="L6" s="29" t="s">
        <v>2</v>
      </c>
      <c r="M6" s="29" t="s">
        <v>2</v>
      </c>
      <c r="N6" s="29">
        <v>1</v>
      </c>
      <c r="O6" s="29">
        <v>1</v>
      </c>
      <c r="P6" s="29">
        <v>1</v>
      </c>
      <c r="Q6" s="29">
        <v>1</v>
      </c>
      <c r="R6" s="29">
        <v>1</v>
      </c>
      <c r="S6" s="29">
        <v>1</v>
      </c>
      <c r="T6" s="29" t="s">
        <v>2</v>
      </c>
      <c r="U6" s="29" t="s">
        <v>2</v>
      </c>
      <c r="V6" s="29">
        <v>3</v>
      </c>
      <c r="W6" s="29">
        <v>3</v>
      </c>
      <c r="X6" s="29">
        <v>3</v>
      </c>
      <c r="Y6" s="29">
        <v>3</v>
      </c>
      <c r="Z6" s="29">
        <v>3</v>
      </c>
      <c r="AA6" s="29">
        <v>3</v>
      </c>
      <c r="AB6" s="29" t="s">
        <v>2</v>
      </c>
      <c r="AC6" s="29" t="s">
        <v>2</v>
      </c>
      <c r="AD6" s="29">
        <v>2</v>
      </c>
      <c r="AE6" s="29">
        <v>2</v>
      </c>
      <c r="AF6" s="29">
        <v>2</v>
      </c>
      <c r="AG6" s="6"/>
      <c r="AH6" s="6"/>
    </row>
    <row r="7" spans="1:34">
      <c r="A7" s="14" t="s">
        <v>4</v>
      </c>
      <c r="B7" s="29" t="s">
        <v>2</v>
      </c>
      <c r="C7" s="29" t="s">
        <v>2</v>
      </c>
      <c r="D7" s="29">
        <v>3</v>
      </c>
      <c r="E7" s="29">
        <v>3</v>
      </c>
      <c r="F7" s="29">
        <v>3</v>
      </c>
      <c r="G7" s="29">
        <v>3</v>
      </c>
      <c r="H7" s="29">
        <v>3</v>
      </c>
      <c r="I7" s="29">
        <v>3</v>
      </c>
      <c r="J7" s="29" t="s">
        <v>2</v>
      </c>
      <c r="K7" s="29" t="s">
        <v>2</v>
      </c>
      <c r="L7" s="29">
        <v>2</v>
      </c>
      <c r="M7" s="29">
        <v>2</v>
      </c>
      <c r="N7" s="29">
        <v>2</v>
      </c>
      <c r="O7" s="29">
        <v>2</v>
      </c>
      <c r="P7" s="29">
        <v>2</v>
      </c>
      <c r="Q7" s="29">
        <v>2</v>
      </c>
      <c r="R7" s="29" t="s">
        <v>2</v>
      </c>
      <c r="S7" s="29" t="s">
        <v>2</v>
      </c>
      <c r="T7" s="29">
        <v>1</v>
      </c>
      <c r="U7" s="29">
        <v>1</v>
      </c>
      <c r="V7" s="29">
        <v>1</v>
      </c>
      <c r="W7" s="29">
        <v>1</v>
      </c>
      <c r="X7" s="29">
        <v>1</v>
      </c>
      <c r="Y7" s="29">
        <v>1</v>
      </c>
      <c r="Z7" s="29" t="s">
        <v>2</v>
      </c>
      <c r="AA7" s="29" t="s">
        <v>2</v>
      </c>
      <c r="AB7" s="29">
        <v>3</v>
      </c>
      <c r="AC7" s="29">
        <v>3</v>
      </c>
      <c r="AD7" s="29">
        <v>3</v>
      </c>
      <c r="AE7" s="29">
        <v>3</v>
      </c>
      <c r="AF7" s="29">
        <v>3</v>
      </c>
      <c r="AG7" s="6"/>
    </row>
    <row r="8" spans="1:34">
      <c r="A8" s="14" t="s">
        <v>5</v>
      </c>
      <c r="B8" s="29">
        <v>1</v>
      </c>
      <c r="C8" s="29">
        <v>1</v>
      </c>
      <c r="D8" s="29">
        <v>1</v>
      </c>
      <c r="E8" s="29">
        <v>1</v>
      </c>
      <c r="F8" s="29">
        <v>1</v>
      </c>
      <c r="G8" s="29">
        <v>1</v>
      </c>
      <c r="H8" s="29" t="s">
        <v>2</v>
      </c>
      <c r="I8" s="29" t="s">
        <v>2</v>
      </c>
      <c r="J8" s="29">
        <v>3</v>
      </c>
      <c r="K8" s="29">
        <v>3</v>
      </c>
      <c r="L8" s="29">
        <v>3</v>
      </c>
      <c r="M8" s="29">
        <v>3</v>
      </c>
      <c r="N8" s="29">
        <v>3</v>
      </c>
      <c r="O8" s="29">
        <v>3</v>
      </c>
      <c r="P8" s="29" t="s">
        <v>2</v>
      </c>
      <c r="Q8" s="29" t="s">
        <v>2</v>
      </c>
      <c r="R8" s="29">
        <v>2</v>
      </c>
      <c r="S8" s="29">
        <v>2</v>
      </c>
      <c r="T8" s="29">
        <v>2</v>
      </c>
      <c r="U8" s="29">
        <v>2</v>
      </c>
      <c r="V8" s="29">
        <v>2</v>
      </c>
      <c r="W8" s="29">
        <v>2</v>
      </c>
      <c r="X8" s="29" t="s">
        <v>2</v>
      </c>
      <c r="Y8" s="29" t="s">
        <v>2</v>
      </c>
      <c r="Z8" s="29">
        <v>1</v>
      </c>
      <c r="AA8" s="29">
        <v>1</v>
      </c>
      <c r="AB8" s="29">
        <v>1</v>
      </c>
      <c r="AC8" s="29">
        <v>1</v>
      </c>
      <c r="AD8" s="29">
        <v>1</v>
      </c>
      <c r="AE8" s="29">
        <v>1</v>
      </c>
      <c r="AF8" s="29" t="s">
        <v>2</v>
      </c>
      <c r="AG8" s="6"/>
    </row>
    <row r="10" spans="1:34">
      <c r="B10" s="4"/>
    </row>
    <row r="11" spans="1:34">
      <c r="A11" s="13" t="s">
        <v>6</v>
      </c>
      <c r="B11" s="31">
        <v>1</v>
      </c>
      <c r="C11" s="31">
        <v>2</v>
      </c>
      <c r="D11" s="31">
        <v>3</v>
      </c>
      <c r="E11" s="31">
        <v>4</v>
      </c>
      <c r="F11" s="31">
        <v>5</v>
      </c>
      <c r="G11" s="31">
        <v>6</v>
      </c>
      <c r="H11" s="31">
        <v>7</v>
      </c>
      <c r="I11" s="31">
        <v>8</v>
      </c>
      <c r="J11" s="31">
        <v>9</v>
      </c>
      <c r="K11" s="31">
        <v>10</v>
      </c>
      <c r="L11" s="31">
        <v>11</v>
      </c>
      <c r="M11" s="31">
        <v>12</v>
      </c>
      <c r="N11" s="31">
        <v>13</v>
      </c>
      <c r="O11" s="31">
        <v>14</v>
      </c>
      <c r="P11" s="31">
        <v>15</v>
      </c>
      <c r="Q11" s="31">
        <v>16</v>
      </c>
      <c r="R11" s="31">
        <v>17</v>
      </c>
      <c r="S11" s="31">
        <v>18</v>
      </c>
      <c r="T11" s="31">
        <v>19</v>
      </c>
      <c r="U11" s="31">
        <v>20</v>
      </c>
      <c r="V11" s="31">
        <v>21</v>
      </c>
      <c r="W11" s="31">
        <v>22</v>
      </c>
      <c r="X11" s="31">
        <v>23</v>
      </c>
      <c r="Y11" s="31">
        <v>24</v>
      </c>
      <c r="Z11" s="31">
        <v>25</v>
      </c>
      <c r="AA11" s="31">
        <v>26</v>
      </c>
      <c r="AB11" s="31">
        <v>27</v>
      </c>
      <c r="AC11" s="31">
        <v>28</v>
      </c>
    </row>
    <row r="12" spans="1:34">
      <c r="A12" s="14"/>
      <c r="B12" s="30" t="s">
        <v>56</v>
      </c>
      <c r="C12" s="30" t="s">
        <v>51</v>
      </c>
      <c r="D12" s="30" t="s">
        <v>52</v>
      </c>
      <c r="E12" s="30" t="s">
        <v>53</v>
      </c>
      <c r="F12" s="30" t="s">
        <v>54</v>
      </c>
      <c r="G12" s="30" t="s">
        <v>55</v>
      </c>
      <c r="H12" s="30" t="s">
        <v>1</v>
      </c>
      <c r="I12" s="30" t="s">
        <v>56</v>
      </c>
      <c r="J12" s="30" t="s">
        <v>51</v>
      </c>
      <c r="K12" s="30" t="s">
        <v>52</v>
      </c>
      <c r="L12" s="30" t="s">
        <v>53</v>
      </c>
      <c r="M12" s="30" t="s">
        <v>54</v>
      </c>
      <c r="N12" s="30" t="s">
        <v>55</v>
      </c>
      <c r="O12" s="30" t="s">
        <v>1</v>
      </c>
      <c r="P12" s="30" t="s">
        <v>56</v>
      </c>
      <c r="Q12" s="30" t="s">
        <v>51</v>
      </c>
      <c r="R12" s="30" t="s">
        <v>52</v>
      </c>
      <c r="S12" s="30" t="s">
        <v>53</v>
      </c>
      <c r="T12" s="30" t="s">
        <v>54</v>
      </c>
      <c r="U12" s="30" t="s">
        <v>55</v>
      </c>
      <c r="V12" s="30" t="s">
        <v>1</v>
      </c>
      <c r="W12" s="30" t="s">
        <v>56</v>
      </c>
      <c r="X12" s="30" t="s">
        <v>51</v>
      </c>
      <c r="Y12" s="30" t="s">
        <v>52</v>
      </c>
      <c r="Z12" s="30" t="s">
        <v>53</v>
      </c>
      <c r="AA12" s="30" t="s">
        <v>54</v>
      </c>
      <c r="AB12" s="30" t="s">
        <v>55</v>
      </c>
      <c r="AC12" s="30" t="s">
        <v>1</v>
      </c>
      <c r="AD12" s="9"/>
      <c r="AE12" s="9"/>
    </row>
    <row r="13" spans="1:34">
      <c r="A13" s="14" t="s">
        <v>42</v>
      </c>
      <c r="B13" s="29">
        <v>1</v>
      </c>
      <c r="C13" s="29">
        <v>1</v>
      </c>
      <c r="D13" s="29">
        <v>1</v>
      </c>
      <c r="E13" s="29">
        <v>1</v>
      </c>
      <c r="F13" s="29">
        <v>1</v>
      </c>
      <c r="G13" s="29" t="s">
        <v>2</v>
      </c>
      <c r="H13" s="29" t="s">
        <v>2</v>
      </c>
      <c r="I13" s="29">
        <v>3</v>
      </c>
      <c r="J13" s="29">
        <v>3</v>
      </c>
      <c r="K13" s="29">
        <v>3</v>
      </c>
      <c r="L13" s="29">
        <v>3</v>
      </c>
      <c r="M13" s="29">
        <v>3</v>
      </c>
      <c r="N13" s="29">
        <v>3</v>
      </c>
      <c r="O13" s="29" t="s">
        <v>2</v>
      </c>
      <c r="P13" s="29" t="s">
        <v>2</v>
      </c>
      <c r="Q13" s="29">
        <v>2</v>
      </c>
      <c r="R13" s="29">
        <v>2</v>
      </c>
      <c r="S13" s="29">
        <v>2</v>
      </c>
      <c r="T13" s="29">
        <v>2</v>
      </c>
      <c r="U13" s="29">
        <v>2</v>
      </c>
      <c r="V13" s="29">
        <v>2</v>
      </c>
      <c r="W13" s="29" t="s">
        <v>2</v>
      </c>
      <c r="X13" s="29" t="s">
        <v>2</v>
      </c>
      <c r="Y13" s="29">
        <v>1</v>
      </c>
      <c r="Z13" s="29">
        <v>1</v>
      </c>
      <c r="AA13" s="29">
        <v>1</v>
      </c>
      <c r="AB13" s="29">
        <v>1</v>
      </c>
      <c r="AC13" s="29">
        <v>1</v>
      </c>
      <c r="AD13" s="9"/>
      <c r="AE13" s="9"/>
    </row>
    <row r="14" spans="1:34">
      <c r="A14" s="14" t="s">
        <v>3</v>
      </c>
      <c r="B14" s="29">
        <v>2</v>
      </c>
      <c r="C14" s="29">
        <v>2</v>
      </c>
      <c r="D14" s="29">
        <v>2</v>
      </c>
      <c r="E14" s="29" t="s">
        <v>2</v>
      </c>
      <c r="F14" s="29" t="s">
        <v>2</v>
      </c>
      <c r="G14" s="29">
        <v>1</v>
      </c>
      <c r="H14" s="29">
        <v>1</v>
      </c>
      <c r="I14" s="29">
        <v>1</v>
      </c>
      <c r="J14" s="29">
        <v>1</v>
      </c>
      <c r="K14" s="29">
        <v>1</v>
      </c>
      <c r="L14" s="29">
        <v>1</v>
      </c>
      <c r="M14" s="29" t="s">
        <v>2</v>
      </c>
      <c r="N14" s="29" t="s">
        <v>2</v>
      </c>
      <c r="O14" s="29">
        <v>3</v>
      </c>
      <c r="P14" s="29">
        <v>3</v>
      </c>
      <c r="Q14" s="29">
        <v>3</v>
      </c>
      <c r="R14" s="29">
        <v>3</v>
      </c>
      <c r="S14" s="29">
        <v>3</v>
      </c>
      <c r="T14" s="29">
        <v>3</v>
      </c>
      <c r="U14" s="29" t="s">
        <v>2</v>
      </c>
      <c r="V14" s="29" t="s">
        <v>2</v>
      </c>
      <c r="W14" s="29">
        <v>2</v>
      </c>
      <c r="X14" s="29">
        <v>2</v>
      </c>
      <c r="Y14" s="29">
        <v>2</v>
      </c>
      <c r="Z14" s="29">
        <v>2</v>
      </c>
      <c r="AA14" s="29">
        <v>2</v>
      </c>
      <c r="AB14" s="29">
        <v>2</v>
      </c>
      <c r="AC14" s="29" t="s">
        <v>2</v>
      </c>
      <c r="AD14" s="9"/>
      <c r="AE14" s="9"/>
    </row>
    <row r="15" spans="1:34">
      <c r="A15" s="14" t="s">
        <v>4</v>
      </c>
      <c r="B15" s="29">
        <v>3</v>
      </c>
      <c r="C15" s="29" t="s">
        <v>2</v>
      </c>
      <c r="D15" s="29" t="s">
        <v>2</v>
      </c>
      <c r="E15" s="29">
        <v>2</v>
      </c>
      <c r="F15" s="29">
        <v>2</v>
      </c>
      <c r="G15" s="29">
        <v>2</v>
      </c>
      <c r="H15" s="29">
        <v>2</v>
      </c>
      <c r="I15" s="29">
        <v>2</v>
      </c>
      <c r="J15" s="29">
        <v>2</v>
      </c>
      <c r="K15" s="29" t="s">
        <v>2</v>
      </c>
      <c r="L15" s="29" t="s">
        <v>2</v>
      </c>
      <c r="M15" s="29">
        <v>1</v>
      </c>
      <c r="N15" s="29">
        <v>1</v>
      </c>
      <c r="O15" s="29">
        <v>1</v>
      </c>
      <c r="P15" s="29">
        <v>1</v>
      </c>
      <c r="Q15" s="29">
        <v>1</v>
      </c>
      <c r="R15" s="29">
        <v>1</v>
      </c>
      <c r="S15" s="29" t="s">
        <v>2</v>
      </c>
      <c r="T15" s="29" t="s">
        <v>2</v>
      </c>
      <c r="U15" s="29">
        <v>3</v>
      </c>
      <c r="V15" s="29">
        <v>3</v>
      </c>
      <c r="W15" s="29">
        <v>3</v>
      </c>
      <c r="X15" s="29">
        <v>3</v>
      </c>
      <c r="Y15" s="29">
        <v>3</v>
      </c>
      <c r="Z15" s="29">
        <v>3</v>
      </c>
      <c r="AA15" s="29" t="s">
        <v>2</v>
      </c>
      <c r="AB15" s="29" t="s">
        <v>2</v>
      </c>
      <c r="AC15" s="29">
        <v>2</v>
      </c>
      <c r="AD15" s="9"/>
      <c r="AE15" s="9"/>
    </row>
    <row r="16" spans="1:34">
      <c r="A16" s="14" t="s">
        <v>5</v>
      </c>
      <c r="B16" s="29" t="s">
        <v>2</v>
      </c>
      <c r="C16" s="29">
        <v>3</v>
      </c>
      <c r="D16" s="29">
        <v>3</v>
      </c>
      <c r="E16" s="29">
        <v>3</v>
      </c>
      <c r="F16" s="29">
        <v>3</v>
      </c>
      <c r="G16" s="29">
        <v>3</v>
      </c>
      <c r="H16" s="29">
        <v>3</v>
      </c>
      <c r="I16" s="29" t="s">
        <v>2</v>
      </c>
      <c r="J16" s="29" t="s">
        <v>2</v>
      </c>
      <c r="K16" s="29">
        <v>2</v>
      </c>
      <c r="L16" s="29">
        <v>2</v>
      </c>
      <c r="M16" s="29">
        <v>2</v>
      </c>
      <c r="N16" s="29">
        <v>2</v>
      </c>
      <c r="O16" s="29">
        <v>2</v>
      </c>
      <c r="P16" s="29">
        <v>2</v>
      </c>
      <c r="Q16" s="29" t="s">
        <v>2</v>
      </c>
      <c r="R16" s="29" t="s">
        <v>2</v>
      </c>
      <c r="S16" s="29">
        <v>1</v>
      </c>
      <c r="T16" s="29">
        <v>1</v>
      </c>
      <c r="U16" s="29">
        <v>1</v>
      </c>
      <c r="V16" s="29">
        <v>1</v>
      </c>
      <c r="W16" s="29">
        <v>1</v>
      </c>
      <c r="X16" s="29">
        <v>1</v>
      </c>
      <c r="Y16" s="29" t="s">
        <v>2</v>
      </c>
      <c r="Z16" s="29" t="s">
        <v>2</v>
      </c>
      <c r="AA16" s="29">
        <v>3</v>
      </c>
      <c r="AB16" s="29">
        <v>3</v>
      </c>
      <c r="AC16" s="29">
        <v>3</v>
      </c>
      <c r="AD16" s="9"/>
      <c r="AE16" s="9"/>
    </row>
    <row r="18" spans="1:33">
      <c r="B18" s="4"/>
    </row>
    <row r="19" spans="1:33">
      <c r="A19" s="13" t="s">
        <v>7</v>
      </c>
      <c r="B19" s="31">
        <v>1</v>
      </c>
      <c r="C19" s="31">
        <v>2</v>
      </c>
      <c r="D19" s="31">
        <v>3</v>
      </c>
      <c r="E19" s="31">
        <v>4</v>
      </c>
      <c r="F19" s="31">
        <v>5</v>
      </c>
      <c r="G19" s="31">
        <v>6</v>
      </c>
      <c r="H19" s="31">
        <v>7</v>
      </c>
      <c r="I19" s="31">
        <v>8</v>
      </c>
      <c r="J19" s="31">
        <v>9</v>
      </c>
      <c r="K19" s="31">
        <v>10</v>
      </c>
      <c r="L19" s="31">
        <v>11</v>
      </c>
      <c r="M19" s="31">
        <v>12</v>
      </c>
      <c r="N19" s="31">
        <v>13</v>
      </c>
      <c r="O19" s="31">
        <v>14</v>
      </c>
      <c r="P19" s="31">
        <v>15</v>
      </c>
      <c r="Q19" s="31">
        <v>16</v>
      </c>
      <c r="R19" s="31">
        <v>17</v>
      </c>
      <c r="S19" s="31">
        <v>18</v>
      </c>
      <c r="T19" s="31">
        <v>19</v>
      </c>
      <c r="U19" s="31">
        <v>20</v>
      </c>
      <c r="V19" s="31">
        <v>21</v>
      </c>
      <c r="W19" s="31">
        <v>22</v>
      </c>
      <c r="X19" s="31">
        <v>23</v>
      </c>
      <c r="Y19" s="31">
        <v>24</v>
      </c>
      <c r="Z19" s="31">
        <v>25</v>
      </c>
      <c r="AA19" s="31">
        <v>26</v>
      </c>
      <c r="AB19" s="31">
        <v>27</v>
      </c>
      <c r="AC19" s="31">
        <v>28</v>
      </c>
      <c r="AD19" s="31">
        <v>29</v>
      </c>
      <c r="AE19" s="31">
        <v>30</v>
      </c>
      <c r="AF19" s="31">
        <v>31</v>
      </c>
      <c r="AG19" s="6"/>
    </row>
    <row r="20" spans="1:33">
      <c r="A20" s="14"/>
      <c r="B20" s="30" t="s">
        <v>56</v>
      </c>
      <c r="C20" s="30" t="s">
        <v>51</v>
      </c>
      <c r="D20" s="30" t="s">
        <v>52</v>
      </c>
      <c r="E20" s="30" t="s">
        <v>53</v>
      </c>
      <c r="F20" s="30" t="s">
        <v>54</v>
      </c>
      <c r="G20" s="30" t="s">
        <v>55</v>
      </c>
      <c r="H20" s="30" t="s">
        <v>1</v>
      </c>
      <c r="I20" s="30" t="s">
        <v>56</v>
      </c>
      <c r="J20" s="30" t="s">
        <v>51</v>
      </c>
      <c r="K20" s="30" t="s">
        <v>52</v>
      </c>
      <c r="L20" s="30" t="s">
        <v>53</v>
      </c>
      <c r="M20" s="30" t="s">
        <v>54</v>
      </c>
      <c r="N20" s="30" t="s">
        <v>55</v>
      </c>
      <c r="O20" s="30" t="s">
        <v>1</v>
      </c>
      <c r="P20" s="30" t="s">
        <v>56</v>
      </c>
      <c r="Q20" s="30" t="s">
        <v>51</v>
      </c>
      <c r="R20" s="30" t="s">
        <v>52</v>
      </c>
      <c r="S20" s="30" t="s">
        <v>53</v>
      </c>
      <c r="T20" s="30" t="s">
        <v>54</v>
      </c>
      <c r="U20" s="30" t="s">
        <v>55</v>
      </c>
      <c r="V20" s="30" t="s">
        <v>1</v>
      </c>
      <c r="W20" s="30" t="s">
        <v>56</v>
      </c>
      <c r="X20" s="30" t="s">
        <v>51</v>
      </c>
      <c r="Y20" s="30" t="s">
        <v>52</v>
      </c>
      <c r="Z20" s="30" t="s">
        <v>53</v>
      </c>
      <c r="AA20" s="30" t="s">
        <v>54</v>
      </c>
      <c r="AB20" s="30" t="s">
        <v>55</v>
      </c>
      <c r="AC20" s="30" t="s">
        <v>1</v>
      </c>
      <c r="AD20" s="30" t="s">
        <v>56</v>
      </c>
      <c r="AE20" s="30" t="s">
        <v>51</v>
      </c>
      <c r="AF20" s="30" t="s">
        <v>52</v>
      </c>
      <c r="AG20" s="6"/>
    </row>
    <row r="21" spans="1:33">
      <c r="A21" s="14" t="s">
        <v>42</v>
      </c>
      <c r="B21" s="29">
        <v>1</v>
      </c>
      <c r="C21" s="29" t="s">
        <v>2</v>
      </c>
      <c r="D21" s="29" t="s">
        <v>2</v>
      </c>
      <c r="E21" s="29">
        <v>3</v>
      </c>
      <c r="F21" s="29">
        <v>3</v>
      </c>
      <c r="G21" s="29">
        <v>3</v>
      </c>
      <c r="H21" s="29">
        <v>3</v>
      </c>
      <c r="I21" s="29">
        <v>3</v>
      </c>
      <c r="J21" s="29">
        <v>3</v>
      </c>
      <c r="K21" s="29" t="s">
        <v>2</v>
      </c>
      <c r="L21" s="29" t="s">
        <v>2</v>
      </c>
      <c r="M21" s="29">
        <v>2</v>
      </c>
      <c r="N21" s="29">
        <v>2</v>
      </c>
      <c r="O21" s="29">
        <v>2</v>
      </c>
      <c r="P21" s="29">
        <v>2</v>
      </c>
      <c r="Q21" s="29">
        <v>2</v>
      </c>
      <c r="R21" s="29">
        <v>2</v>
      </c>
      <c r="S21" s="29" t="s">
        <v>2</v>
      </c>
      <c r="T21" s="29" t="s">
        <v>2</v>
      </c>
      <c r="U21" s="29">
        <v>1</v>
      </c>
      <c r="V21" s="29">
        <v>1</v>
      </c>
      <c r="W21" s="29">
        <v>1</v>
      </c>
      <c r="X21" s="29">
        <v>1</v>
      </c>
      <c r="Y21" s="29">
        <v>1</v>
      </c>
      <c r="Z21" s="29">
        <v>1</v>
      </c>
      <c r="AA21" s="29" t="s">
        <v>2</v>
      </c>
      <c r="AB21" s="29" t="s">
        <v>2</v>
      </c>
      <c r="AC21" s="29">
        <v>3</v>
      </c>
      <c r="AD21" s="29">
        <v>3</v>
      </c>
      <c r="AE21" s="29">
        <v>3</v>
      </c>
      <c r="AF21" s="29">
        <v>3</v>
      </c>
      <c r="AG21" s="6"/>
    </row>
    <row r="22" spans="1:33">
      <c r="A22" s="14" t="s">
        <v>3</v>
      </c>
      <c r="B22" s="29" t="s">
        <v>2</v>
      </c>
      <c r="C22" s="29">
        <v>1</v>
      </c>
      <c r="D22" s="29">
        <v>1</v>
      </c>
      <c r="E22" s="29">
        <v>1</v>
      </c>
      <c r="F22" s="29">
        <v>1</v>
      </c>
      <c r="G22" s="29">
        <v>1</v>
      </c>
      <c r="H22" s="29">
        <v>1</v>
      </c>
      <c r="I22" s="29" t="s">
        <v>2</v>
      </c>
      <c r="J22" s="29" t="s">
        <v>2</v>
      </c>
      <c r="K22" s="29">
        <v>3</v>
      </c>
      <c r="L22" s="29">
        <v>3</v>
      </c>
      <c r="M22" s="29">
        <v>3</v>
      </c>
      <c r="N22" s="29">
        <v>3</v>
      </c>
      <c r="O22" s="29">
        <v>3</v>
      </c>
      <c r="P22" s="29">
        <v>3</v>
      </c>
      <c r="Q22" s="29" t="s">
        <v>2</v>
      </c>
      <c r="R22" s="29" t="s">
        <v>2</v>
      </c>
      <c r="S22" s="29">
        <v>2</v>
      </c>
      <c r="T22" s="29">
        <v>2</v>
      </c>
      <c r="U22" s="29">
        <v>2</v>
      </c>
      <c r="V22" s="29">
        <v>2</v>
      </c>
      <c r="W22" s="29">
        <v>2</v>
      </c>
      <c r="X22" s="29">
        <v>2</v>
      </c>
      <c r="Y22" s="29" t="s">
        <v>2</v>
      </c>
      <c r="Z22" s="29" t="s">
        <v>2</v>
      </c>
      <c r="AA22" s="29">
        <v>1</v>
      </c>
      <c r="AB22" s="29">
        <v>1</v>
      </c>
      <c r="AC22" s="29">
        <v>1</v>
      </c>
      <c r="AD22" s="29">
        <v>1</v>
      </c>
      <c r="AE22" s="29">
        <v>1</v>
      </c>
      <c r="AF22" s="29">
        <v>1</v>
      </c>
      <c r="AG22" s="6"/>
    </row>
    <row r="23" spans="1:33">
      <c r="A23" s="14" t="s">
        <v>4</v>
      </c>
      <c r="B23" s="29">
        <v>2</v>
      </c>
      <c r="C23" s="29">
        <v>2</v>
      </c>
      <c r="D23" s="29">
        <v>2</v>
      </c>
      <c r="E23" s="29">
        <v>2</v>
      </c>
      <c r="F23" s="29">
        <v>2</v>
      </c>
      <c r="G23" s="29" t="s">
        <v>2</v>
      </c>
      <c r="H23" s="29" t="s">
        <v>2</v>
      </c>
      <c r="I23" s="29">
        <v>1</v>
      </c>
      <c r="J23" s="29">
        <v>1</v>
      </c>
      <c r="K23" s="29">
        <v>1</v>
      </c>
      <c r="L23" s="29">
        <v>1</v>
      </c>
      <c r="M23" s="29">
        <v>1</v>
      </c>
      <c r="N23" s="29">
        <v>1</v>
      </c>
      <c r="O23" s="29" t="s">
        <v>2</v>
      </c>
      <c r="P23" s="29" t="s">
        <v>2</v>
      </c>
      <c r="Q23" s="29">
        <v>3</v>
      </c>
      <c r="R23" s="29">
        <v>3</v>
      </c>
      <c r="S23" s="29">
        <v>3</v>
      </c>
      <c r="T23" s="29">
        <v>3</v>
      </c>
      <c r="U23" s="29">
        <v>3</v>
      </c>
      <c r="V23" s="29">
        <v>3</v>
      </c>
      <c r="W23" s="29" t="s">
        <v>2</v>
      </c>
      <c r="X23" s="29" t="s">
        <v>2</v>
      </c>
      <c r="Y23" s="29">
        <v>2</v>
      </c>
      <c r="Z23" s="29">
        <v>2</v>
      </c>
      <c r="AA23" s="29">
        <v>2</v>
      </c>
      <c r="AB23" s="29">
        <v>2</v>
      </c>
      <c r="AC23" s="29">
        <v>2</v>
      </c>
      <c r="AD23" s="29">
        <v>2</v>
      </c>
      <c r="AE23" s="29" t="s">
        <v>2</v>
      </c>
      <c r="AF23" s="29" t="s">
        <v>2</v>
      </c>
      <c r="AG23" s="6"/>
    </row>
    <row r="24" spans="1:33">
      <c r="A24" s="14" t="s">
        <v>5</v>
      </c>
      <c r="B24" s="29">
        <v>3</v>
      </c>
      <c r="C24" s="29">
        <v>3</v>
      </c>
      <c r="D24" s="29">
        <v>3</v>
      </c>
      <c r="E24" s="29" t="s">
        <v>2</v>
      </c>
      <c r="F24" s="29" t="s">
        <v>2</v>
      </c>
      <c r="G24" s="29">
        <v>2</v>
      </c>
      <c r="H24" s="29">
        <v>2</v>
      </c>
      <c r="I24" s="29">
        <v>2</v>
      </c>
      <c r="J24" s="29">
        <v>2</v>
      </c>
      <c r="K24" s="29">
        <v>2</v>
      </c>
      <c r="L24" s="29">
        <v>2</v>
      </c>
      <c r="M24" s="29" t="s">
        <v>2</v>
      </c>
      <c r="N24" s="29" t="s">
        <v>2</v>
      </c>
      <c r="O24" s="29">
        <v>1</v>
      </c>
      <c r="P24" s="29">
        <v>1</v>
      </c>
      <c r="Q24" s="29">
        <v>1</v>
      </c>
      <c r="R24" s="29">
        <v>1</v>
      </c>
      <c r="S24" s="29">
        <v>1</v>
      </c>
      <c r="T24" s="29">
        <v>1</v>
      </c>
      <c r="U24" s="29" t="s">
        <v>2</v>
      </c>
      <c r="V24" s="29" t="s">
        <v>2</v>
      </c>
      <c r="W24" s="29">
        <v>3</v>
      </c>
      <c r="X24" s="29">
        <v>3</v>
      </c>
      <c r="Y24" s="29">
        <v>3</v>
      </c>
      <c r="Z24" s="29">
        <v>3</v>
      </c>
      <c r="AA24" s="29">
        <v>3</v>
      </c>
      <c r="AB24" s="29">
        <v>3</v>
      </c>
      <c r="AC24" s="29" t="s">
        <v>2</v>
      </c>
      <c r="AD24" s="29" t="s">
        <v>2</v>
      </c>
      <c r="AE24" s="29">
        <v>2</v>
      </c>
      <c r="AF24" s="29">
        <v>2</v>
      </c>
      <c r="AG24" s="6"/>
    </row>
    <row r="27" spans="1:33">
      <c r="A27" s="13" t="s">
        <v>8</v>
      </c>
      <c r="B27" s="31">
        <v>1</v>
      </c>
      <c r="C27" s="31">
        <v>2</v>
      </c>
      <c r="D27" s="31">
        <v>3</v>
      </c>
      <c r="E27" s="31">
        <v>4</v>
      </c>
      <c r="F27" s="31">
        <v>5</v>
      </c>
      <c r="G27" s="31">
        <v>6</v>
      </c>
      <c r="H27" s="31">
        <v>7</v>
      </c>
      <c r="I27" s="31">
        <v>8</v>
      </c>
      <c r="J27" s="31">
        <v>9</v>
      </c>
      <c r="K27" s="31">
        <v>10</v>
      </c>
      <c r="L27" s="31">
        <v>11</v>
      </c>
      <c r="M27" s="31">
        <v>12</v>
      </c>
      <c r="N27" s="31">
        <v>13</v>
      </c>
      <c r="O27" s="31">
        <v>14</v>
      </c>
      <c r="P27" s="31">
        <v>15</v>
      </c>
      <c r="Q27" s="31">
        <v>16</v>
      </c>
      <c r="R27" s="31">
        <v>17</v>
      </c>
      <c r="S27" s="31">
        <v>18</v>
      </c>
      <c r="T27" s="31">
        <v>19</v>
      </c>
      <c r="U27" s="31">
        <v>20</v>
      </c>
      <c r="V27" s="31">
        <v>21</v>
      </c>
      <c r="W27" s="31">
        <v>22</v>
      </c>
      <c r="X27" s="31">
        <v>23</v>
      </c>
      <c r="Y27" s="31">
        <v>24</v>
      </c>
      <c r="Z27" s="31">
        <v>25</v>
      </c>
      <c r="AA27" s="31">
        <v>26</v>
      </c>
      <c r="AB27" s="31">
        <v>27</v>
      </c>
      <c r="AC27" s="31">
        <v>28</v>
      </c>
      <c r="AD27" s="31">
        <v>29</v>
      </c>
      <c r="AE27" s="31">
        <v>30</v>
      </c>
      <c r="AF27" s="7"/>
      <c r="AG27" s="6"/>
    </row>
    <row r="28" spans="1:33">
      <c r="A28" s="14"/>
      <c r="B28" s="30" t="s">
        <v>53</v>
      </c>
      <c r="C28" s="30" t="s">
        <v>54</v>
      </c>
      <c r="D28" s="30" t="s">
        <v>55</v>
      </c>
      <c r="E28" s="30" t="s">
        <v>1</v>
      </c>
      <c r="F28" s="30" t="s">
        <v>56</v>
      </c>
      <c r="G28" s="30" t="s">
        <v>51</v>
      </c>
      <c r="H28" s="30" t="s">
        <v>52</v>
      </c>
      <c r="I28" s="30" t="s">
        <v>53</v>
      </c>
      <c r="J28" s="30" t="s">
        <v>54</v>
      </c>
      <c r="K28" s="30" t="s">
        <v>55</v>
      </c>
      <c r="L28" s="30" t="s">
        <v>1</v>
      </c>
      <c r="M28" s="30" t="s">
        <v>56</v>
      </c>
      <c r="N28" s="30" t="s">
        <v>51</v>
      </c>
      <c r="O28" s="30" t="s">
        <v>52</v>
      </c>
      <c r="P28" s="30" t="s">
        <v>53</v>
      </c>
      <c r="Q28" s="30" t="s">
        <v>54</v>
      </c>
      <c r="R28" s="30" t="s">
        <v>55</v>
      </c>
      <c r="S28" s="30" t="s">
        <v>1</v>
      </c>
      <c r="T28" s="30" t="s">
        <v>56</v>
      </c>
      <c r="U28" s="30" t="s">
        <v>51</v>
      </c>
      <c r="V28" s="30" t="s">
        <v>52</v>
      </c>
      <c r="W28" s="30" t="s">
        <v>53</v>
      </c>
      <c r="X28" s="30" t="s">
        <v>54</v>
      </c>
      <c r="Y28" s="30" t="s">
        <v>55</v>
      </c>
      <c r="Z28" s="30" t="s">
        <v>1</v>
      </c>
      <c r="AA28" s="30" t="s">
        <v>56</v>
      </c>
      <c r="AB28" s="30" t="s">
        <v>51</v>
      </c>
      <c r="AC28" s="30" t="s">
        <v>52</v>
      </c>
      <c r="AD28" s="30" t="s">
        <v>53</v>
      </c>
      <c r="AE28" s="30" t="s">
        <v>54</v>
      </c>
      <c r="AF28" s="8"/>
      <c r="AG28" s="6"/>
    </row>
    <row r="29" spans="1:33">
      <c r="A29" s="14" t="s">
        <v>42</v>
      </c>
      <c r="B29" s="29">
        <v>3</v>
      </c>
      <c r="C29" s="29">
        <v>3</v>
      </c>
      <c r="D29" s="29" t="s">
        <v>2</v>
      </c>
      <c r="E29" s="29" t="s">
        <v>2</v>
      </c>
      <c r="F29" s="29">
        <v>2</v>
      </c>
      <c r="G29" s="29">
        <v>2</v>
      </c>
      <c r="H29" s="29">
        <v>2</v>
      </c>
      <c r="I29" s="29">
        <v>2</v>
      </c>
      <c r="J29" s="29">
        <v>2</v>
      </c>
      <c r="K29" s="29">
        <v>2</v>
      </c>
      <c r="L29" s="29" t="s">
        <v>2</v>
      </c>
      <c r="M29" s="29" t="s">
        <v>2</v>
      </c>
      <c r="N29" s="29">
        <v>1</v>
      </c>
      <c r="O29" s="29">
        <v>1</v>
      </c>
      <c r="P29" s="29">
        <v>1</v>
      </c>
      <c r="Q29" s="29">
        <v>1</v>
      </c>
      <c r="R29" s="29">
        <v>1</v>
      </c>
      <c r="S29" s="29">
        <v>1</v>
      </c>
      <c r="T29" s="29" t="s">
        <v>2</v>
      </c>
      <c r="U29" s="29" t="s">
        <v>2</v>
      </c>
      <c r="V29" s="29">
        <v>3</v>
      </c>
      <c r="W29" s="29">
        <v>3</v>
      </c>
      <c r="X29" s="29">
        <v>3</v>
      </c>
      <c r="Y29" s="29">
        <v>3</v>
      </c>
      <c r="Z29" s="29">
        <v>3</v>
      </c>
      <c r="AA29" s="29">
        <v>3</v>
      </c>
      <c r="AB29" s="29" t="s">
        <v>2</v>
      </c>
      <c r="AC29" s="29" t="s">
        <v>2</v>
      </c>
      <c r="AD29" s="29">
        <v>2</v>
      </c>
      <c r="AE29" s="29">
        <v>2</v>
      </c>
      <c r="AF29" s="8"/>
      <c r="AG29" s="6"/>
    </row>
    <row r="30" spans="1:33">
      <c r="A30" s="14" t="s">
        <v>3</v>
      </c>
      <c r="B30" s="29" t="s">
        <v>2</v>
      </c>
      <c r="C30" s="29" t="s">
        <v>2</v>
      </c>
      <c r="D30" s="29">
        <v>3</v>
      </c>
      <c r="E30" s="29">
        <v>3</v>
      </c>
      <c r="F30" s="29">
        <v>3</v>
      </c>
      <c r="G30" s="29">
        <v>3</v>
      </c>
      <c r="H30" s="29">
        <v>3</v>
      </c>
      <c r="I30" s="29">
        <v>3</v>
      </c>
      <c r="J30" s="29" t="s">
        <v>2</v>
      </c>
      <c r="K30" s="29" t="s">
        <v>2</v>
      </c>
      <c r="L30" s="29">
        <v>2</v>
      </c>
      <c r="M30" s="29">
        <v>2</v>
      </c>
      <c r="N30" s="29">
        <v>2</v>
      </c>
      <c r="O30" s="29">
        <v>2</v>
      </c>
      <c r="P30" s="29">
        <v>2</v>
      </c>
      <c r="Q30" s="29">
        <v>2</v>
      </c>
      <c r="R30" s="29" t="s">
        <v>2</v>
      </c>
      <c r="S30" s="29" t="s">
        <v>2</v>
      </c>
      <c r="T30" s="29">
        <v>1</v>
      </c>
      <c r="U30" s="29">
        <v>1</v>
      </c>
      <c r="V30" s="29">
        <v>1</v>
      </c>
      <c r="W30" s="29">
        <v>1</v>
      </c>
      <c r="X30" s="29">
        <v>1</v>
      </c>
      <c r="Y30" s="29">
        <v>1</v>
      </c>
      <c r="Z30" s="29" t="s">
        <v>2</v>
      </c>
      <c r="AA30" s="29" t="s">
        <v>2</v>
      </c>
      <c r="AB30" s="29">
        <v>3</v>
      </c>
      <c r="AC30" s="29">
        <v>3</v>
      </c>
      <c r="AD30" s="29">
        <v>3</v>
      </c>
      <c r="AE30" s="29">
        <v>3</v>
      </c>
      <c r="AF30" s="8"/>
      <c r="AG30" s="6"/>
    </row>
    <row r="31" spans="1:33">
      <c r="A31" s="14" t="s">
        <v>4</v>
      </c>
      <c r="B31" s="29">
        <v>1</v>
      </c>
      <c r="C31" s="29">
        <v>1</v>
      </c>
      <c r="D31" s="29">
        <v>1</v>
      </c>
      <c r="E31" s="29">
        <v>1</v>
      </c>
      <c r="F31" s="29">
        <v>1</v>
      </c>
      <c r="G31" s="29">
        <v>1</v>
      </c>
      <c r="H31" s="29" t="s">
        <v>2</v>
      </c>
      <c r="I31" s="29" t="s">
        <v>2</v>
      </c>
      <c r="J31" s="29">
        <v>3</v>
      </c>
      <c r="K31" s="29">
        <v>3</v>
      </c>
      <c r="L31" s="29">
        <v>3</v>
      </c>
      <c r="M31" s="29">
        <v>3</v>
      </c>
      <c r="N31" s="29">
        <v>3</v>
      </c>
      <c r="O31" s="29">
        <v>3</v>
      </c>
      <c r="P31" s="29" t="s">
        <v>2</v>
      </c>
      <c r="Q31" s="29" t="s">
        <v>2</v>
      </c>
      <c r="R31" s="29">
        <v>2</v>
      </c>
      <c r="S31" s="29">
        <v>2</v>
      </c>
      <c r="T31" s="29">
        <v>2</v>
      </c>
      <c r="U31" s="29">
        <v>2</v>
      </c>
      <c r="V31" s="29">
        <v>2</v>
      </c>
      <c r="W31" s="29">
        <v>2</v>
      </c>
      <c r="X31" s="29" t="s">
        <v>2</v>
      </c>
      <c r="Y31" s="29" t="s">
        <v>2</v>
      </c>
      <c r="Z31" s="29">
        <v>1</v>
      </c>
      <c r="AA31" s="29">
        <v>1</v>
      </c>
      <c r="AB31" s="29">
        <v>1</v>
      </c>
      <c r="AC31" s="29">
        <v>1</v>
      </c>
      <c r="AD31" s="29">
        <v>1</v>
      </c>
      <c r="AE31" s="29">
        <v>1</v>
      </c>
      <c r="AF31" s="8"/>
      <c r="AG31" s="6"/>
    </row>
    <row r="32" spans="1:33">
      <c r="A32" s="14" t="s">
        <v>5</v>
      </c>
      <c r="B32" s="29">
        <v>2</v>
      </c>
      <c r="C32" s="29">
        <v>2</v>
      </c>
      <c r="D32" s="29">
        <v>2</v>
      </c>
      <c r="E32" s="29">
        <v>2</v>
      </c>
      <c r="F32" s="29" t="s">
        <v>2</v>
      </c>
      <c r="G32" s="29" t="s">
        <v>2</v>
      </c>
      <c r="H32" s="29">
        <v>1</v>
      </c>
      <c r="I32" s="29">
        <v>1</v>
      </c>
      <c r="J32" s="29">
        <v>1</v>
      </c>
      <c r="K32" s="29">
        <v>1</v>
      </c>
      <c r="L32" s="29">
        <v>1</v>
      </c>
      <c r="M32" s="29">
        <v>1</v>
      </c>
      <c r="N32" s="29" t="s">
        <v>2</v>
      </c>
      <c r="O32" s="29" t="s">
        <v>2</v>
      </c>
      <c r="P32" s="29">
        <v>3</v>
      </c>
      <c r="Q32" s="29">
        <v>3</v>
      </c>
      <c r="R32" s="29">
        <v>3</v>
      </c>
      <c r="S32" s="29">
        <v>3</v>
      </c>
      <c r="T32" s="29">
        <v>3</v>
      </c>
      <c r="U32" s="29">
        <v>3</v>
      </c>
      <c r="V32" s="29" t="s">
        <v>2</v>
      </c>
      <c r="W32" s="29" t="s">
        <v>2</v>
      </c>
      <c r="X32" s="29">
        <v>2</v>
      </c>
      <c r="Y32" s="29">
        <v>2</v>
      </c>
      <c r="Z32" s="29">
        <v>2</v>
      </c>
      <c r="AA32" s="29">
        <v>2</v>
      </c>
      <c r="AB32" s="29">
        <v>2</v>
      </c>
      <c r="AC32" s="29">
        <v>2</v>
      </c>
      <c r="AD32" s="29" t="s">
        <v>2</v>
      </c>
      <c r="AE32" s="29" t="s">
        <v>2</v>
      </c>
      <c r="AF32" s="8"/>
      <c r="AG32" s="6"/>
    </row>
    <row r="33" spans="1:33"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6"/>
    </row>
    <row r="34" spans="1:33"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6"/>
    </row>
    <row r="35" spans="1:33">
      <c r="A35" s="13" t="s">
        <v>9</v>
      </c>
      <c r="B35" s="31">
        <v>1</v>
      </c>
      <c r="C35" s="31">
        <v>2</v>
      </c>
      <c r="D35" s="31">
        <v>3</v>
      </c>
      <c r="E35" s="31">
        <v>4</v>
      </c>
      <c r="F35" s="31">
        <v>5</v>
      </c>
      <c r="G35" s="31">
        <v>6</v>
      </c>
      <c r="H35" s="31">
        <v>7</v>
      </c>
      <c r="I35" s="31">
        <v>8</v>
      </c>
      <c r="J35" s="31">
        <v>9</v>
      </c>
      <c r="K35" s="31">
        <v>10</v>
      </c>
      <c r="L35" s="31">
        <v>11</v>
      </c>
      <c r="M35" s="31">
        <v>12</v>
      </c>
      <c r="N35" s="31">
        <v>13</v>
      </c>
      <c r="O35" s="31">
        <v>14</v>
      </c>
      <c r="P35" s="31">
        <v>15</v>
      </c>
      <c r="Q35" s="31">
        <v>16</v>
      </c>
      <c r="R35" s="31">
        <v>17</v>
      </c>
      <c r="S35" s="31">
        <v>18</v>
      </c>
      <c r="T35" s="31">
        <v>19</v>
      </c>
      <c r="U35" s="31">
        <v>20</v>
      </c>
      <c r="V35" s="31">
        <v>21</v>
      </c>
      <c r="W35" s="31">
        <v>22</v>
      </c>
      <c r="X35" s="31">
        <v>23</v>
      </c>
      <c r="Y35" s="31">
        <v>24</v>
      </c>
      <c r="Z35" s="31">
        <v>25</v>
      </c>
      <c r="AA35" s="31">
        <v>26</v>
      </c>
      <c r="AB35" s="31">
        <v>27</v>
      </c>
      <c r="AC35" s="31">
        <v>28</v>
      </c>
      <c r="AD35" s="31">
        <v>29</v>
      </c>
      <c r="AE35" s="31">
        <v>30</v>
      </c>
      <c r="AF35" s="31">
        <v>31</v>
      </c>
      <c r="AG35" s="6"/>
    </row>
    <row r="36" spans="1:33">
      <c r="A36" s="14"/>
      <c r="B36" s="30" t="s">
        <v>55</v>
      </c>
      <c r="C36" s="30" t="s">
        <v>1</v>
      </c>
      <c r="D36" s="30" t="s">
        <v>56</v>
      </c>
      <c r="E36" s="30" t="s">
        <v>51</v>
      </c>
      <c r="F36" s="30" t="s">
        <v>52</v>
      </c>
      <c r="G36" s="30" t="s">
        <v>53</v>
      </c>
      <c r="H36" s="30" t="s">
        <v>54</v>
      </c>
      <c r="I36" s="30" t="s">
        <v>55</v>
      </c>
      <c r="J36" s="30" t="s">
        <v>1</v>
      </c>
      <c r="K36" s="30" t="s">
        <v>56</v>
      </c>
      <c r="L36" s="30" t="s">
        <v>51</v>
      </c>
      <c r="M36" s="30" t="s">
        <v>52</v>
      </c>
      <c r="N36" s="30" t="s">
        <v>53</v>
      </c>
      <c r="O36" s="30" t="s">
        <v>54</v>
      </c>
      <c r="P36" s="30" t="s">
        <v>55</v>
      </c>
      <c r="Q36" s="30" t="s">
        <v>1</v>
      </c>
      <c r="R36" s="30" t="s">
        <v>56</v>
      </c>
      <c r="S36" s="30" t="s">
        <v>51</v>
      </c>
      <c r="T36" s="30" t="s">
        <v>52</v>
      </c>
      <c r="U36" s="30" t="s">
        <v>53</v>
      </c>
      <c r="V36" s="30" t="s">
        <v>54</v>
      </c>
      <c r="W36" s="30" t="s">
        <v>55</v>
      </c>
      <c r="X36" s="30" t="s">
        <v>1</v>
      </c>
      <c r="Y36" s="30" t="s">
        <v>56</v>
      </c>
      <c r="Z36" s="30" t="s">
        <v>51</v>
      </c>
      <c r="AA36" s="30" t="s">
        <v>52</v>
      </c>
      <c r="AB36" s="30" t="s">
        <v>53</v>
      </c>
      <c r="AC36" s="30" t="s">
        <v>54</v>
      </c>
      <c r="AD36" s="30" t="s">
        <v>55</v>
      </c>
      <c r="AE36" s="30" t="s">
        <v>1</v>
      </c>
      <c r="AF36" s="30" t="s">
        <v>56</v>
      </c>
      <c r="AG36" s="6"/>
    </row>
    <row r="37" spans="1:33">
      <c r="A37" s="14" t="s">
        <v>42</v>
      </c>
      <c r="B37" s="29">
        <v>2</v>
      </c>
      <c r="C37" s="29">
        <v>2</v>
      </c>
      <c r="D37" s="29">
        <v>2</v>
      </c>
      <c r="E37" s="29">
        <v>2</v>
      </c>
      <c r="F37" s="29" t="s">
        <v>2</v>
      </c>
      <c r="G37" s="29" t="s">
        <v>2</v>
      </c>
      <c r="H37" s="29">
        <v>1</v>
      </c>
      <c r="I37" s="29">
        <v>1</v>
      </c>
      <c r="J37" s="29">
        <v>1</v>
      </c>
      <c r="K37" s="29">
        <v>1</v>
      </c>
      <c r="L37" s="29">
        <v>1</v>
      </c>
      <c r="M37" s="29">
        <v>1</v>
      </c>
      <c r="N37" s="29" t="s">
        <v>2</v>
      </c>
      <c r="O37" s="29" t="s">
        <v>2</v>
      </c>
      <c r="P37" s="29">
        <v>3</v>
      </c>
      <c r="Q37" s="29">
        <v>3</v>
      </c>
      <c r="R37" s="29">
        <v>3</v>
      </c>
      <c r="S37" s="29">
        <v>3</v>
      </c>
      <c r="T37" s="29">
        <v>3</v>
      </c>
      <c r="U37" s="29">
        <v>3</v>
      </c>
      <c r="V37" s="29" t="s">
        <v>2</v>
      </c>
      <c r="W37" s="29" t="s">
        <v>2</v>
      </c>
      <c r="X37" s="29">
        <v>2</v>
      </c>
      <c r="Y37" s="29">
        <v>2</v>
      </c>
      <c r="Z37" s="29">
        <v>2</v>
      </c>
      <c r="AA37" s="29">
        <v>2</v>
      </c>
      <c r="AB37" s="29">
        <v>2</v>
      </c>
      <c r="AC37" s="29">
        <v>2</v>
      </c>
      <c r="AD37" s="29" t="s">
        <v>2</v>
      </c>
      <c r="AE37" s="29" t="s">
        <v>2</v>
      </c>
      <c r="AF37" s="29">
        <v>1</v>
      </c>
      <c r="AG37" s="6"/>
    </row>
    <row r="38" spans="1:33">
      <c r="A38" s="14" t="s">
        <v>3</v>
      </c>
      <c r="B38" s="29">
        <v>3</v>
      </c>
      <c r="C38" s="29">
        <v>3</v>
      </c>
      <c r="D38" s="29" t="s">
        <v>2</v>
      </c>
      <c r="E38" s="29" t="s">
        <v>2</v>
      </c>
      <c r="F38" s="29">
        <v>2</v>
      </c>
      <c r="G38" s="29">
        <v>2</v>
      </c>
      <c r="H38" s="29">
        <v>2</v>
      </c>
      <c r="I38" s="29">
        <v>2</v>
      </c>
      <c r="J38" s="29">
        <v>2</v>
      </c>
      <c r="K38" s="29">
        <v>2</v>
      </c>
      <c r="L38" s="29" t="s">
        <v>2</v>
      </c>
      <c r="M38" s="29" t="s">
        <v>2</v>
      </c>
      <c r="N38" s="29">
        <v>1</v>
      </c>
      <c r="O38" s="29">
        <v>1</v>
      </c>
      <c r="P38" s="29">
        <v>1</v>
      </c>
      <c r="Q38" s="29">
        <v>1</v>
      </c>
      <c r="R38" s="29">
        <v>1</v>
      </c>
      <c r="S38" s="29">
        <v>1</v>
      </c>
      <c r="T38" s="29" t="s">
        <v>2</v>
      </c>
      <c r="U38" s="29" t="s">
        <v>2</v>
      </c>
      <c r="V38" s="29">
        <v>3</v>
      </c>
      <c r="W38" s="29">
        <v>3</v>
      </c>
      <c r="X38" s="29">
        <v>3</v>
      </c>
      <c r="Y38" s="29">
        <v>3</v>
      </c>
      <c r="Z38" s="29">
        <v>3</v>
      </c>
      <c r="AA38" s="29">
        <v>3</v>
      </c>
      <c r="AB38" s="29" t="s">
        <v>2</v>
      </c>
      <c r="AC38" s="29" t="s">
        <v>2</v>
      </c>
      <c r="AD38" s="29">
        <v>2</v>
      </c>
      <c r="AE38" s="29">
        <v>2</v>
      </c>
      <c r="AF38" s="29">
        <v>2</v>
      </c>
      <c r="AG38" s="6"/>
    </row>
    <row r="39" spans="1:33">
      <c r="A39" s="14" t="s">
        <v>4</v>
      </c>
      <c r="B39" s="29" t="s">
        <v>2</v>
      </c>
      <c r="C39" s="29" t="s">
        <v>2</v>
      </c>
      <c r="D39" s="29">
        <v>3</v>
      </c>
      <c r="E39" s="29">
        <v>3</v>
      </c>
      <c r="F39" s="29">
        <v>3</v>
      </c>
      <c r="G39" s="29">
        <v>3</v>
      </c>
      <c r="H39" s="29">
        <v>3</v>
      </c>
      <c r="I39" s="29">
        <v>3</v>
      </c>
      <c r="J39" s="29" t="s">
        <v>2</v>
      </c>
      <c r="K39" s="29" t="s">
        <v>2</v>
      </c>
      <c r="L39" s="29">
        <v>2</v>
      </c>
      <c r="M39" s="29">
        <v>2</v>
      </c>
      <c r="N39" s="29">
        <v>2</v>
      </c>
      <c r="O39" s="29">
        <v>2</v>
      </c>
      <c r="P39" s="29">
        <v>2</v>
      </c>
      <c r="Q39" s="29">
        <v>2</v>
      </c>
      <c r="R39" s="29" t="s">
        <v>2</v>
      </c>
      <c r="S39" s="29" t="s">
        <v>2</v>
      </c>
      <c r="T39" s="29">
        <v>1</v>
      </c>
      <c r="U39" s="29">
        <v>1</v>
      </c>
      <c r="V39" s="29">
        <v>1</v>
      </c>
      <c r="W39" s="29">
        <v>1</v>
      </c>
      <c r="X39" s="29">
        <v>1</v>
      </c>
      <c r="Y39" s="29">
        <v>1</v>
      </c>
      <c r="Z39" s="29" t="s">
        <v>2</v>
      </c>
      <c r="AA39" s="29" t="s">
        <v>2</v>
      </c>
      <c r="AB39" s="29">
        <v>3</v>
      </c>
      <c r="AC39" s="29">
        <v>3</v>
      </c>
      <c r="AD39" s="29">
        <v>3</v>
      </c>
      <c r="AE39" s="29">
        <v>3</v>
      </c>
      <c r="AF39" s="29">
        <v>3</v>
      </c>
      <c r="AG39" s="6"/>
    </row>
    <row r="40" spans="1:33">
      <c r="A40" s="14" t="s">
        <v>5</v>
      </c>
      <c r="B40" s="29">
        <v>1</v>
      </c>
      <c r="C40" s="29">
        <v>1</v>
      </c>
      <c r="D40" s="29">
        <v>1</v>
      </c>
      <c r="E40" s="29">
        <v>1</v>
      </c>
      <c r="F40" s="29">
        <v>1</v>
      </c>
      <c r="G40" s="29">
        <v>1</v>
      </c>
      <c r="H40" s="29" t="s">
        <v>2</v>
      </c>
      <c r="I40" s="29" t="s">
        <v>2</v>
      </c>
      <c r="J40" s="29">
        <v>3</v>
      </c>
      <c r="K40" s="29">
        <v>3</v>
      </c>
      <c r="L40" s="29">
        <v>3</v>
      </c>
      <c r="M40" s="29">
        <v>3</v>
      </c>
      <c r="N40" s="29">
        <v>3</v>
      </c>
      <c r="O40" s="29">
        <v>3</v>
      </c>
      <c r="P40" s="29" t="s">
        <v>2</v>
      </c>
      <c r="Q40" s="29" t="s">
        <v>2</v>
      </c>
      <c r="R40" s="29">
        <v>2</v>
      </c>
      <c r="S40" s="29">
        <v>2</v>
      </c>
      <c r="T40" s="29">
        <v>2</v>
      </c>
      <c r="U40" s="29">
        <v>2</v>
      </c>
      <c r="V40" s="29">
        <v>2</v>
      </c>
      <c r="W40" s="29">
        <v>2</v>
      </c>
      <c r="X40" s="29" t="s">
        <v>2</v>
      </c>
      <c r="Y40" s="29" t="s">
        <v>2</v>
      </c>
      <c r="Z40" s="29">
        <v>1</v>
      </c>
      <c r="AA40" s="29">
        <v>1</v>
      </c>
      <c r="AB40" s="29">
        <v>1</v>
      </c>
      <c r="AC40" s="29">
        <v>1</v>
      </c>
      <c r="AD40" s="29">
        <v>1</v>
      </c>
      <c r="AE40" s="29">
        <v>1</v>
      </c>
      <c r="AF40" s="29" t="s">
        <v>2</v>
      </c>
      <c r="AG40" s="6"/>
    </row>
    <row r="41" spans="1:33"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6"/>
    </row>
    <row r="42" spans="1:33"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6"/>
    </row>
    <row r="43" spans="1:33">
      <c r="A43" s="13" t="s">
        <v>10</v>
      </c>
      <c r="B43" s="31">
        <v>1</v>
      </c>
      <c r="C43" s="31">
        <v>2</v>
      </c>
      <c r="D43" s="31">
        <v>3</v>
      </c>
      <c r="E43" s="31">
        <v>4</v>
      </c>
      <c r="F43" s="31">
        <v>5</v>
      </c>
      <c r="G43" s="31">
        <v>6</v>
      </c>
      <c r="H43" s="31">
        <v>7</v>
      </c>
      <c r="I43" s="31">
        <v>8</v>
      </c>
      <c r="J43" s="31">
        <v>9</v>
      </c>
      <c r="K43" s="31">
        <v>10</v>
      </c>
      <c r="L43" s="31">
        <v>11</v>
      </c>
      <c r="M43" s="31">
        <v>12</v>
      </c>
      <c r="N43" s="31">
        <v>13</v>
      </c>
      <c r="O43" s="31">
        <v>14</v>
      </c>
      <c r="P43" s="31">
        <v>15</v>
      </c>
      <c r="Q43" s="31">
        <v>16</v>
      </c>
      <c r="R43" s="31">
        <v>17</v>
      </c>
      <c r="S43" s="31">
        <v>18</v>
      </c>
      <c r="T43" s="31">
        <v>19</v>
      </c>
      <c r="U43" s="31">
        <v>20</v>
      </c>
      <c r="V43" s="31">
        <v>21</v>
      </c>
      <c r="W43" s="31">
        <v>22</v>
      </c>
      <c r="X43" s="31">
        <v>23</v>
      </c>
      <c r="Y43" s="31">
        <v>24</v>
      </c>
      <c r="Z43" s="31">
        <v>25</v>
      </c>
      <c r="AA43" s="31">
        <v>26</v>
      </c>
      <c r="AB43" s="31">
        <v>27</v>
      </c>
      <c r="AC43" s="31">
        <v>28</v>
      </c>
      <c r="AD43" s="31">
        <v>29</v>
      </c>
      <c r="AE43" s="31">
        <v>30</v>
      </c>
      <c r="AF43" s="7"/>
      <c r="AG43" s="6"/>
    </row>
    <row r="44" spans="1:33">
      <c r="A44" s="14"/>
      <c r="B44" s="30" t="s">
        <v>51</v>
      </c>
      <c r="C44" s="30" t="s">
        <v>52</v>
      </c>
      <c r="D44" s="30" t="s">
        <v>53</v>
      </c>
      <c r="E44" s="30" t="s">
        <v>54</v>
      </c>
      <c r="F44" s="30" t="s">
        <v>55</v>
      </c>
      <c r="G44" s="30" t="s">
        <v>1</v>
      </c>
      <c r="H44" s="30" t="s">
        <v>56</v>
      </c>
      <c r="I44" s="30" t="s">
        <v>51</v>
      </c>
      <c r="J44" s="30" t="s">
        <v>52</v>
      </c>
      <c r="K44" s="30" t="s">
        <v>53</v>
      </c>
      <c r="L44" s="30" t="s">
        <v>54</v>
      </c>
      <c r="M44" s="30" t="s">
        <v>55</v>
      </c>
      <c r="N44" s="30" t="s">
        <v>1</v>
      </c>
      <c r="O44" s="30" t="s">
        <v>56</v>
      </c>
      <c r="P44" s="30" t="s">
        <v>51</v>
      </c>
      <c r="Q44" s="30" t="s">
        <v>52</v>
      </c>
      <c r="R44" s="30" t="s">
        <v>53</v>
      </c>
      <c r="S44" s="30" t="s">
        <v>54</v>
      </c>
      <c r="T44" s="30" t="s">
        <v>55</v>
      </c>
      <c r="U44" s="30" t="s">
        <v>1</v>
      </c>
      <c r="V44" s="30" t="s">
        <v>56</v>
      </c>
      <c r="W44" s="30" t="s">
        <v>51</v>
      </c>
      <c r="X44" s="30" t="s">
        <v>52</v>
      </c>
      <c r="Y44" s="30" t="s">
        <v>53</v>
      </c>
      <c r="Z44" s="30" t="s">
        <v>54</v>
      </c>
      <c r="AA44" s="30" t="s">
        <v>55</v>
      </c>
      <c r="AB44" s="30" t="s">
        <v>1</v>
      </c>
      <c r="AC44" s="30" t="s">
        <v>56</v>
      </c>
      <c r="AD44" s="30" t="s">
        <v>51</v>
      </c>
      <c r="AE44" s="30" t="s">
        <v>52</v>
      </c>
      <c r="AF44" s="7"/>
      <c r="AG44" s="6"/>
    </row>
    <row r="45" spans="1:33">
      <c r="A45" s="14" t="s">
        <v>42</v>
      </c>
      <c r="B45" s="29">
        <v>1</v>
      </c>
      <c r="C45" s="29">
        <v>1</v>
      </c>
      <c r="D45" s="29">
        <v>1</v>
      </c>
      <c r="E45" s="29">
        <v>1</v>
      </c>
      <c r="F45" s="29">
        <v>1</v>
      </c>
      <c r="G45" s="29" t="s">
        <v>2</v>
      </c>
      <c r="H45" s="29" t="s">
        <v>2</v>
      </c>
      <c r="I45" s="29">
        <v>3</v>
      </c>
      <c r="J45" s="29">
        <v>3</v>
      </c>
      <c r="K45" s="29">
        <v>3</v>
      </c>
      <c r="L45" s="29">
        <v>3</v>
      </c>
      <c r="M45" s="29">
        <v>3</v>
      </c>
      <c r="N45" s="29">
        <v>3</v>
      </c>
      <c r="O45" s="29" t="s">
        <v>2</v>
      </c>
      <c r="P45" s="29" t="s">
        <v>2</v>
      </c>
      <c r="Q45" s="29">
        <v>2</v>
      </c>
      <c r="R45" s="29">
        <v>2</v>
      </c>
      <c r="S45" s="29">
        <v>2</v>
      </c>
      <c r="T45" s="29">
        <v>2</v>
      </c>
      <c r="U45" s="29">
        <v>2</v>
      </c>
      <c r="V45" s="29">
        <v>2</v>
      </c>
      <c r="W45" s="29" t="s">
        <v>2</v>
      </c>
      <c r="X45" s="29" t="s">
        <v>2</v>
      </c>
      <c r="Y45" s="29">
        <v>1</v>
      </c>
      <c r="Z45" s="29">
        <v>1</v>
      </c>
      <c r="AA45" s="29">
        <v>1</v>
      </c>
      <c r="AB45" s="29">
        <v>1</v>
      </c>
      <c r="AC45" s="29">
        <v>1</v>
      </c>
      <c r="AD45" s="29">
        <v>1</v>
      </c>
      <c r="AE45" s="29" t="s">
        <v>2</v>
      </c>
      <c r="AF45" s="7"/>
      <c r="AG45" s="6"/>
    </row>
    <row r="46" spans="1:33">
      <c r="A46" s="14" t="s">
        <v>3</v>
      </c>
      <c r="B46" s="29">
        <v>2</v>
      </c>
      <c r="C46" s="29">
        <v>2</v>
      </c>
      <c r="D46" s="29">
        <v>2</v>
      </c>
      <c r="E46" s="29" t="s">
        <v>2</v>
      </c>
      <c r="F46" s="29" t="s">
        <v>2</v>
      </c>
      <c r="G46" s="29">
        <v>1</v>
      </c>
      <c r="H46" s="29">
        <v>1</v>
      </c>
      <c r="I46" s="29">
        <v>1</v>
      </c>
      <c r="J46" s="29">
        <v>1</v>
      </c>
      <c r="K46" s="29">
        <v>1</v>
      </c>
      <c r="L46" s="29">
        <v>1</v>
      </c>
      <c r="M46" s="29" t="s">
        <v>2</v>
      </c>
      <c r="N46" s="29" t="s">
        <v>2</v>
      </c>
      <c r="O46" s="29">
        <v>3</v>
      </c>
      <c r="P46" s="29">
        <v>3</v>
      </c>
      <c r="Q46" s="29">
        <v>3</v>
      </c>
      <c r="R46" s="29">
        <v>3</v>
      </c>
      <c r="S46" s="29">
        <v>3</v>
      </c>
      <c r="T46" s="29">
        <v>3</v>
      </c>
      <c r="U46" s="29" t="s">
        <v>2</v>
      </c>
      <c r="V46" s="29" t="s">
        <v>2</v>
      </c>
      <c r="W46" s="29">
        <v>2</v>
      </c>
      <c r="X46" s="29">
        <v>2</v>
      </c>
      <c r="Y46" s="29">
        <v>2</v>
      </c>
      <c r="Z46" s="29">
        <v>2</v>
      </c>
      <c r="AA46" s="29">
        <v>2</v>
      </c>
      <c r="AB46" s="29">
        <v>2</v>
      </c>
      <c r="AC46" s="29" t="s">
        <v>2</v>
      </c>
      <c r="AD46" s="29" t="s">
        <v>2</v>
      </c>
      <c r="AE46" s="29">
        <v>1</v>
      </c>
      <c r="AF46" s="7"/>
      <c r="AG46" s="6"/>
    </row>
    <row r="47" spans="1:33">
      <c r="A47" s="14" t="s">
        <v>4</v>
      </c>
      <c r="B47" s="29">
        <v>3</v>
      </c>
      <c r="C47" s="29" t="s">
        <v>2</v>
      </c>
      <c r="D47" s="29" t="s">
        <v>2</v>
      </c>
      <c r="E47" s="29">
        <v>2</v>
      </c>
      <c r="F47" s="29">
        <v>2</v>
      </c>
      <c r="G47" s="29">
        <v>2</v>
      </c>
      <c r="H47" s="29">
        <v>2</v>
      </c>
      <c r="I47" s="29">
        <v>2</v>
      </c>
      <c r="J47" s="29">
        <v>2</v>
      </c>
      <c r="K47" s="29" t="s">
        <v>2</v>
      </c>
      <c r="L47" s="29" t="s">
        <v>2</v>
      </c>
      <c r="M47" s="29">
        <v>1</v>
      </c>
      <c r="N47" s="29">
        <v>1</v>
      </c>
      <c r="O47" s="29">
        <v>1</v>
      </c>
      <c r="P47" s="29">
        <v>1</v>
      </c>
      <c r="Q47" s="29">
        <v>1</v>
      </c>
      <c r="R47" s="29">
        <v>1</v>
      </c>
      <c r="S47" s="29" t="s">
        <v>2</v>
      </c>
      <c r="T47" s="29" t="s">
        <v>2</v>
      </c>
      <c r="U47" s="29">
        <v>3</v>
      </c>
      <c r="V47" s="29">
        <v>3</v>
      </c>
      <c r="W47" s="29">
        <v>3</v>
      </c>
      <c r="X47" s="29">
        <v>3</v>
      </c>
      <c r="Y47" s="29">
        <v>3</v>
      </c>
      <c r="Z47" s="29">
        <v>3</v>
      </c>
      <c r="AA47" s="29" t="s">
        <v>2</v>
      </c>
      <c r="AB47" s="29" t="s">
        <v>2</v>
      </c>
      <c r="AC47" s="29">
        <v>2</v>
      </c>
      <c r="AD47" s="29">
        <v>2</v>
      </c>
      <c r="AE47" s="29">
        <v>2</v>
      </c>
      <c r="AF47" s="8"/>
      <c r="AG47" s="6"/>
    </row>
    <row r="48" spans="1:33">
      <c r="A48" s="14" t="s">
        <v>5</v>
      </c>
      <c r="B48" s="29" t="s">
        <v>2</v>
      </c>
      <c r="C48" s="29">
        <v>3</v>
      </c>
      <c r="D48" s="29">
        <v>3</v>
      </c>
      <c r="E48" s="29">
        <v>3</v>
      </c>
      <c r="F48" s="29">
        <v>3</v>
      </c>
      <c r="G48" s="29">
        <v>3</v>
      </c>
      <c r="H48" s="29">
        <v>3</v>
      </c>
      <c r="I48" s="29" t="s">
        <v>2</v>
      </c>
      <c r="J48" s="29" t="s">
        <v>2</v>
      </c>
      <c r="K48" s="29">
        <v>2</v>
      </c>
      <c r="L48" s="29">
        <v>2</v>
      </c>
      <c r="M48" s="29">
        <v>2</v>
      </c>
      <c r="N48" s="29">
        <v>2</v>
      </c>
      <c r="O48" s="29">
        <v>2</v>
      </c>
      <c r="P48" s="29">
        <v>2</v>
      </c>
      <c r="Q48" s="29" t="s">
        <v>2</v>
      </c>
      <c r="R48" s="29" t="s">
        <v>2</v>
      </c>
      <c r="S48" s="29">
        <v>1</v>
      </c>
      <c r="T48" s="29">
        <v>1</v>
      </c>
      <c r="U48" s="29">
        <v>1</v>
      </c>
      <c r="V48" s="29">
        <v>1</v>
      </c>
      <c r="W48" s="29">
        <v>1</v>
      </c>
      <c r="X48" s="29">
        <v>1</v>
      </c>
      <c r="Y48" s="29" t="s">
        <v>2</v>
      </c>
      <c r="Z48" s="29" t="s">
        <v>2</v>
      </c>
      <c r="AA48" s="29">
        <v>3</v>
      </c>
      <c r="AB48" s="29">
        <v>3</v>
      </c>
      <c r="AC48" s="29">
        <v>3</v>
      </c>
      <c r="AD48" s="29">
        <v>3</v>
      </c>
      <c r="AE48" s="29">
        <v>3</v>
      </c>
      <c r="AF48" s="8"/>
      <c r="AG48" s="6"/>
    </row>
    <row r="49" spans="1:33"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6"/>
    </row>
    <row r="50" spans="1:33"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6"/>
    </row>
    <row r="51" spans="1:33">
      <c r="A51" s="13" t="s">
        <v>11</v>
      </c>
      <c r="B51" s="31">
        <v>1</v>
      </c>
      <c r="C51" s="31">
        <v>2</v>
      </c>
      <c r="D51" s="31">
        <v>3</v>
      </c>
      <c r="E51" s="31">
        <v>4</v>
      </c>
      <c r="F51" s="31">
        <v>5</v>
      </c>
      <c r="G51" s="31">
        <v>6</v>
      </c>
      <c r="H51" s="31">
        <v>7</v>
      </c>
      <c r="I51" s="31">
        <v>8</v>
      </c>
      <c r="J51" s="31">
        <v>9</v>
      </c>
      <c r="K51" s="31">
        <v>10</v>
      </c>
      <c r="L51" s="31">
        <v>11</v>
      </c>
      <c r="M51" s="31">
        <v>12</v>
      </c>
      <c r="N51" s="31">
        <v>13</v>
      </c>
      <c r="O51" s="31">
        <v>14</v>
      </c>
      <c r="P51" s="31">
        <v>15</v>
      </c>
      <c r="Q51" s="31">
        <v>16</v>
      </c>
      <c r="R51" s="31">
        <v>17</v>
      </c>
      <c r="S51" s="31">
        <v>18</v>
      </c>
      <c r="T51" s="31">
        <v>19</v>
      </c>
      <c r="U51" s="31">
        <v>20</v>
      </c>
      <c r="V51" s="31">
        <v>21</v>
      </c>
      <c r="W51" s="31">
        <v>22</v>
      </c>
      <c r="X51" s="31">
        <v>23</v>
      </c>
      <c r="Y51" s="31">
        <v>24</v>
      </c>
      <c r="Z51" s="31">
        <v>25</v>
      </c>
      <c r="AA51" s="31">
        <v>26</v>
      </c>
      <c r="AB51" s="31">
        <v>27</v>
      </c>
      <c r="AC51" s="31">
        <v>28</v>
      </c>
      <c r="AD51" s="31">
        <v>29</v>
      </c>
      <c r="AE51" s="31">
        <v>30</v>
      </c>
      <c r="AF51" s="31">
        <v>31</v>
      </c>
      <c r="AG51" s="6"/>
    </row>
    <row r="52" spans="1:33">
      <c r="A52" s="14"/>
      <c r="B52" s="30" t="s">
        <v>53</v>
      </c>
      <c r="C52" s="30" t="s">
        <v>54</v>
      </c>
      <c r="D52" s="30" t="s">
        <v>55</v>
      </c>
      <c r="E52" s="30" t="s">
        <v>1</v>
      </c>
      <c r="F52" s="30" t="s">
        <v>56</v>
      </c>
      <c r="G52" s="30" t="s">
        <v>51</v>
      </c>
      <c r="H52" s="30" t="s">
        <v>52</v>
      </c>
      <c r="I52" s="30" t="s">
        <v>53</v>
      </c>
      <c r="J52" s="30" t="s">
        <v>54</v>
      </c>
      <c r="K52" s="30" t="s">
        <v>55</v>
      </c>
      <c r="L52" s="30" t="s">
        <v>1</v>
      </c>
      <c r="M52" s="30" t="s">
        <v>56</v>
      </c>
      <c r="N52" s="30" t="s">
        <v>51</v>
      </c>
      <c r="O52" s="30" t="s">
        <v>52</v>
      </c>
      <c r="P52" s="30" t="s">
        <v>53</v>
      </c>
      <c r="Q52" s="30" t="s">
        <v>54</v>
      </c>
      <c r="R52" s="30" t="s">
        <v>55</v>
      </c>
      <c r="S52" s="30" t="s">
        <v>1</v>
      </c>
      <c r="T52" s="30" t="s">
        <v>56</v>
      </c>
      <c r="U52" s="30" t="s">
        <v>51</v>
      </c>
      <c r="V52" s="30" t="s">
        <v>52</v>
      </c>
      <c r="W52" s="30" t="s">
        <v>53</v>
      </c>
      <c r="X52" s="30" t="s">
        <v>54</v>
      </c>
      <c r="Y52" s="30" t="s">
        <v>55</v>
      </c>
      <c r="Z52" s="30" t="s">
        <v>1</v>
      </c>
      <c r="AA52" s="30" t="s">
        <v>56</v>
      </c>
      <c r="AB52" s="30" t="s">
        <v>51</v>
      </c>
      <c r="AC52" s="30" t="s">
        <v>52</v>
      </c>
      <c r="AD52" s="30" t="s">
        <v>53</v>
      </c>
      <c r="AE52" s="30" t="s">
        <v>54</v>
      </c>
      <c r="AF52" s="30" t="s">
        <v>55</v>
      </c>
      <c r="AG52" s="6"/>
    </row>
    <row r="53" spans="1:33">
      <c r="A53" s="14" t="s">
        <v>42</v>
      </c>
      <c r="B53" s="29" t="s">
        <v>2</v>
      </c>
      <c r="C53" s="29">
        <v>3</v>
      </c>
      <c r="D53" s="29">
        <v>3</v>
      </c>
      <c r="E53" s="29">
        <v>3</v>
      </c>
      <c r="F53" s="29">
        <v>3</v>
      </c>
      <c r="G53" s="29">
        <v>3</v>
      </c>
      <c r="H53" s="29">
        <v>3</v>
      </c>
      <c r="I53" s="29" t="s">
        <v>2</v>
      </c>
      <c r="J53" s="29" t="s">
        <v>2</v>
      </c>
      <c r="K53" s="29">
        <v>2</v>
      </c>
      <c r="L53" s="29">
        <v>2</v>
      </c>
      <c r="M53" s="29">
        <v>2</v>
      </c>
      <c r="N53" s="29">
        <v>2</v>
      </c>
      <c r="O53" s="29">
        <v>2</v>
      </c>
      <c r="P53" s="29">
        <v>2</v>
      </c>
      <c r="Q53" s="29" t="s">
        <v>2</v>
      </c>
      <c r="R53" s="29" t="s">
        <v>2</v>
      </c>
      <c r="S53" s="29">
        <v>1</v>
      </c>
      <c r="T53" s="29">
        <v>1</v>
      </c>
      <c r="U53" s="29">
        <v>1</v>
      </c>
      <c r="V53" s="29">
        <v>1</v>
      </c>
      <c r="W53" s="29">
        <v>1</v>
      </c>
      <c r="X53" s="29">
        <v>1</v>
      </c>
      <c r="Y53" s="29" t="s">
        <v>2</v>
      </c>
      <c r="Z53" s="29" t="s">
        <v>2</v>
      </c>
      <c r="AA53" s="29">
        <v>3</v>
      </c>
      <c r="AB53" s="29">
        <v>3</v>
      </c>
      <c r="AC53" s="29">
        <v>3</v>
      </c>
      <c r="AD53" s="29">
        <v>3</v>
      </c>
      <c r="AE53" s="29">
        <v>3</v>
      </c>
      <c r="AF53" s="29">
        <v>3</v>
      </c>
      <c r="AG53" s="6"/>
    </row>
    <row r="54" spans="1:33">
      <c r="A54" s="14" t="s">
        <v>3</v>
      </c>
      <c r="B54" s="29">
        <v>1</v>
      </c>
      <c r="C54" s="29">
        <v>1</v>
      </c>
      <c r="D54" s="29">
        <v>1</v>
      </c>
      <c r="E54" s="29">
        <v>1</v>
      </c>
      <c r="F54" s="29">
        <v>1</v>
      </c>
      <c r="G54" s="29" t="s">
        <v>2</v>
      </c>
      <c r="H54" s="29" t="s">
        <v>2</v>
      </c>
      <c r="I54" s="29">
        <v>3</v>
      </c>
      <c r="J54" s="29">
        <v>3</v>
      </c>
      <c r="K54" s="29">
        <v>3</v>
      </c>
      <c r="L54" s="29">
        <v>3</v>
      </c>
      <c r="M54" s="29">
        <v>3</v>
      </c>
      <c r="N54" s="29">
        <v>3</v>
      </c>
      <c r="O54" s="29" t="s">
        <v>2</v>
      </c>
      <c r="P54" s="29" t="s">
        <v>2</v>
      </c>
      <c r="Q54" s="29">
        <v>2</v>
      </c>
      <c r="R54" s="29">
        <v>2</v>
      </c>
      <c r="S54" s="29">
        <v>2</v>
      </c>
      <c r="T54" s="29">
        <v>2</v>
      </c>
      <c r="U54" s="29">
        <v>2</v>
      </c>
      <c r="V54" s="29">
        <v>2</v>
      </c>
      <c r="W54" s="29" t="s">
        <v>2</v>
      </c>
      <c r="X54" s="29" t="s">
        <v>2</v>
      </c>
      <c r="Y54" s="29">
        <v>1</v>
      </c>
      <c r="Z54" s="29">
        <v>1</v>
      </c>
      <c r="AA54" s="29">
        <v>1</v>
      </c>
      <c r="AB54" s="29">
        <v>1</v>
      </c>
      <c r="AC54" s="29">
        <v>1</v>
      </c>
      <c r="AD54" s="29">
        <v>1</v>
      </c>
      <c r="AE54" s="29" t="s">
        <v>2</v>
      </c>
      <c r="AF54" s="29" t="s">
        <v>2</v>
      </c>
      <c r="AG54" s="6"/>
    </row>
    <row r="55" spans="1:33">
      <c r="A55" s="14" t="s">
        <v>4</v>
      </c>
      <c r="B55" s="29">
        <v>2</v>
      </c>
      <c r="C55" s="29">
        <v>2</v>
      </c>
      <c r="D55" s="29">
        <v>2</v>
      </c>
      <c r="E55" s="29" t="s">
        <v>2</v>
      </c>
      <c r="F55" s="29" t="s">
        <v>2</v>
      </c>
      <c r="G55" s="29">
        <v>1</v>
      </c>
      <c r="H55" s="29">
        <v>1</v>
      </c>
      <c r="I55" s="29">
        <v>1</v>
      </c>
      <c r="J55" s="29">
        <v>1</v>
      </c>
      <c r="K55" s="29">
        <v>1</v>
      </c>
      <c r="L55" s="29">
        <v>1</v>
      </c>
      <c r="M55" s="29" t="s">
        <v>2</v>
      </c>
      <c r="N55" s="29" t="s">
        <v>2</v>
      </c>
      <c r="O55" s="29">
        <v>3</v>
      </c>
      <c r="P55" s="29">
        <v>3</v>
      </c>
      <c r="Q55" s="29">
        <v>3</v>
      </c>
      <c r="R55" s="29">
        <v>3</v>
      </c>
      <c r="S55" s="29">
        <v>3</v>
      </c>
      <c r="T55" s="29">
        <v>3</v>
      </c>
      <c r="U55" s="29" t="s">
        <v>2</v>
      </c>
      <c r="V55" s="29" t="s">
        <v>2</v>
      </c>
      <c r="W55" s="29">
        <v>2</v>
      </c>
      <c r="X55" s="29">
        <v>2</v>
      </c>
      <c r="Y55" s="29">
        <v>2</v>
      </c>
      <c r="Z55" s="29">
        <v>2</v>
      </c>
      <c r="AA55" s="29">
        <v>2</v>
      </c>
      <c r="AB55" s="29">
        <v>2</v>
      </c>
      <c r="AC55" s="29" t="s">
        <v>2</v>
      </c>
      <c r="AD55" s="29" t="s">
        <v>2</v>
      </c>
      <c r="AE55" s="29">
        <v>1</v>
      </c>
      <c r="AF55" s="29">
        <v>1</v>
      </c>
      <c r="AG55" s="6"/>
    </row>
    <row r="56" spans="1:33">
      <c r="A56" s="14" t="s">
        <v>5</v>
      </c>
      <c r="B56" s="29">
        <v>3</v>
      </c>
      <c r="C56" s="29" t="s">
        <v>2</v>
      </c>
      <c r="D56" s="29" t="s">
        <v>2</v>
      </c>
      <c r="E56" s="29">
        <v>2</v>
      </c>
      <c r="F56" s="29">
        <v>2</v>
      </c>
      <c r="G56" s="29">
        <v>2</v>
      </c>
      <c r="H56" s="29">
        <v>2</v>
      </c>
      <c r="I56" s="29">
        <v>2</v>
      </c>
      <c r="J56" s="29">
        <v>2</v>
      </c>
      <c r="K56" s="29" t="s">
        <v>2</v>
      </c>
      <c r="L56" s="29" t="s">
        <v>2</v>
      </c>
      <c r="M56" s="29">
        <v>1</v>
      </c>
      <c r="N56" s="29">
        <v>1</v>
      </c>
      <c r="O56" s="29">
        <v>1</v>
      </c>
      <c r="P56" s="29">
        <v>1</v>
      </c>
      <c r="Q56" s="29">
        <v>1</v>
      </c>
      <c r="R56" s="29">
        <v>1</v>
      </c>
      <c r="S56" s="29" t="s">
        <v>2</v>
      </c>
      <c r="T56" s="29" t="s">
        <v>2</v>
      </c>
      <c r="U56" s="29">
        <v>3</v>
      </c>
      <c r="V56" s="29">
        <v>3</v>
      </c>
      <c r="W56" s="29">
        <v>3</v>
      </c>
      <c r="X56" s="29">
        <v>3</v>
      </c>
      <c r="Y56" s="29">
        <v>3</v>
      </c>
      <c r="Z56" s="29">
        <v>3</v>
      </c>
      <c r="AA56" s="29" t="s">
        <v>2</v>
      </c>
      <c r="AB56" s="29" t="s">
        <v>2</v>
      </c>
      <c r="AC56" s="29">
        <v>2</v>
      </c>
      <c r="AD56" s="29">
        <v>2</v>
      </c>
      <c r="AE56" s="29">
        <v>2</v>
      </c>
      <c r="AF56" s="29">
        <v>2</v>
      </c>
      <c r="AG56" s="6"/>
    </row>
    <row r="57" spans="1:33"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6"/>
    </row>
    <row r="58" spans="1:33"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6"/>
    </row>
    <row r="59" spans="1:33" ht="12" customHeight="1">
      <c r="A59" s="13" t="s">
        <v>12</v>
      </c>
      <c r="B59" s="31">
        <v>1</v>
      </c>
      <c r="C59" s="31">
        <v>2</v>
      </c>
      <c r="D59" s="31">
        <v>3</v>
      </c>
      <c r="E59" s="31">
        <v>4</v>
      </c>
      <c r="F59" s="31">
        <v>5</v>
      </c>
      <c r="G59" s="31">
        <v>6</v>
      </c>
      <c r="H59" s="31">
        <v>7</v>
      </c>
      <c r="I59" s="31">
        <v>8</v>
      </c>
      <c r="J59" s="31">
        <v>9</v>
      </c>
      <c r="K59" s="31">
        <v>10</v>
      </c>
      <c r="L59" s="31">
        <v>11</v>
      </c>
      <c r="M59" s="31">
        <v>12</v>
      </c>
      <c r="N59" s="31">
        <v>13</v>
      </c>
      <c r="O59" s="31">
        <v>14</v>
      </c>
      <c r="P59" s="31">
        <v>15</v>
      </c>
      <c r="Q59" s="31">
        <v>16</v>
      </c>
      <c r="R59" s="31">
        <v>17</v>
      </c>
      <c r="S59" s="31">
        <v>18</v>
      </c>
      <c r="T59" s="31">
        <v>19</v>
      </c>
      <c r="U59" s="31">
        <v>20</v>
      </c>
      <c r="V59" s="31">
        <v>21</v>
      </c>
      <c r="W59" s="31">
        <v>22</v>
      </c>
      <c r="X59" s="31">
        <v>23</v>
      </c>
      <c r="Y59" s="31">
        <v>24</v>
      </c>
      <c r="Z59" s="31">
        <v>25</v>
      </c>
      <c r="AA59" s="31">
        <v>26</v>
      </c>
      <c r="AB59" s="31">
        <v>27</v>
      </c>
      <c r="AC59" s="31">
        <v>28</v>
      </c>
      <c r="AD59" s="31">
        <v>29</v>
      </c>
      <c r="AE59" s="31">
        <v>30</v>
      </c>
      <c r="AF59" s="31">
        <v>31</v>
      </c>
      <c r="AG59" s="6"/>
    </row>
    <row r="60" spans="1:33" ht="11.25" customHeight="1">
      <c r="A60" s="14"/>
      <c r="B60" s="30" t="s">
        <v>1</v>
      </c>
      <c r="C60" s="30" t="s">
        <v>56</v>
      </c>
      <c r="D60" s="30" t="s">
        <v>51</v>
      </c>
      <c r="E60" s="30" t="s">
        <v>52</v>
      </c>
      <c r="F60" s="30" t="s">
        <v>53</v>
      </c>
      <c r="G60" s="30" t="s">
        <v>54</v>
      </c>
      <c r="H60" s="30" t="s">
        <v>55</v>
      </c>
      <c r="I60" s="30" t="s">
        <v>1</v>
      </c>
      <c r="J60" s="30" t="s">
        <v>56</v>
      </c>
      <c r="K60" s="30" t="s">
        <v>51</v>
      </c>
      <c r="L60" s="30" t="s">
        <v>52</v>
      </c>
      <c r="M60" s="30" t="s">
        <v>53</v>
      </c>
      <c r="N60" s="30" t="s">
        <v>54</v>
      </c>
      <c r="O60" s="30" t="s">
        <v>55</v>
      </c>
      <c r="P60" s="30" t="s">
        <v>1</v>
      </c>
      <c r="Q60" s="30" t="s">
        <v>56</v>
      </c>
      <c r="R60" s="30" t="s">
        <v>51</v>
      </c>
      <c r="S60" s="30" t="s">
        <v>52</v>
      </c>
      <c r="T60" s="30" t="s">
        <v>53</v>
      </c>
      <c r="U60" s="30" t="s">
        <v>54</v>
      </c>
      <c r="V60" s="30" t="s">
        <v>55</v>
      </c>
      <c r="W60" s="30" t="s">
        <v>1</v>
      </c>
      <c r="X60" s="30" t="s">
        <v>56</v>
      </c>
      <c r="Y60" s="30" t="s">
        <v>51</v>
      </c>
      <c r="Z60" s="30" t="s">
        <v>52</v>
      </c>
      <c r="AA60" s="30" t="s">
        <v>53</v>
      </c>
      <c r="AB60" s="30" t="s">
        <v>54</v>
      </c>
      <c r="AC60" s="30" t="s">
        <v>55</v>
      </c>
      <c r="AD60" s="30" t="s">
        <v>1</v>
      </c>
      <c r="AE60" s="30" t="s">
        <v>56</v>
      </c>
      <c r="AF60" s="30" t="s">
        <v>51</v>
      </c>
      <c r="AG60" s="6"/>
    </row>
    <row r="61" spans="1:33">
      <c r="A61" s="14" t="s">
        <v>42</v>
      </c>
      <c r="B61" s="29" t="s">
        <v>2</v>
      </c>
      <c r="C61" s="29" t="s">
        <v>2</v>
      </c>
      <c r="D61" s="29">
        <v>2</v>
      </c>
      <c r="E61" s="29">
        <v>2</v>
      </c>
      <c r="F61" s="29">
        <v>2</v>
      </c>
      <c r="G61" s="29">
        <v>2</v>
      </c>
      <c r="H61" s="29">
        <v>2</v>
      </c>
      <c r="I61" s="29">
        <v>2</v>
      </c>
      <c r="J61" s="29" t="s">
        <v>2</v>
      </c>
      <c r="K61" s="29" t="s">
        <v>2</v>
      </c>
      <c r="L61" s="29">
        <v>1</v>
      </c>
      <c r="M61" s="29">
        <v>1</v>
      </c>
      <c r="N61" s="29">
        <v>1</v>
      </c>
      <c r="O61" s="29">
        <v>1</v>
      </c>
      <c r="P61" s="29">
        <v>1</v>
      </c>
      <c r="Q61" s="29">
        <v>1</v>
      </c>
      <c r="R61" s="29" t="s">
        <v>2</v>
      </c>
      <c r="S61" s="29" t="s">
        <v>2</v>
      </c>
      <c r="T61" s="29">
        <v>3</v>
      </c>
      <c r="U61" s="29">
        <v>3</v>
      </c>
      <c r="V61" s="29">
        <v>3</v>
      </c>
      <c r="W61" s="29">
        <v>3</v>
      </c>
      <c r="X61" s="29">
        <v>3</v>
      </c>
      <c r="Y61" s="29">
        <v>3</v>
      </c>
      <c r="Z61" s="29" t="s">
        <v>2</v>
      </c>
      <c r="AA61" s="29" t="s">
        <v>2</v>
      </c>
      <c r="AB61" s="29">
        <v>2</v>
      </c>
      <c r="AC61" s="29">
        <v>2</v>
      </c>
      <c r="AD61" s="29">
        <v>2</v>
      </c>
      <c r="AE61" s="29">
        <v>2</v>
      </c>
      <c r="AF61" s="29">
        <v>2</v>
      </c>
      <c r="AG61" s="6"/>
    </row>
    <row r="62" spans="1:33">
      <c r="A62" s="14" t="s">
        <v>3</v>
      </c>
      <c r="B62" s="29">
        <v>3</v>
      </c>
      <c r="C62" s="29">
        <v>3</v>
      </c>
      <c r="D62" s="29">
        <v>3</v>
      </c>
      <c r="E62" s="29">
        <v>3</v>
      </c>
      <c r="F62" s="29">
        <v>3</v>
      </c>
      <c r="G62" s="29">
        <v>3</v>
      </c>
      <c r="H62" s="29" t="s">
        <v>2</v>
      </c>
      <c r="I62" s="29" t="s">
        <v>2</v>
      </c>
      <c r="J62" s="29">
        <v>2</v>
      </c>
      <c r="K62" s="29">
        <v>2</v>
      </c>
      <c r="L62" s="29">
        <v>2</v>
      </c>
      <c r="M62" s="29">
        <v>2</v>
      </c>
      <c r="N62" s="29">
        <v>2</v>
      </c>
      <c r="O62" s="29">
        <v>2</v>
      </c>
      <c r="P62" s="29" t="s">
        <v>2</v>
      </c>
      <c r="Q62" s="29" t="s">
        <v>2</v>
      </c>
      <c r="R62" s="29">
        <v>1</v>
      </c>
      <c r="S62" s="29">
        <v>1</v>
      </c>
      <c r="T62" s="29">
        <v>1</v>
      </c>
      <c r="U62" s="29">
        <v>1</v>
      </c>
      <c r="V62" s="29">
        <v>1</v>
      </c>
      <c r="W62" s="29">
        <v>1</v>
      </c>
      <c r="X62" s="29" t="s">
        <v>2</v>
      </c>
      <c r="Y62" s="29" t="s">
        <v>2</v>
      </c>
      <c r="Z62" s="29">
        <v>3</v>
      </c>
      <c r="AA62" s="29">
        <v>3</v>
      </c>
      <c r="AB62" s="29">
        <v>3</v>
      </c>
      <c r="AC62" s="29">
        <v>3</v>
      </c>
      <c r="AD62" s="29">
        <v>3</v>
      </c>
      <c r="AE62" s="29">
        <v>3</v>
      </c>
      <c r="AF62" s="29" t="s">
        <v>2</v>
      </c>
      <c r="AG62" s="6"/>
    </row>
    <row r="63" spans="1:33">
      <c r="A63" s="14" t="s">
        <v>4</v>
      </c>
      <c r="B63" s="29">
        <v>1</v>
      </c>
      <c r="C63" s="29">
        <v>1</v>
      </c>
      <c r="D63" s="29">
        <v>1</v>
      </c>
      <c r="E63" s="29">
        <v>1</v>
      </c>
      <c r="F63" s="29" t="s">
        <v>2</v>
      </c>
      <c r="G63" s="29" t="s">
        <v>2</v>
      </c>
      <c r="H63" s="29">
        <v>3</v>
      </c>
      <c r="I63" s="29">
        <v>3</v>
      </c>
      <c r="J63" s="29">
        <v>3</v>
      </c>
      <c r="K63" s="29">
        <v>3</v>
      </c>
      <c r="L63" s="29">
        <v>3</v>
      </c>
      <c r="M63" s="29">
        <v>3</v>
      </c>
      <c r="N63" s="29" t="s">
        <v>2</v>
      </c>
      <c r="O63" s="29" t="s">
        <v>2</v>
      </c>
      <c r="P63" s="29">
        <v>2</v>
      </c>
      <c r="Q63" s="29">
        <v>2</v>
      </c>
      <c r="R63" s="29">
        <v>2</v>
      </c>
      <c r="S63" s="29">
        <v>2</v>
      </c>
      <c r="T63" s="29">
        <v>2</v>
      </c>
      <c r="U63" s="29">
        <v>2</v>
      </c>
      <c r="V63" s="29" t="s">
        <v>2</v>
      </c>
      <c r="W63" s="29" t="s">
        <v>2</v>
      </c>
      <c r="X63" s="29">
        <v>1</v>
      </c>
      <c r="Y63" s="29">
        <v>1</v>
      </c>
      <c r="Z63" s="29">
        <v>1</v>
      </c>
      <c r="AA63" s="29">
        <v>1</v>
      </c>
      <c r="AB63" s="29">
        <v>1</v>
      </c>
      <c r="AC63" s="29">
        <v>1</v>
      </c>
      <c r="AD63" s="29" t="s">
        <v>2</v>
      </c>
      <c r="AE63" s="29" t="s">
        <v>2</v>
      </c>
      <c r="AF63" s="29">
        <v>3</v>
      </c>
      <c r="AG63" s="6"/>
    </row>
    <row r="64" spans="1:33">
      <c r="A64" s="14" t="s">
        <v>5</v>
      </c>
      <c r="B64" s="29">
        <v>2</v>
      </c>
      <c r="C64" s="29">
        <v>2</v>
      </c>
      <c r="D64" s="29" t="s">
        <v>2</v>
      </c>
      <c r="E64" s="29" t="s">
        <v>2</v>
      </c>
      <c r="F64" s="29">
        <v>1</v>
      </c>
      <c r="G64" s="29">
        <v>1</v>
      </c>
      <c r="H64" s="29">
        <v>1</v>
      </c>
      <c r="I64" s="29">
        <v>1</v>
      </c>
      <c r="J64" s="29">
        <v>1</v>
      </c>
      <c r="K64" s="29">
        <v>1</v>
      </c>
      <c r="L64" s="29" t="s">
        <v>2</v>
      </c>
      <c r="M64" s="29" t="s">
        <v>2</v>
      </c>
      <c r="N64" s="29">
        <v>3</v>
      </c>
      <c r="O64" s="29">
        <v>3</v>
      </c>
      <c r="P64" s="29">
        <v>3</v>
      </c>
      <c r="Q64" s="29">
        <v>3</v>
      </c>
      <c r="R64" s="29">
        <v>3</v>
      </c>
      <c r="S64" s="29">
        <v>3</v>
      </c>
      <c r="T64" s="29" t="s">
        <v>2</v>
      </c>
      <c r="U64" s="29" t="s">
        <v>2</v>
      </c>
      <c r="V64" s="29">
        <v>2</v>
      </c>
      <c r="W64" s="29">
        <v>2</v>
      </c>
      <c r="X64" s="29">
        <v>2</v>
      </c>
      <c r="Y64" s="29">
        <v>2</v>
      </c>
      <c r="Z64" s="29">
        <v>2</v>
      </c>
      <c r="AA64" s="29">
        <v>2</v>
      </c>
      <c r="AB64" s="29" t="s">
        <v>2</v>
      </c>
      <c r="AC64" s="29" t="s">
        <v>2</v>
      </c>
      <c r="AD64" s="29">
        <v>1</v>
      </c>
      <c r="AE64" s="29">
        <v>1</v>
      </c>
      <c r="AF64" s="29">
        <v>1</v>
      </c>
      <c r="AG64" s="6"/>
    </row>
    <row r="65" spans="1:33"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6"/>
    </row>
    <row r="66" spans="1:33"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6"/>
    </row>
    <row r="67" spans="1:33">
      <c r="A67" s="13" t="s">
        <v>13</v>
      </c>
      <c r="B67" s="31">
        <v>1</v>
      </c>
      <c r="C67" s="31">
        <v>2</v>
      </c>
      <c r="D67" s="31">
        <v>3</v>
      </c>
      <c r="E67" s="31">
        <v>4</v>
      </c>
      <c r="F67" s="31">
        <v>5</v>
      </c>
      <c r="G67" s="31">
        <v>6</v>
      </c>
      <c r="H67" s="31">
        <v>7</v>
      </c>
      <c r="I67" s="31">
        <v>8</v>
      </c>
      <c r="J67" s="31">
        <v>9</v>
      </c>
      <c r="K67" s="31">
        <v>10</v>
      </c>
      <c r="L67" s="31">
        <v>11</v>
      </c>
      <c r="M67" s="31">
        <v>12</v>
      </c>
      <c r="N67" s="31">
        <v>13</v>
      </c>
      <c r="O67" s="31">
        <v>14</v>
      </c>
      <c r="P67" s="31">
        <v>15</v>
      </c>
      <c r="Q67" s="31">
        <v>16</v>
      </c>
      <c r="R67" s="31">
        <v>17</v>
      </c>
      <c r="S67" s="31">
        <v>18</v>
      </c>
      <c r="T67" s="31">
        <v>19</v>
      </c>
      <c r="U67" s="31">
        <v>20</v>
      </c>
      <c r="V67" s="31">
        <v>21</v>
      </c>
      <c r="W67" s="31">
        <v>22</v>
      </c>
      <c r="X67" s="31">
        <v>23</v>
      </c>
      <c r="Y67" s="31">
        <v>24</v>
      </c>
      <c r="Z67" s="31">
        <v>25</v>
      </c>
      <c r="AA67" s="31">
        <v>26</v>
      </c>
      <c r="AB67" s="31">
        <v>27</v>
      </c>
      <c r="AC67" s="31">
        <v>28</v>
      </c>
      <c r="AD67" s="31">
        <v>29</v>
      </c>
      <c r="AE67" s="31">
        <v>30</v>
      </c>
      <c r="AF67" s="7"/>
      <c r="AG67" s="6"/>
    </row>
    <row r="68" spans="1:33">
      <c r="A68" s="14"/>
      <c r="B68" s="30" t="s">
        <v>52</v>
      </c>
      <c r="C68" s="30" t="s">
        <v>53</v>
      </c>
      <c r="D68" s="30" t="s">
        <v>54</v>
      </c>
      <c r="E68" s="30" t="s">
        <v>55</v>
      </c>
      <c r="F68" s="30" t="s">
        <v>1</v>
      </c>
      <c r="G68" s="30" t="s">
        <v>56</v>
      </c>
      <c r="H68" s="30" t="s">
        <v>51</v>
      </c>
      <c r="I68" s="30" t="s">
        <v>52</v>
      </c>
      <c r="J68" s="30" t="s">
        <v>53</v>
      </c>
      <c r="K68" s="30" t="s">
        <v>54</v>
      </c>
      <c r="L68" s="30" t="s">
        <v>55</v>
      </c>
      <c r="M68" s="30" t="s">
        <v>1</v>
      </c>
      <c r="N68" s="30" t="s">
        <v>56</v>
      </c>
      <c r="O68" s="30" t="s">
        <v>51</v>
      </c>
      <c r="P68" s="30" t="s">
        <v>52</v>
      </c>
      <c r="Q68" s="30" t="s">
        <v>53</v>
      </c>
      <c r="R68" s="30" t="s">
        <v>54</v>
      </c>
      <c r="S68" s="30" t="s">
        <v>55</v>
      </c>
      <c r="T68" s="30" t="s">
        <v>1</v>
      </c>
      <c r="U68" s="30" t="s">
        <v>56</v>
      </c>
      <c r="V68" s="30" t="s">
        <v>51</v>
      </c>
      <c r="W68" s="30" t="s">
        <v>52</v>
      </c>
      <c r="X68" s="30" t="s">
        <v>53</v>
      </c>
      <c r="Y68" s="30" t="s">
        <v>54</v>
      </c>
      <c r="Z68" s="30" t="s">
        <v>55</v>
      </c>
      <c r="AA68" s="30" t="s">
        <v>1</v>
      </c>
      <c r="AB68" s="30" t="s">
        <v>56</v>
      </c>
      <c r="AC68" s="30" t="s">
        <v>51</v>
      </c>
      <c r="AD68" s="30" t="s">
        <v>52</v>
      </c>
      <c r="AE68" s="30" t="s">
        <v>53</v>
      </c>
      <c r="AF68" s="8"/>
      <c r="AG68" s="6"/>
    </row>
    <row r="69" spans="1:33">
      <c r="A69" s="14" t="s">
        <v>42</v>
      </c>
      <c r="B69" s="29">
        <v>2</v>
      </c>
      <c r="C69" s="29" t="s">
        <v>2</v>
      </c>
      <c r="D69" s="29" t="s">
        <v>2</v>
      </c>
      <c r="E69" s="29">
        <v>1</v>
      </c>
      <c r="F69" s="29">
        <v>1</v>
      </c>
      <c r="G69" s="29">
        <v>1</v>
      </c>
      <c r="H69" s="29">
        <v>1</v>
      </c>
      <c r="I69" s="29">
        <v>1</v>
      </c>
      <c r="J69" s="29">
        <v>1</v>
      </c>
      <c r="K69" s="29" t="s">
        <v>2</v>
      </c>
      <c r="L69" s="29" t="s">
        <v>2</v>
      </c>
      <c r="M69" s="29">
        <v>3</v>
      </c>
      <c r="N69" s="29">
        <v>3</v>
      </c>
      <c r="O69" s="29">
        <v>3</v>
      </c>
      <c r="P69" s="29">
        <v>3</v>
      </c>
      <c r="Q69" s="29">
        <v>3</v>
      </c>
      <c r="R69" s="29">
        <v>3</v>
      </c>
      <c r="S69" s="29" t="s">
        <v>2</v>
      </c>
      <c r="T69" s="29" t="s">
        <v>2</v>
      </c>
      <c r="U69" s="29">
        <v>2</v>
      </c>
      <c r="V69" s="29">
        <v>2</v>
      </c>
      <c r="W69" s="29">
        <v>2</v>
      </c>
      <c r="X69" s="29">
        <v>2</v>
      </c>
      <c r="Y69" s="29">
        <v>2</v>
      </c>
      <c r="Z69" s="29">
        <v>2</v>
      </c>
      <c r="AA69" s="29" t="s">
        <v>2</v>
      </c>
      <c r="AB69" s="29" t="s">
        <v>2</v>
      </c>
      <c r="AC69" s="29">
        <v>1</v>
      </c>
      <c r="AD69" s="29">
        <v>1</v>
      </c>
      <c r="AE69" s="29">
        <v>1</v>
      </c>
      <c r="AF69" s="8"/>
      <c r="AG69" s="6"/>
    </row>
    <row r="70" spans="1:33">
      <c r="A70" s="14" t="s">
        <v>3</v>
      </c>
      <c r="B70" s="29" t="s">
        <v>2</v>
      </c>
      <c r="C70" s="29">
        <v>2</v>
      </c>
      <c r="D70" s="29">
        <v>2</v>
      </c>
      <c r="E70" s="29">
        <v>2</v>
      </c>
      <c r="F70" s="29">
        <v>2</v>
      </c>
      <c r="G70" s="29">
        <v>2</v>
      </c>
      <c r="H70" s="29">
        <v>2</v>
      </c>
      <c r="I70" s="29" t="s">
        <v>2</v>
      </c>
      <c r="J70" s="29" t="s">
        <v>2</v>
      </c>
      <c r="K70" s="29">
        <v>1</v>
      </c>
      <c r="L70" s="29">
        <v>1</v>
      </c>
      <c r="M70" s="29">
        <v>1</v>
      </c>
      <c r="N70" s="29">
        <v>1</v>
      </c>
      <c r="O70" s="29">
        <v>1</v>
      </c>
      <c r="P70" s="29">
        <v>1</v>
      </c>
      <c r="Q70" s="29" t="s">
        <v>2</v>
      </c>
      <c r="R70" s="29" t="s">
        <v>2</v>
      </c>
      <c r="S70" s="29">
        <v>3</v>
      </c>
      <c r="T70" s="29">
        <v>3</v>
      </c>
      <c r="U70" s="29">
        <v>3</v>
      </c>
      <c r="V70" s="29">
        <v>3</v>
      </c>
      <c r="W70" s="29">
        <v>3</v>
      </c>
      <c r="X70" s="29">
        <v>3</v>
      </c>
      <c r="Y70" s="29" t="s">
        <v>2</v>
      </c>
      <c r="Z70" s="29" t="s">
        <v>2</v>
      </c>
      <c r="AA70" s="29">
        <v>2</v>
      </c>
      <c r="AB70" s="29">
        <v>2</v>
      </c>
      <c r="AC70" s="29">
        <v>2</v>
      </c>
      <c r="AD70" s="29">
        <v>2</v>
      </c>
      <c r="AE70" s="29">
        <v>2</v>
      </c>
      <c r="AF70" s="8"/>
      <c r="AG70" s="6"/>
    </row>
    <row r="71" spans="1:33">
      <c r="A71" s="14" t="s">
        <v>4</v>
      </c>
      <c r="B71" s="29">
        <v>3</v>
      </c>
      <c r="C71" s="29">
        <v>3</v>
      </c>
      <c r="D71" s="29">
        <v>3</v>
      </c>
      <c r="E71" s="29">
        <v>3</v>
      </c>
      <c r="F71" s="29">
        <v>3</v>
      </c>
      <c r="G71" s="29" t="s">
        <v>2</v>
      </c>
      <c r="H71" s="29" t="s">
        <v>2</v>
      </c>
      <c r="I71" s="29">
        <v>2</v>
      </c>
      <c r="J71" s="29">
        <v>2</v>
      </c>
      <c r="K71" s="29">
        <v>2</v>
      </c>
      <c r="L71" s="29">
        <v>2</v>
      </c>
      <c r="M71" s="29">
        <v>2</v>
      </c>
      <c r="N71" s="29">
        <v>2</v>
      </c>
      <c r="O71" s="29" t="s">
        <v>2</v>
      </c>
      <c r="P71" s="29" t="s">
        <v>2</v>
      </c>
      <c r="Q71" s="29">
        <v>1</v>
      </c>
      <c r="R71" s="29">
        <v>1</v>
      </c>
      <c r="S71" s="29">
        <v>1</v>
      </c>
      <c r="T71" s="29">
        <v>1</v>
      </c>
      <c r="U71" s="29">
        <v>1</v>
      </c>
      <c r="V71" s="29">
        <v>1</v>
      </c>
      <c r="W71" s="29" t="s">
        <v>2</v>
      </c>
      <c r="X71" s="29" t="s">
        <v>2</v>
      </c>
      <c r="Y71" s="29">
        <v>3</v>
      </c>
      <c r="Z71" s="29">
        <v>3</v>
      </c>
      <c r="AA71" s="29">
        <v>3</v>
      </c>
      <c r="AB71" s="29">
        <v>3</v>
      </c>
      <c r="AC71" s="29">
        <v>3</v>
      </c>
      <c r="AD71" s="29">
        <v>3</v>
      </c>
      <c r="AE71" s="29" t="s">
        <v>2</v>
      </c>
      <c r="AF71" s="8"/>
      <c r="AG71" s="6"/>
    </row>
    <row r="72" spans="1:33">
      <c r="A72" s="14" t="s">
        <v>5</v>
      </c>
      <c r="B72" s="29">
        <v>1</v>
      </c>
      <c r="C72" s="29">
        <v>1</v>
      </c>
      <c r="D72" s="29">
        <v>1</v>
      </c>
      <c r="E72" s="29" t="s">
        <v>2</v>
      </c>
      <c r="F72" s="29" t="s">
        <v>2</v>
      </c>
      <c r="G72" s="29">
        <v>3</v>
      </c>
      <c r="H72" s="29">
        <v>3</v>
      </c>
      <c r="I72" s="29">
        <v>3</v>
      </c>
      <c r="J72" s="29">
        <v>3</v>
      </c>
      <c r="K72" s="29">
        <v>3</v>
      </c>
      <c r="L72" s="29">
        <v>3</v>
      </c>
      <c r="M72" s="29" t="s">
        <v>2</v>
      </c>
      <c r="N72" s="29" t="s">
        <v>2</v>
      </c>
      <c r="O72" s="29">
        <v>2</v>
      </c>
      <c r="P72" s="29">
        <v>2</v>
      </c>
      <c r="Q72" s="29">
        <v>2</v>
      </c>
      <c r="R72" s="29">
        <v>2</v>
      </c>
      <c r="S72" s="29">
        <v>2</v>
      </c>
      <c r="T72" s="29">
        <v>2</v>
      </c>
      <c r="U72" s="29" t="s">
        <v>2</v>
      </c>
      <c r="V72" s="29" t="s">
        <v>2</v>
      </c>
      <c r="W72" s="29">
        <v>1</v>
      </c>
      <c r="X72" s="29">
        <v>1</v>
      </c>
      <c r="Y72" s="29">
        <v>1</v>
      </c>
      <c r="Z72" s="29">
        <v>1</v>
      </c>
      <c r="AA72" s="29">
        <v>1</v>
      </c>
      <c r="AB72" s="29">
        <v>1</v>
      </c>
      <c r="AC72" s="29" t="s">
        <v>2</v>
      </c>
      <c r="AD72" s="29" t="s">
        <v>2</v>
      </c>
      <c r="AE72" s="29">
        <v>3</v>
      </c>
      <c r="AF72" s="8"/>
      <c r="AG72" s="6"/>
    </row>
    <row r="73" spans="1:33"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6"/>
    </row>
    <row r="74" spans="1:33"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6"/>
    </row>
    <row r="75" spans="1:33">
      <c r="A75" s="13" t="s">
        <v>14</v>
      </c>
      <c r="B75" s="31">
        <v>1</v>
      </c>
      <c r="C75" s="31">
        <v>2</v>
      </c>
      <c r="D75" s="31">
        <v>3</v>
      </c>
      <c r="E75" s="31">
        <v>4</v>
      </c>
      <c r="F75" s="31">
        <v>5</v>
      </c>
      <c r="G75" s="31">
        <v>6</v>
      </c>
      <c r="H75" s="31">
        <v>7</v>
      </c>
      <c r="I75" s="31">
        <v>8</v>
      </c>
      <c r="J75" s="31">
        <v>9</v>
      </c>
      <c r="K75" s="31">
        <v>10</v>
      </c>
      <c r="L75" s="31">
        <v>11</v>
      </c>
      <c r="M75" s="31">
        <v>12</v>
      </c>
      <c r="N75" s="31">
        <v>13</v>
      </c>
      <c r="O75" s="31">
        <v>14</v>
      </c>
      <c r="P75" s="31">
        <v>15</v>
      </c>
      <c r="Q75" s="31">
        <v>16</v>
      </c>
      <c r="R75" s="31">
        <v>17</v>
      </c>
      <c r="S75" s="31">
        <v>18</v>
      </c>
      <c r="T75" s="31">
        <v>19</v>
      </c>
      <c r="U75" s="31">
        <v>20</v>
      </c>
      <c r="V75" s="31">
        <v>21</v>
      </c>
      <c r="W75" s="31">
        <v>22</v>
      </c>
      <c r="X75" s="31">
        <v>23</v>
      </c>
      <c r="Y75" s="31">
        <v>24</v>
      </c>
      <c r="Z75" s="31">
        <v>25</v>
      </c>
      <c r="AA75" s="31">
        <v>26</v>
      </c>
      <c r="AB75" s="31">
        <v>27</v>
      </c>
      <c r="AC75" s="31">
        <v>28</v>
      </c>
      <c r="AD75" s="31">
        <v>29</v>
      </c>
      <c r="AE75" s="31">
        <v>30</v>
      </c>
      <c r="AF75" s="31">
        <v>31</v>
      </c>
      <c r="AG75" s="6"/>
    </row>
    <row r="76" spans="1:33">
      <c r="A76" s="14"/>
      <c r="B76" s="30" t="s">
        <v>54</v>
      </c>
      <c r="C76" s="30" t="s">
        <v>55</v>
      </c>
      <c r="D76" s="30" t="s">
        <v>1</v>
      </c>
      <c r="E76" s="30" t="s">
        <v>56</v>
      </c>
      <c r="F76" s="30" t="s">
        <v>51</v>
      </c>
      <c r="G76" s="30" t="s">
        <v>52</v>
      </c>
      <c r="H76" s="30" t="s">
        <v>53</v>
      </c>
      <c r="I76" s="30" t="s">
        <v>54</v>
      </c>
      <c r="J76" s="30" t="s">
        <v>55</v>
      </c>
      <c r="K76" s="30" t="s">
        <v>1</v>
      </c>
      <c r="L76" s="30" t="s">
        <v>56</v>
      </c>
      <c r="M76" s="30" t="s">
        <v>51</v>
      </c>
      <c r="N76" s="30" t="s">
        <v>52</v>
      </c>
      <c r="O76" s="30" t="s">
        <v>53</v>
      </c>
      <c r="P76" s="30" t="s">
        <v>54</v>
      </c>
      <c r="Q76" s="30" t="s">
        <v>55</v>
      </c>
      <c r="R76" s="30" t="s">
        <v>1</v>
      </c>
      <c r="S76" s="30" t="s">
        <v>56</v>
      </c>
      <c r="T76" s="30" t="s">
        <v>51</v>
      </c>
      <c r="U76" s="30" t="s">
        <v>52</v>
      </c>
      <c r="V76" s="30" t="s">
        <v>53</v>
      </c>
      <c r="W76" s="30" t="s">
        <v>54</v>
      </c>
      <c r="X76" s="30" t="s">
        <v>55</v>
      </c>
      <c r="Y76" s="30" t="s">
        <v>1</v>
      </c>
      <c r="Z76" s="30" t="s">
        <v>56</v>
      </c>
      <c r="AA76" s="30" t="s">
        <v>51</v>
      </c>
      <c r="AB76" s="30" t="s">
        <v>52</v>
      </c>
      <c r="AC76" s="30" t="s">
        <v>53</v>
      </c>
      <c r="AD76" s="30" t="s">
        <v>54</v>
      </c>
      <c r="AE76" s="30" t="s">
        <v>55</v>
      </c>
      <c r="AF76" s="30" t="s">
        <v>1</v>
      </c>
      <c r="AG76" s="6"/>
    </row>
    <row r="77" spans="1:33">
      <c r="A77" s="14" t="s">
        <v>42</v>
      </c>
      <c r="B77" s="29">
        <v>1</v>
      </c>
      <c r="C77" s="29">
        <v>1</v>
      </c>
      <c r="D77" s="29">
        <v>1</v>
      </c>
      <c r="E77" s="29" t="s">
        <v>2</v>
      </c>
      <c r="F77" s="29" t="s">
        <v>2</v>
      </c>
      <c r="G77" s="29">
        <v>3</v>
      </c>
      <c r="H77" s="29">
        <v>3</v>
      </c>
      <c r="I77" s="29">
        <v>3</v>
      </c>
      <c r="J77" s="29">
        <v>3</v>
      </c>
      <c r="K77" s="29">
        <v>3</v>
      </c>
      <c r="L77" s="29">
        <v>3</v>
      </c>
      <c r="M77" s="29" t="s">
        <v>2</v>
      </c>
      <c r="N77" s="29" t="s">
        <v>2</v>
      </c>
      <c r="O77" s="29">
        <v>2</v>
      </c>
      <c r="P77" s="29">
        <v>2</v>
      </c>
      <c r="Q77" s="29">
        <v>2</v>
      </c>
      <c r="R77" s="29">
        <v>2</v>
      </c>
      <c r="S77" s="29">
        <v>2</v>
      </c>
      <c r="T77" s="29">
        <v>2</v>
      </c>
      <c r="U77" s="29" t="s">
        <v>2</v>
      </c>
      <c r="V77" s="29" t="s">
        <v>2</v>
      </c>
      <c r="W77" s="29">
        <v>1</v>
      </c>
      <c r="X77" s="29">
        <v>1</v>
      </c>
      <c r="Y77" s="29">
        <v>1</v>
      </c>
      <c r="Z77" s="29">
        <v>1</v>
      </c>
      <c r="AA77" s="29">
        <v>1</v>
      </c>
      <c r="AB77" s="29">
        <v>1</v>
      </c>
      <c r="AC77" s="29" t="s">
        <v>2</v>
      </c>
      <c r="AD77" s="29" t="s">
        <v>2</v>
      </c>
      <c r="AE77" s="29">
        <v>3</v>
      </c>
      <c r="AF77" s="29">
        <v>3</v>
      </c>
      <c r="AG77" s="6"/>
    </row>
    <row r="78" spans="1:33">
      <c r="A78" s="14" t="s">
        <v>3</v>
      </c>
      <c r="B78" s="29">
        <v>2</v>
      </c>
      <c r="C78" s="29" t="s">
        <v>2</v>
      </c>
      <c r="D78" s="29" t="s">
        <v>2</v>
      </c>
      <c r="E78" s="29">
        <v>1</v>
      </c>
      <c r="F78" s="29">
        <v>1</v>
      </c>
      <c r="G78" s="29">
        <v>1</v>
      </c>
      <c r="H78" s="29">
        <v>1</v>
      </c>
      <c r="I78" s="29">
        <v>1</v>
      </c>
      <c r="J78" s="29">
        <v>1</v>
      </c>
      <c r="K78" s="29" t="s">
        <v>2</v>
      </c>
      <c r="L78" s="29" t="s">
        <v>2</v>
      </c>
      <c r="M78" s="29">
        <v>3</v>
      </c>
      <c r="N78" s="29">
        <v>3</v>
      </c>
      <c r="O78" s="29">
        <v>3</v>
      </c>
      <c r="P78" s="29">
        <v>3</v>
      </c>
      <c r="Q78" s="29">
        <v>3</v>
      </c>
      <c r="R78" s="29">
        <v>3</v>
      </c>
      <c r="S78" s="29" t="s">
        <v>2</v>
      </c>
      <c r="T78" s="29" t="s">
        <v>2</v>
      </c>
      <c r="U78" s="29">
        <v>2</v>
      </c>
      <c r="V78" s="29">
        <v>2</v>
      </c>
      <c r="W78" s="29">
        <v>2</v>
      </c>
      <c r="X78" s="29">
        <v>2</v>
      </c>
      <c r="Y78" s="29">
        <v>2</v>
      </c>
      <c r="Z78" s="29">
        <v>2</v>
      </c>
      <c r="AA78" s="29" t="s">
        <v>2</v>
      </c>
      <c r="AB78" s="29" t="s">
        <v>2</v>
      </c>
      <c r="AC78" s="29">
        <v>1</v>
      </c>
      <c r="AD78" s="29">
        <v>1</v>
      </c>
      <c r="AE78" s="29">
        <v>1</v>
      </c>
      <c r="AF78" s="29">
        <v>1</v>
      </c>
      <c r="AG78" s="6"/>
    </row>
    <row r="79" spans="1:33">
      <c r="A79" s="14" t="s">
        <v>4</v>
      </c>
      <c r="B79" s="29" t="s">
        <v>2</v>
      </c>
      <c r="C79" s="29">
        <v>2</v>
      </c>
      <c r="D79" s="29">
        <v>2</v>
      </c>
      <c r="E79" s="29">
        <v>2</v>
      </c>
      <c r="F79" s="29">
        <v>2</v>
      </c>
      <c r="G79" s="29">
        <v>2</v>
      </c>
      <c r="H79" s="29">
        <v>2</v>
      </c>
      <c r="I79" s="29" t="s">
        <v>2</v>
      </c>
      <c r="J79" s="29" t="s">
        <v>2</v>
      </c>
      <c r="K79" s="29">
        <v>1</v>
      </c>
      <c r="L79" s="29">
        <v>1</v>
      </c>
      <c r="M79" s="29">
        <v>1</v>
      </c>
      <c r="N79" s="29">
        <v>1</v>
      </c>
      <c r="O79" s="29">
        <v>1</v>
      </c>
      <c r="P79" s="29">
        <v>1</v>
      </c>
      <c r="Q79" s="29" t="s">
        <v>2</v>
      </c>
      <c r="R79" s="29" t="s">
        <v>2</v>
      </c>
      <c r="S79" s="29">
        <v>3</v>
      </c>
      <c r="T79" s="29">
        <v>3</v>
      </c>
      <c r="U79" s="29">
        <v>3</v>
      </c>
      <c r="V79" s="29">
        <v>3</v>
      </c>
      <c r="W79" s="29">
        <v>3</v>
      </c>
      <c r="X79" s="29">
        <v>3</v>
      </c>
      <c r="Y79" s="29" t="s">
        <v>2</v>
      </c>
      <c r="Z79" s="29" t="s">
        <v>2</v>
      </c>
      <c r="AA79" s="29">
        <v>2</v>
      </c>
      <c r="AB79" s="29">
        <v>2</v>
      </c>
      <c r="AC79" s="29">
        <v>2</v>
      </c>
      <c r="AD79" s="29">
        <v>2</v>
      </c>
      <c r="AE79" s="29">
        <v>2</v>
      </c>
      <c r="AF79" s="29">
        <v>2</v>
      </c>
      <c r="AG79" s="6"/>
    </row>
    <row r="80" spans="1:33">
      <c r="A80" s="14" t="s">
        <v>5</v>
      </c>
      <c r="B80" s="29">
        <v>3</v>
      </c>
      <c r="C80" s="29">
        <v>3</v>
      </c>
      <c r="D80" s="29">
        <v>3</v>
      </c>
      <c r="E80" s="29">
        <v>3</v>
      </c>
      <c r="F80" s="29">
        <v>3</v>
      </c>
      <c r="G80" s="29" t="s">
        <v>2</v>
      </c>
      <c r="H80" s="29" t="s">
        <v>2</v>
      </c>
      <c r="I80" s="29">
        <v>2</v>
      </c>
      <c r="J80" s="29">
        <v>2</v>
      </c>
      <c r="K80" s="29">
        <v>2</v>
      </c>
      <c r="L80" s="29">
        <v>2</v>
      </c>
      <c r="M80" s="29">
        <v>2</v>
      </c>
      <c r="N80" s="29">
        <v>2</v>
      </c>
      <c r="O80" s="29" t="s">
        <v>2</v>
      </c>
      <c r="P80" s="29" t="s">
        <v>2</v>
      </c>
      <c r="Q80" s="29">
        <v>1</v>
      </c>
      <c r="R80" s="29">
        <v>1</v>
      </c>
      <c r="S80" s="29">
        <v>1</v>
      </c>
      <c r="T80" s="29">
        <v>1</v>
      </c>
      <c r="U80" s="29">
        <v>1</v>
      </c>
      <c r="V80" s="29">
        <v>1</v>
      </c>
      <c r="W80" s="29" t="s">
        <v>2</v>
      </c>
      <c r="X80" s="29" t="s">
        <v>2</v>
      </c>
      <c r="Y80" s="29">
        <v>3</v>
      </c>
      <c r="Z80" s="29">
        <v>3</v>
      </c>
      <c r="AA80" s="29">
        <v>3</v>
      </c>
      <c r="AB80" s="29">
        <v>3</v>
      </c>
      <c r="AC80" s="29">
        <v>3</v>
      </c>
      <c r="AD80" s="29">
        <v>3</v>
      </c>
      <c r="AE80" s="29" t="s">
        <v>2</v>
      </c>
      <c r="AF80" s="29" t="s">
        <v>2</v>
      </c>
      <c r="AG80" s="6"/>
    </row>
    <row r="81" spans="1:33"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6"/>
    </row>
    <row r="82" spans="1:33"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6"/>
    </row>
    <row r="83" spans="1:33">
      <c r="A83" s="13" t="s">
        <v>15</v>
      </c>
      <c r="B83" s="31">
        <v>1</v>
      </c>
      <c r="C83" s="31">
        <v>2</v>
      </c>
      <c r="D83" s="31">
        <v>3</v>
      </c>
      <c r="E83" s="31">
        <v>4</v>
      </c>
      <c r="F83" s="31">
        <v>5</v>
      </c>
      <c r="G83" s="31">
        <v>6</v>
      </c>
      <c r="H83" s="31">
        <v>7</v>
      </c>
      <c r="I83" s="31">
        <v>8</v>
      </c>
      <c r="J83" s="31">
        <v>9</v>
      </c>
      <c r="K83" s="31">
        <v>10</v>
      </c>
      <c r="L83" s="31">
        <v>11</v>
      </c>
      <c r="M83" s="31">
        <v>12</v>
      </c>
      <c r="N83" s="31">
        <v>13</v>
      </c>
      <c r="O83" s="31">
        <v>14</v>
      </c>
      <c r="P83" s="31">
        <v>15</v>
      </c>
      <c r="Q83" s="31">
        <v>16</v>
      </c>
      <c r="R83" s="31">
        <v>17</v>
      </c>
      <c r="S83" s="31">
        <v>18</v>
      </c>
      <c r="T83" s="31">
        <v>19</v>
      </c>
      <c r="U83" s="31">
        <v>20</v>
      </c>
      <c r="V83" s="31">
        <v>21</v>
      </c>
      <c r="W83" s="31">
        <v>22</v>
      </c>
      <c r="X83" s="31">
        <v>23</v>
      </c>
      <c r="Y83" s="31">
        <v>24</v>
      </c>
      <c r="Z83" s="31">
        <v>25</v>
      </c>
      <c r="AA83" s="31">
        <v>26</v>
      </c>
      <c r="AB83" s="31">
        <v>27</v>
      </c>
      <c r="AC83" s="31">
        <v>28</v>
      </c>
      <c r="AD83" s="31">
        <v>29</v>
      </c>
      <c r="AE83" s="31">
        <v>30</v>
      </c>
      <c r="AF83" s="7"/>
      <c r="AG83" s="6"/>
    </row>
    <row r="84" spans="1:33">
      <c r="A84" s="14"/>
      <c r="B84" s="30" t="s">
        <v>56</v>
      </c>
      <c r="C84" s="30" t="s">
        <v>51</v>
      </c>
      <c r="D84" s="30" t="s">
        <v>52</v>
      </c>
      <c r="E84" s="30" t="s">
        <v>53</v>
      </c>
      <c r="F84" s="30" t="s">
        <v>54</v>
      </c>
      <c r="G84" s="30" t="s">
        <v>55</v>
      </c>
      <c r="H84" s="30" t="s">
        <v>1</v>
      </c>
      <c r="I84" s="30" t="s">
        <v>56</v>
      </c>
      <c r="J84" s="30" t="s">
        <v>51</v>
      </c>
      <c r="K84" s="30" t="s">
        <v>52</v>
      </c>
      <c r="L84" s="30" t="s">
        <v>53</v>
      </c>
      <c r="M84" s="30" t="s">
        <v>54</v>
      </c>
      <c r="N84" s="30" t="s">
        <v>55</v>
      </c>
      <c r="O84" s="30" t="s">
        <v>1</v>
      </c>
      <c r="P84" s="30" t="s">
        <v>56</v>
      </c>
      <c r="Q84" s="30" t="s">
        <v>51</v>
      </c>
      <c r="R84" s="30" t="s">
        <v>52</v>
      </c>
      <c r="S84" s="30" t="s">
        <v>53</v>
      </c>
      <c r="T84" s="30" t="s">
        <v>54</v>
      </c>
      <c r="U84" s="30" t="s">
        <v>55</v>
      </c>
      <c r="V84" s="30" t="s">
        <v>1</v>
      </c>
      <c r="W84" s="30" t="s">
        <v>56</v>
      </c>
      <c r="X84" s="30" t="s">
        <v>51</v>
      </c>
      <c r="Y84" s="30" t="s">
        <v>52</v>
      </c>
      <c r="Z84" s="30" t="s">
        <v>53</v>
      </c>
      <c r="AA84" s="30" t="s">
        <v>54</v>
      </c>
      <c r="AB84" s="30" t="s">
        <v>55</v>
      </c>
      <c r="AC84" s="30" t="s">
        <v>1</v>
      </c>
      <c r="AD84" s="30" t="s">
        <v>56</v>
      </c>
      <c r="AE84" s="30" t="s">
        <v>51</v>
      </c>
      <c r="AF84" s="8"/>
      <c r="AG84" s="6"/>
    </row>
    <row r="85" spans="1:33">
      <c r="A85" s="14" t="s">
        <v>42</v>
      </c>
      <c r="B85" s="29">
        <v>3</v>
      </c>
      <c r="C85" s="29">
        <v>3</v>
      </c>
      <c r="D85" s="29">
        <v>3</v>
      </c>
      <c r="E85" s="29">
        <v>3</v>
      </c>
      <c r="F85" s="29" t="s">
        <v>2</v>
      </c>
      <c r="G85" s="29" t="s">
        <v>2</v>
      </c>
      <c r="H85" s="29">
        <v>2</v>
      </c>
      <c r="I85" s="29">
        <v>2</v>
      </c>
      <c r="J85" s="29">
        <v>2</v>
      </c>
      <c r="K85" s="29">
        <v>2</v>
      </c>
      <c r="L85" s="29">
        <v>2</v>
      </c>
      <c r="M85" s="29">
        <v>2</v>
      </c>
      <c r="N85" s="29" t="s">
        <v>2</v>
      </c>
      <c r="O85" s="29" t="s">
        <v>2</v>
      </c>
      <c r="P85" s="29">
        <v>1</v>
      </c>
      <c r="Q85" s="29">
        <v>1</v>
      </c>
      <c r="R85" s="29">
        <v>1</v>
      </c>
      <c r="S85" s="29">
        <v>1</v>
      </c>
      <c r="T85" s="29">
        <v>1</v>
      </c>
      <c r="U85" s="29">
        <v>1</v>
      </c>
      <c r="V85" s="29" t="s">
        <v>2</v>
      </c>
      <c r="W85" s="29" t="s">
        <v>2</v>
      </c>
      <c r="X85" s="29">
        <v>3</v>
      </c>
      <c r="Y85" s="29">
        <v>3</v>
      </c>
      <c r="Z85" s="29">
        <v>3</v>
      </c>
      <c r="AA85" s="29">
        <v>3</v>
      </c>
      <c r="AB85" s="29">
        <v>3</v>
      </c>
      <c r="AC85" s="29">
        <v>3</v>
      </c>
      <c r="AD85" s="29" t="s">
        <v>2</v>
      </c>
      <c r="AE85" s="29" t="s">
        <v>2</v>
      </c>
      <c r="AF85" s="8"/>
      <c r="AG85" s="6"/>
    </row>
    <row r="86" spans="1:33">
      <c r="A86" s="14" t="s">
        <v>3</v>
      </c>
      <c r="B86" s="29">
        <v>1</v>
      </c>
      <c r="C86" s="29">
        <v>1</v>
      </c>
      <c r="D86" s="29" t="s">
        <v>2</v>
      </c>
      <c r="E86" s="29" t="s">
        <v>2</v>
      </c>
      <c r="F86" s="29">
        <v>3</v>
      </c>
      <c r="G86" s="29">
        <v>3</v>
      </c>
      <c r="H86" s="29">
        <v>3</v>
      </c>
      <c r="I86" s="29">
        <v>3</v>
      </c>
      <c r="J86" s="29">
        <v>3</v>
      </c>
      <c r="K86" s="29">
        <v>3</v>
      </c>
      <c r="L86" s="29" t="s">
        <v>2</v>
      </c>
      <c r="M86" s="29" t="s">
        <v>2</v>
      </c>
      <c r="N86" s="29">
        <v>2</v>
      </c>
      <c r="O86" s="29">
        <v>2</v>
      </c>
      <c r="P86" s="29">
        <v>2</v>
      </c>
      <c r="Q86" s="29">
        <v>2</v>
      </c>
      <c r="R86" s="29">
        <v>2</v>
      </c>
      <c r="S86" s="29">
        <v>2</v>
      </c>
      <c r="T86" s="29" t="s">
        <v>2</v>
      </c>
      <c r="U86" s="29" t="s">
        <v>2</v>
      </c>
      <c r="V86" s="29">
        <v>1</v>
      </c>
      <c r="W86" s="29">
        <v>1</v>
      </c>
      <c r="X86" s="29">
        <v>1</v>
      </c>
      <c r="Y86" s="29">
        <v>1</v>
      </c>
      <c r="Z86" s="29">
        <v>1</v>
      </c>
      <c r="AA86" s="29">
        <v>1</v>
      </c>
      <c r="AB86" s="29" t="s">
        <v>2</v>
      </c>
      <c r="AC86" s="29" t="s">
        <v>2</v>
      </c>
      <c r="AD86" s="29">
        <v>3</v>
      </c>
      <c r="AE86" s="29">
        <v>3</v>
      </c>
      <c r="AF86" s="8"/>
      <c r="AG86" s="6"/>
    </row>
    <row r="87" spans="1:33">
      <c r="A87" s="14" t="s">
        <v>4</v>
      </c>
      <c r="B87" s="29" t="s">
        <v>2</v>
      </c>
      <c r="C87" s="29" t="s">
        <v>2</v>
      </c>
      <c r="D87" s="29">
        <v>1</v>
      </c>
      <c r="E87" s="29">
        <v>1</v>
      </c>
      <c r="F87" s="29">
        <v>1</v>
      </c>
      <c r="G87" s="29">
        <v>1</v>
      </c>
      <c r="H87" s="29">
        <v>1</v>
      </c>
      <c r="I87" s="29">
        <v>1</v>
      </c>
      <c r="J87" s="29" t="s">
        <v>2</v>
      </c>
      <c r="K87" s="29" t="s">
        <v>2</v>
      </c>
      <c r="L87" s="29">
        <v>3</v>
      </c>
      <c r="M87" s="29">
        <v>3</v>
      </c>
      <c r="N87" s="29">
        <v>3</v>
      </c>
      <c r="O87" s="29">
        <v>3</v>
      </c>
      <c r="P87" s="29">
        <v>3</v>
      </c>
      <c r="Q87" s="29">
        <v>3</v>
      </c>
      <c r="R87" s="29" t="s">
        <v>2</v>
      </c>
      <c r="S87" s="29" t="s">
        <v>2</v>
      </c>
      <c r="T87" s="29">
        <v>2</v>
      </c>
      <c r="U87" s="29">
        <v>2</v>
      </c>
      <c r="V87" s="29">
        <v>2</v>
      </c>
      <c r="W87" s="29">
        <v>2</v>
      </c>
      <c r="X87" s="29">
        <v>2</v>
      </c>
      <c r="Y87" s="29">
        <v>2</v>
      </c>
      <c r="Z87" s="29" t="s">
        <v>2</v>
      </c>
      <c r="AA87" s="29" t="s">
        <v>2</v>
      </c>
      <c r="AB87" s="29">
        <v>1</v>
      </c>
      <c r="AC87" s="29">
        <v>1</v>
      </c>
      <c r="AD87" s="29">
        <v>1</v>
      </c>
      <c r="AE87" s="29">
        <v>1</v>
      </c>
      <c r="AF87" s="8"/>
      <c r="AG87" s="6"/>
    </row>
    <row r="88" spans="1:33">
      <c r="A88" s="14" t="s">
        <v>5</v>
      </c>
      <c r="B88" s="29">
        <v>2</v>
      </c>
      <c r="C88" s="29">
        <v>2</v>
      </c>
      <c r="D88" s="29">
        <v>2</v>
      </c>
      <c r="E88" s="29">
        <v>2</v>
      </c>
      <c r="F88" s="29">
        <v>2</v>
      </c>
      <c r="G88" s="29">
        <v>2</v>
      </c>
      <c r="H88" s="29" t="s">
        <v>2</v>
      </c>
      <c r="I88" s="29" t="s">
        <v>2</v>
      </c>
      <c r="J88" s="29">
        <v>1</v>
      </c>
      <c r="K88" s="29">
        <v>1</v>
      </c>
      <c r="L88" s="29">
        <v>1</v>
      </c>
      <c r="M88" s="29">
        <v>1</v>
      </c>
      <c r="N88" s="29">
        <v>1</v>
      </c>
      <c r="O88" s="29">
        <v>1</v>
      </c>
      <c r="P88" s="29" t="s">
        <v>2</v>
      </c>
      <c r="Q88" s="29" t="s">
        <v>2</v>
      </c>
      <c r="R88" s="29">
        <v>3</v>
      </c>
      <c r="S88" s="29">
        <v>3</v>
      </c>
      <c r="T88" s="29">
        <v>3</v>
      </c>
      <c r="U88" s="29">
        <v>3</v>
      </c>
      <c r="V88" s="29">
        <v>3</v>
      </c>
      <c r="W88" s="29">
        <v>3</v>
      </c>
      <c r="X88" s="29" t="s">
        <v>2</v>
      </c>
      <c r="Y88" s="29" t="s">
        <v>2</v>
      </c>
      <c r="Z88" s="29">
        <v>2</v>
      </c>
      <c r="AA88" s="29">
        <v>2</v>
      </c>
      <c r="AB88" s="29">
        <v>2</v>
      </c>
      <c r="AC88" s="29">
        <v>2</v>
      </c>
      <c r="AD88" s="29">
        <v>2</v>
      </c>
      <c r="AE88" s="29">
        <v>2</v>
      </c>
      <c r="AF88" s="8"/>
      <c r="AG88" s="6"/>
    </row>
    <row r="89" spans="1:33"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6"/>
    </row>
    <row r="90" spans="1:33"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6"/>
    </row>
    <row r="91" spans="1:33">
      <c r="A91" s="13" t="s">
        <v>16</v>
      </c>
      <c r="B91" s="31">
        <v>1</v>
      </c>
      <c r="C91" s="31">
        <v>2</v>
      </c>
      <c r="D91" s="31">
        <v>3</v>
      </c>
      <c r="E91" s="31">
        <v>4</v>
      </c>
      <c r="F91" s="31">
        <v>5</v>
      </c>
      <c r="G91" s="31">
        <v>6</v>
      </c>
      <c r="H91" s="31">
        <v>7</v>
      </c>
      <c r="I91" s="31">
        <v>8</v>
      </c>
      <c r="J91" s="31">
        <v>9</v>
      </c>
      <c r="K91" s="31">
        <v>10</v>
      </c>
      <c r="L91" s="31">
        <v>11</v>
      </c>
      <c r="M91" s="31">
        <v>12</v>
      </c>
      <c r="N91" s="31">
        <v>13</v>
      </c>
      <c r="O91" s="31">
        <v>14</v>
      </c>
      <c r="P91" s="31">
        <v>15</v>
      </c>
      <c r="Q91" s="31">
        <v>16</v>
      </c>
      <c r="R91" s="31">
        <v>17</v>
      </c>
      <c r="S91" s="31">
        <v>18</v>
      </c>
      <c r="T91" s="31">
        <v>19</v>
      </c>
      <c r="U91" s="31">
        <v>20</v>
      </c>
      <c r="V91" s="31">
        <v>21</v>
      </c>
      <c r="W91" s="31">
        <v>22</v>
      </c>
      <c r="X91" s="31">
        <v>23</v>
      </c>
      <c r="Y91" s="31">
        <v>24</v>
      </c>
      <c r="Z91" s="31">
        <v>25</v>
      </c>
      <c r="AA91" s="31">
        <v>26</v>
      </c>
      <c r="AB91" s="31">
        <v>27</v>
      </c>
      <c r="AC91" s="31">
        <v>28</v>
      </c>
      <c r="AD91" s="31">
        <v>29</v>
      </c>
      <c r="AE91" s="31">
        <v>30</v>
      </c>
      <c r="AF91" s="31">
        <v>31</v>
      </c>
      <c r="AG91" s="6"/>
    </row>
    <row r="92" spans="1:33">
      <c r="A92" s="14"/>
      <c r="B92" s="30" t="s">
        <v>52</v>
      </c>
      <c r="C92" s="30" t="s">
        <v>53</v>
      </c>
      <c r="D92" s="30" t="s">
        <v>54</v>
      </c>
      <c r="E92" s="30" t="s">
        <v>55</v>
      </c>
      <c r="F92" s="30" t="s">
        <v>1</v>
      </c>
      <c r="G92" s="30" t="s">
        <v>56</v>
      </c>
      <c r="H92" s="30" t="s">
        <v>51</v>
      </c>
      <c r="I92" s="30" t="s">
        <v>52</v>
      </c>
      <c r="J92" s="30" t="s">
        <v>53</v>
      </c>
      <c r="K92" s="30" t="s">
        <v>54</v>
      </c>
      <c r="L92" s="30" t="s">
        <v>55</v>
      </c>
      <c r="M92" s="30" t="s">
        <v>1</v>
      </c>
      <c r="N92" s="30" t="s">
        <v>56</v>
      </c>
      <c r="O92" s="30" t="s">
        <v>51</v>
      </c>
      <c r="P92" s="30" t="s">
        <v>52</v>
      </c>
      <c r="Q92" s="30" t="s">
        <v>53</v>
      </c>
      <c r="R92" s="30" t="s">
        <v>54</v>
      </c>
      <c r="S92" s="30" t="s">
        <v>55</v>
      </c>
      <c r="T92" s="30" t="s">
        <v>1</v>
      </c>
      <c r="U92" s="30" t="s">
        <v>56</v>
      </c>
      <c r="V92" s="30" t="s">
        <v>51</v>
      </c>
      <c r="W92" s="30" t="s">
        <v>52</v>
      </c>
      <c r="X92" s="30" t="s">
        <v>53</v>
      </c>
      <c r="Y92" s="30" t="s">
        <v>54</v>
      </c>
      <c r="Z92" s="30" t="s">
        <v>55</v>
      </c>
      <c r="AA92" s="30" t="s">
        <v>1</v>
      </c>
      <c r="AB92" s="30" t="s">
        <v>56</v>
      </c>
      <c r="AC92" s="30" t="s">
        <v>51</v>
      </c>
      <c r="AD92" s="30" t="s">
        <v>52</v>
      </c>
      <c r="AE92" s="30" t="s">
        <v>53</v>
      </c>
      <c r="AF92" s="30" t="s">
        <v>54</v>
      </c>
      <c r="AG92" s="6"/>
    </row>
    <row r="93" spans="1:33">
      <c r="A93" s="14" t="s">
        <v>42</v>
      </c>
      <c r="B93" s="29">
        <v>2</v>
      </c>
      <c r="C93" s="29">
        <v>2</v>
      </c>
      <c r="D93" s="29">
        <v>2</v>
      </c>
      <c r="E93" s="29">
        <v>2</v>
      </c>
      <c r="F93" s="29">
        <v>2</v>
      </c>
      <c r="G93" s="29">
        <v>2</v>
      </c>
      <c r="H93" s="29" t="s">
        <v>2</v>
      </c>
      <c r="I93" s="29" t="s">
        <v>2</v>
      </c>
      <c r="J93" s="29">
        <v>1</v>
      </c>
      <c r="K93" s="29">
        <v>1</v>
      </c>
      <c r="L93" s="29">
        <v>1</v>
      </c>
      <c r="M93" s="29">
        <v>1</v>
      </c>
      <c r="N93" s="29">
        <v>1</v>
      </c>
      <c r="O93" s="29">
        <v>1</v>
      </c>
      <c r="P93" s="29" t="s">
        <v>2</v>
      </c>
      <c r="Q93" s="29" t="s">
        <v>2</v>
      </c>
      <c r="R93" s="29">
        <v>3</v>
      </c>
      <c r="S93" s="29">
        <v>3</v>
      </c>
      <c r="T93" s="29">
        <v>3</v>
      </c>
      <c r="U93" s="29">
        <v>3</v>
      </c>
      <c r="V93" s="29">
        <v>3</v>
      </c>
      <c r="W93" s="29">
        <v>3</v>
      </c>
      <c r="X93" s="29" t="s">
        <v>2</v>
      </c>
      <c r="Y93" s="29" t="s">
        <v>2</v>
      </c>
      <c r="Z93" s="29">
        <v>2</v>
      </c>
      <c r="AA93" s="29">
        <v>2</v>
      </c>
      <c r="AB93" s="29">
        <v>2</v>
      </c>
      <c r="AC93" s="29">
        <v>2</v>
      </c>
      <c r="AD93" s="29">
        <v>2</v>
      </c>
      <c r="AE93" s="29">
        <v>2</v>
      </c>
      <c r="AF93" s="29" t="s">
        <v>2</v>
      </c>
      <c r="AG93" s="6"/>
    </row>
    <row r="94" spans="1:33">
      <c r="A94" s="14" t="s">
        <v>3</v>
      </c>
      <c r="B94" s="29">
        <v>3</v>
      </c>
      <c r="C94" s="29">
        <v>3</v>
      </c>
      <c r="D94" s="29">
        <v>3</v>
      </c>
      <c r="E94" s="29">
        <v>3</v>
      </c>
      <c r="F94" s="29" t="s">
        <v>2</v>
      </c>
      <c r="G94" s="29" t="s">
        <v>2</v>
      </c>
      <c r="H94" s="29">
        <v>2</v>
      </c>
      <c r="I94" s="29">
        <v>2</v>
      </c>
      <c r="J94" s="29">
        <v>2</v>
      </c>
      <c r="K94" s="29">
        <v>2</v>
      </c>
      <c r="L94" s="29">
        <v>2</v>
      </c>
      <c r="M94" s="29">
        <v>2</v>
      </c>
      <c r="N94" s="29" t="s">
        <v>2</v>
      </c>
      <c r="O94" s="29" t="s">
        <v>2</v>
      </c>
      <c r="P94" s="29">
        <v>1</v>
      </c>
      <c r="Q94" s="29">
        <v>1</v>
      </c>
      <c r="R94" s="29">
        <v>1</v>
      </c>
      <c r="S94" s="29">
        <v>1</v>
      </c>
      <c r="T94" s="29">
        <v>1</v>
      </c>
      <c r="U94" s="29">
        <v>1</v>
      </c>
      <c r="V94" s="29" t="s">
        <v>2</v>
      </c>
      <c r="W94" s="29" t="s">
        <v>2</v>
      </c>
      <c r="X94" s="29">
        <v>3</v>
      </c>
      <c r="Y94" s="29">
        <v>3</v>
      </c>
      <c r="Z94" s="29">
        <v>3</v>
      </c>
      <c r="AA94" s="29">
        <v>3</v>
      </c>
      <c r="AB94" s="29">
        <v>3</v>
      </c>
      <c r="AC94" s="29">
        <v>3</v>
      </c>
      <c r="AD94" s="29" t="s">
        <v>2</v>
      </c>
      <c r="AE94" s="29" t="s">
        <v>2</v>
      </c>
      <c r="AF94" s="29">
        <v>2</v>
      </c>
      <c r="AG94" s="6"/>
    </row>
    <row r="95" spans="1:33">
      <c r="A95" s="14" t="s">
        <v>4</v>
      </c>
      <c r="B95" s="29">
        <v>1</v>
      </c>
      <c r="C95" s="29">
        <v>1</v>
      </c>
      <c r="D95" s="29" t="s">
        <v>2</v>
      </c>
      <c r="E95" s="29" t="s">
        <v>2</v>
      </c>
      <c r="F95" s="29">
        <v>3</v>
      </c>
      <c r="G95" s="29">
        <v>3</v>
      </c>
      <c r="H95" s="29">
        <v>3</v>
      </c>
      <c r="I95" s="29">
        <v>3</v>
      </c>
      <c r="J95" s="29">
        <v>3</v>
      </c>
      <c r="K95" s="29">
        <v>3</v>
      </c>
      <c r="L95" s="29" t="s">
        <v>2</v>
      </c>
      <c r="M95" s="29" t="s">
        <v>2</v>
      </c>
      <c r="N95" s="29">
        <v>2</v>
      </c>
      <c r="O95" s="29">
        <v>2</v>
      </c>
      <c r="P95" s="29">
        <v>2</v>
      </c>
      <c r="Q95" s="29">
        <v>2</v>
      </c>
      <c r="R95" s="29">
        <v>2</v>
      </c>
      <c r="S95" s="29">
        <v>2</v>
      </c>
      <c r="T95" s="29" t="s">
        <v>2</v>
      </c>
      <c r="U95" s="29" t="s">
        <v>2</v>
      </c>
      <c r="V95" s="29">
        <v>1</v>
      </c>
      <c r="W95" s="29">
        <v>1</v>
      </c>
      <c r="X95" s="29">
        <v>1</v>
      </c>
      <c r="Y95" s="29">
        <v>1</v>
      </c>
      <c r="Z95" s="29">
        <v>1</v>
      </c>
      <c r="AA95" s="29">
        <v>1</v>
      </c>
      <c r="AB95" s="29" t="s">
        <v>2</v>
      </c>
      <c r="AC95" s="29" t="s">
        <v>2</v>
      </c>
      <c r="AD95" s="29">
        <v>3</v>
      </c>
      <c r="AE95" s="29">
        <v>3</v>
      </c>
      <c r="AF95" s="29">
        <v>3</v>
      </c>
      <c r="AG95" s="6"/>
    </row>
    <row r="96" spans="1:33">
      <c r="A96" s="14" t="s">
        <v>5</v>
      </c>
      <c r="B96" s="29" t="s">
        <v>2</v>
      </c>
      <c r="C96" s="29" t="s">
        <v>2</v>
      </c>
      <c r="D96" s="29">
        <v>1</v>
      </c>
      <c r="E96" s="29">
        <v>1</v>
      </c>
      <c r="F96" s="29">
        <v>1</v>
      </c>
      <c r="G96" s="29">
        <v>1</v>
      </c>
      <c r="H96" s="29">
        <v>1</v>
      </c>
      <c r="I96" s="29">
        <v>1</v>
      </c>
      <c r="J96" s="29" t="s">
        <v>2</v>
      </c>
      <c r="K96" s="29" t="s">
        <v>2</v>
      </c>
      <c r="L96" s="29">
        <v>3</v>
      </c>
      <c r="M96" s="29">
        <v>3</v>
      </c>
      <c r="N96" s="29">
        <v>3</v>
      </c>
      <c r="O96" s="29">
        <v>3</v>
      </c>
      <c r="P96" s="29">
        <v>3</v>
      </c>
      <c r="Q96" s="29">
        <v>3</v>
      </c>
      <c r="R96" s="29" t="s">
        <v>2</v>
      </c>
      <c r="S96" s="29" t="s">
        <v>2</v>
      </c>
      <c r="T96" s="29">
        <v>2</v>
      </c>
      <c r="U96" s="29">
        <v>2</v>
      </c>
      <c r="V96" s="29">
        <v>2</v>
      </c>
      <c r="W96" s="29">
        <v>2</v>
      </c>
      <c r="X96" s="29">
        <v>2</v>
      </c>
      <c r="Y96" s="29">
        <v>2</v>
      </c>
      <c r="Z96" s="29" t="s">
        <v>2</v>
      </c>
      <c r="AA96" s="29" t="s">
        <v>2</v>
      </c>
      <c r="AB96" s="29">
        <v>1</v>
      </c>
      <c r="AC96" s="29">
        <v>1</v>
      </c>
      <c r="AD96" s="29">
        <v>1</v>
      </c>
      <c r="AE96" s="29">
        <v>1</v>
      </c>
      <c r="AF96" s="29">
        <v>1</v>
      </c>
      <c r="AG96" s="6"/>
    </row>
    <row r="97" spans="2:33"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6"/>
    </row>
  </sheetData>
  <sheetProtection password="DD6F" sheet="1" objects="1" scenarios="1"/>
  <phoneticPr fontId="0" type="noConversion"/>
  <conditionalFormatting sqref="L8">
    <cfRule type="cellIs" dxfId="290" priority="13" operator="equal">
      <formula>"X"</formula>
    </cfRule>
  </conditionalFormatting>
  <conditionalFormatting sqref="I5">
    <cfRule type="cellIs" dxfId="289" priority="12" operator="equal">
      <formula>"X"</formula>
    </cfRule>
  </conditionalFormatting>
  <conditionalFormatting sqref="J5">
    <cfRule type="cellIs" dxfId="288" priority="11" operator="equal">
      <formula>"X"</formula>
    </cfRule>
  </conditionalFormatting>
  <conditionalFormatting sqref="A1:XFD1048576">
    <cfRule type="cellIs" dxfId="287" priority="10" operator="equal">
      <formula>"X"</formula>
    </cfRule>
  </conditionalFormatting>
  <conditionalFormatting sqref="F7">
    <cfRule type="cellIs" dxfId="286" priority="9" operator="equal">
      <formula>"x"</formula>
    </cfRule>
  </conditionalFormatting>
  <conditionalFormatting sqref="B1:AF1048576">
    <cfRule type="cellIs" dxfId="285" priority="5" operator="equal">
      <formula>"V"</formula>
    </cfRule>
    <cfRule type="cellIs" dxfId="284" priority="6" operator="equal">
      <formula>"Szo"</formula>
    </cfRule>
    <cfRule type="cellIs" dxfId="283" priority="7" operator="equal">
      <formula>"Szo"</formula>
    </cfRule>
  </conditionalFormatting>
  <printOptions horizontalCentered="1" verticalCentered="1"/>
  <pageMargins left="0.39370078740157483" right="0.39370078740157483" top="0.38" bottom="0.3" header="0.27" footer="0.3"/>
  <pageSetup paperSize="9" orientation="landscape" horizontalDpi="4294967292" r:id="rId1"/>
  <headerFooter alignWithMargins="0">
    <oddFooter>&amp;RCim: C:\besse\szab_szn\szabi.xls</oddFooter>
  </headerFooter>
  <rowBreaks count="3" manualBreakCount="3">
    <brk id="25" max="16383" man="1"/>
    <brk id="49" max="16383" man="1"/>
    <brk id="73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14"/>
  <sheetViews>
    <sheetView showGridLines="0" topLeftCell="A46" workbookViewId="0">
      <selection activeCell="A75" sqref="A75:XFD75"/>
    </sheetView>
  </sheetViews>
  <sheetFormatPr defaultColWidth="12" defaultRowHeight="12.75"/>
  <cols>
    <col min="1" max="1" width="21.85546875" style="35" customWidth="1"/>
    <col min="2" max="4" width="4.85546875" style="39" customWidth="1"/>
    <col min="5" max="5" width="4.140625" style="35" customWidth="1"/>
    <col min="6" max="17" width="3.140625" style="16" customWidth="1"/>
    <col min="18" max="19" width="4.42578125" style="35" customWidth="1"/>
    <col min="20" max="20" width="3.140625" style="35" customWidth="1"/>
    <col min="21" max="21" width="4.140625" style="16" customWidth="1"/>
    <col min="22" max="32" width="3.140625" style="16" customWidth="1"/>
    <col min="33" max="34" width="4.42578125" style="35" customWidth="1"/>
    <col min="35" max="16384" width="12" style="35"/>
  </cols>
  <sheetData>
    <row r="1" spans="1:34" ht="20.100000000000001" customHeight="1">
      <c r="A1" s="40" t="s">
        <v>40</v>
      </c>
      <c r="B1" s="41" t="s">
        <v>21</v>
      </c>
      <c r="C1" s="42" t="s">
        <v>41</v>
      </c>
      <c r="D1" s="41">
        <v>2021</v>
      </c>
      <c r="E1" s="32" t="s">
        <v>22</v>
      </c>
      <c r="F1" s="33" t="s">
        <v>23</v>
      </c>
      <c r="G1" s="33" t="s">
        <v>25</v>
      </c>
      <c r="H1" s="33" t="s">
        <v>27</v>
      </c>
      <c r="I1" s="33" t="s">
        <v>29</v>
      </c>
      <c r="J1" s="33" t="s">
        <v>30</v>
      </c>
      <c r="K1" s="33" t="s">
        <v>32</v>
      </c>
      <c r="L1" s="33" t="s">
        <v>33</v>
      </c>
      <c r="M1" s="33" t="s">
        <v>34</v>
      </c>
      <c r="N1" s="33" t="s">
        <v>35</v>
      </c>
      <c r="O1" s="33" t="s">
        <v>2</v>
      </c>
      <c r="P1" s="33" t="s">
        <v>36</v>
      </c>
      <c r="Q1" s="33" t="s">
        <v>37</v>
      </c>
      <c r="R1" s="41" t="s">
        <v>39</v>
      </c>
      <c r="S1" s="34" t="s">
        <v>38</v>
      </c>
      <c r="U1" s="33" t="s">
        <v>23</v>
      </c>
      <c r="V1" s="33" t="s">
        <v>24</v>
      </c>
      <c r="W1" s="33" t="s">
        <v>26</v>
      </c>
      <c r="X1" s="33" t="s">
        <v>28</v>
      </c>
      <c r="Y1" s="33" t="s">
        <v>1</v>
      </c>
      <c r="Z1" s="33" t="s">
        <v>31</v>
      </c>
      <c r="AA1" s="33" t="s">
        <v>33</v>
      </c>
      <c r="AB1" s="33" t="s">
        <v>34</v>
      </c>
      <c r="AC1" s="33" t="s">
        <v>35</v>
      </c>
      <c r="AD1" s="33" t="s">
        <v>2</v>
      </c>
      <c r="AE1" s="33" t="s">
        <v>36</v>
      </c>
      <c r="AF1" s="33" t="s">
        <v>37</v>
      </c>
      <c r="AG1" s="41" t="s">
        <v>18</v>
      </c>
      <c r="AH1" s="34" t="s">
        <v>38</v>
      </c>
    </row>
    <row r="2" spans="1:34" ht="20.100000000000001" customHeight="1">
      <c r="A2" s="40"/>
      <c r="B2" s="41"/>
      <c r="C2" s="42"/>
      <c r="D2" s="41"/>
      <c r="E2" s="32"/>
      <c r="F2" s="33" t="s">
        <v>20</v>
      </c>
      <c r="G2" s="33" t="s">
        <v>20</v>
      </c>
      <c r="H2" s="33" t="s">
        <v>20</v>
      </c>
      <c r="I2" s="33" t="s">
        <v>20</v>
      </c>
      <c r="J2" s="33" t="s">
        <v>20</v>
      </c>
      <c r="K2" s="33" t="s">
        <v>20</v>
      </c>
      <c r="L2" s="33" t="s">
        <v>20</v>
      </c>
      <c r="M2" s="33" t="s">
        <v>20</v>
      </c>
      <c r="N2" s="33" t="s">
        <v>20</v>
      </c>
      <c r="O2" s="33" t="s">
        <v>20</v>
      </c>
      <c r="P2" s="33" t="s">
        <v>20</v>
      </c>
      <c r="Q2" s="33" t="s">
        <v>20</v>
      </c>
      <c r="R2" s="41"/>
      <c r="S2" s="34" t="s">
        <v>20</v>
      </c>
      <c r="U2" s="33" t="s">
        <v>18</v>
      </c>
      <c r="V2" s="33" t="s">
        <v>18</v>
      </c>
      <c r="W2" s="33" t="s">
        <v>18</v>
      </c>
      <c r="X2" s="33" t="s">
        <v>18</v>
      </c>
      <c r="Y2" s="33" t="s">
        <v>18</v>
      </c>
      <c r="Z2" s="33" t="s">
        <v>18</v>
      </c>
      <c r="AA2" s="33" t="s">
        <v>18</v>
      </c>
      <c r="AB2" s="33" t="s">
        <v>18</v>
      </c>
      <c r="AC2" s="33" t="s">
        <v>18</v>
      </c>
      <c r="AD2" s="33" t="s">
        <v>18</v>
      </c>
      <c r="AE2" s="33" t="s">
        <v>18</v>
      </c>
      <c r="AF2" s="33" t="s">
        <v>18</v>
      </c>
      <c r="AG2" s="41"/>
      <c r="AH2" s="34" t="s">
        <v>18</v>
      </c>
    </row>
    <row r="3" spans="1:34" ht="20.100000000000001" customHeight="1">
      <c r="A3" s="15" t="s">
        <v>63</v>
      </c>
      <c r="B3" s="12"/>
      <c r="C3" s="12"/>
      <c r="D3" s="12">
        <v>30</v>
      </c>
      <c r="E3" s="36">
        <f t="shared" ref="E3:E16" si="0">SUM(B3:D3)</f>
        <v>30</v>
      </c>
      <c r="F3" s="37">
        <f>A!AI4</f>
        <v>0</v>
      </c>
      <c r="G3" s="37">
        <f>A!AI28</f>
        <v>0</v>
      </c>
      <c r="H3" s="37">
        <f>A!AI52</f>
        <v>0</v>
      </c>
      <c r="I3" s="37">
        <f>A!AI76</f>
        <v>0</v>
      </c>
      <c r="J3" s="37">
        <f>A!AI100</f>
        <v>0</v>
      </c>
      <c r="K3" s="37">
        <f>A!AI124</f>
        <v>0</v>
      </c>
      <c r="L3" s="37">
        <f>A!AI148</f>
        <v>0</v>
      </c>
      <c r="M3" s="37">
        <f>A!AI172</f>
        <v>0</v>
      </c>
      <c r="N3" s="37">
        <f>A!AI196</f>
        <v>0</v>
      </c>
      <c r="O3" s="37">
        <f>A!AI220</f>
        <v>0</v>
      </c>
      <c r="P3" s="37">
        <f>A!AI244</f>
        <v>0</v>
      </c>
      <c r="Q3" s="37">
        <f>A!AI268</f>
        <v>0</v>
      </c>
      <c r="R3" s="33">
        <f t="shared" ref="R3" si="1">SUM(F3+G3+H3+I3+J3+K3+L3+M3+N3+O3+P3+Q3)</f>
        <v>0</v>
      </c>
      <c r="S3" s="38">
        <f t="shared" ref="S3" si="2">SUM(E3-R3)</f>
        <v>30</v>
      </c>
      <c r="U3" s="37">
        <f>A!AH4</f>
        <v>0</v>
      </c>
      <c r="V3" s="37">
        <f>A!AH28</f>
        <v>0</v>
      </c>
      <c r="W3" s="37">
        <f>A!AH52</f>
        <v>0</v>
      </c>
      <c r="X3" s="37">
        <f>A!AH76</f>
        <v>0</v>
      </c>
      <c r="Y3" s="37">
        <f>A!AH100</f>
        <v>0</v>
      </c>
      <c r="Z3" s="37">
        <f>A!AH124</f>
        <v>0</v>
      </c>
      <c r="AA3" s="37">
        <f>A!AH148</f>
        <v>0</v>
      </c>
      <c r="AB3" s="37">
        <f>A!AH172</f>
        <v>0</v>
      </c>
      <c r="AC3" s="37">
        <f>A!AH196</f>
        <v>0</v>
      </c>
      <c r="AD3" s="37">
        <f>A!AH220</f>
        <v>0</v>
      </c>
      <c r="AE3" s="37">
        <f>A!AH244</f>
        <v>0</v>
      </c>
      <c r="AF3" s="37">
        <f>A!AH268</f>
        <v>0</v>
      </c>
      <c r="AG3" s="12">
        <f t="shared" ref="AG3" si="3">SUM(U3+V3+W3+X3+Y3+Z3+AA3+AB3+AC3+AD3+AE3+AF3)</f>
        <v>0</v>
      </c>
      <c r="AH3" s="38">
        <f>SUM(16-AG3)</f>
        <v>16</v>
      </c>
    </row>
    <row r="4" spans="1:34" ht="20.100000000000001" customHeight="1">
      <c r="A4" s="15" t="s">
        <v>64</v>
      </c>
      <c r="B4" s="12"/>
      <c r="C4" s="12"/>
      <c r="D4" s="12"/>
      <c r="E4" s="36">
        <f t="shared" si="0"/>
        <v>0</v>
      </c>
      <c r="F4" s="37">
        <f>A!AI5</f>
        <v>0</v>
      </c>
      <c r="G4" s="37">
        <f>A!AI29</f>
        <v>0</v>
      </c>
      <c r="H4" s="37">
        <f>A!AI53</f>
        <v>0</v>
      </c>
      <c r="I4" s="37">
        <f>A!AI77</f>
        <v>0</v>
      </c>
      <c r="J4" s="37">
        <f>A!AI101</f>
        <v>0</v>
      </c>
      <c r="K4" s="37">
        <f>A!AI125</f>
        <v>0</v>
      </c>
      <c r="L4" s="37">
        <f>A!AI149</f>
        <v>0</v>
      </c>
      <c r="M4" s="37">
        <f>A!AI173</f>
        <v>0</v>
      </c>
      <c r="N4" s="37">
        <f>A!AI197</f>
        <v>0</v>
      </c>
      <c r="O4" s="37">
        <f>A!AI221</f>
        <v>0</v>
      </c>
      <c r="P4" s="37">
        <f>A!AI245</f>
        <v>0</v>
      </c>
      <c r="Q4" s="37">
        <f>A!AI269</f>
        <v>0</v>
      </c>
      <c r="R4" s="33">
        <f t="shared" ref="R4:R22" si="4">SUM(F4+G4+H4+I4+J4+K4+L4+M4+N4+O4+P4+Q4)</f>
        <v>0</v>
      </c>
      <c r="S4" s="38">
        <f t="shared" ref="S4:S22" si="5">SUM(E4-R4)</f>
        <v>0</v>
      </c>
      <c r="U4" s="37">
        <f>A!AH5</f>
        <v>0</v>
      </c>
      <c r="V4" s="37">
        <f>A!AH29</f>
        <v>0</v>
      </c>
      <c r="W4" s="37">
        <f>A!AH53</f>
        <v>0</v>
      </c>
      <c r="X4" s="37">
        <f>A!AH77</f>
        <v>0</v>
      </c>
      <c r="Y4" s="37">
        <f>A!AH101</f>
        <v>0</v>
      </c>
      <c r="Z4" s="37">
        <f>A!AH125</f>
        <v>0</v>
      </c>
      <c r="AA4" s="37">
        <f>A!AH149</f>
        <v>0</v>
      </c>
      <c r="AB4" s="37">
        <f>A!AH173</f>
        <v>0</v>
      </c>
      <c r="AC4" s="37">
        <f>A!AH197</f>
        <v>0</v>
      </c>
      <c r="AD4" s="37">
        <f>A!AH221</f>
        <v>0</v>
      </c>
      <c r="AE4" s="37">
        <f>A!AH245</f>
        <v>0</v>
      </c>
      <c r="AF4" s="37">
        <f>A!AH269</f>
        <v>0</v>
      </c>
      <c r="AG4" s="12">
        <f t="shared" ref="AG4:AG22" si="6">SUM(U4+V4+W4+X4+Y4+Z4+AA4+AB4+AC4+AD4+AE4+AF4)</f>
        <v>0</v>
      </c>
      <c r="AH4" s="38">
        <f t="shared" ref="AH4:AH22" si="7">SUM(16-AG4)</f>
        <v>16</v>
      </c>
    </row>
    <row r="5" spans="1:34" ht="20.100000000000001" customHeight="1">
      <c r="A5" s="15" t="s">
        <v>66</v>
      </c>
      <c r="B5" s="12"/>
      <c r="C5" s="12"/>
      <c r="D5" s="12"/>
      <c r="E5" s="36">
        <f t="shared" si="0"/>
        <v>0</v>
      </c>
      <c r="F5" s="37">
        <f>A!AI6</f>
        <v>0</v>
      </c>
      <c r="G5" s="37">
        <f>A!AI30</f>
        <v>0</v>
      </c>
      <c r="H5" s="37">
        <f>A!AI54</f>
        <v>0</v>
      </c>
      <c r="I5" s="37">
        <f>A!AI78</f>
        <v>0</v>
      </c>
      <c r="J5" s="37">
        <f>A!AI102</f>
        <v>0</v>
      </c>
      <c r="K5" s="37">
        <f>A!AI126</f>
        <v>0</v>
      </c>
      <c r="L5" s="37">
        <f>A!AI150</f>
        <v>0</v>
      </c>
      <c r="M5" s="37">
        <f>A!AI174</f>
        <v>0</v>
      </c>
      <c r="N5" s="37">
        <f>A!AI198</f>
        <v>0</v>
      </c>
      <c r="O5" s="37">
        <f>A!AI222</f>
        <v>0</v>
      </c>
      <c r="P5" s="37">
        <f>A!AI246</f>
        <v>0</v>
      </c>
      <c r="Q5" s="37">
        <f>A!AI270</f>
        <v>0</v>
      </c>
      <c r="R5" s="33">
        <f t="shared" si="4"/>
        <v>0</v>
      </c>
      <c r="S5" s="38">
        <f t="shared" si="5"/>
        <v>0</v>
      </c>
      <c r="U5" s="37">
        <f>A!AH6</f>
        <v>0</v>
      </c>
      <c r="V5" s="37">
        <f>A!AH30</f>
        <v>0</v>
      </c>
      <c r="W5" s="37">
        <f>A!AH54</f>
        <v>0</v>
      </c>
      <c r="X5" s="37">
        <f>A!AH78</f>
        <v>0</v>
      </c>
      <c r="Y5" s="37">
        <f>A!AH102</f>
        <v>0</v>
      </c>
      <c r="Z5" s="37">
        <f>A!AH126</f>
        <v>0</v>
      </c>
      <c r="AA5" s="37">
        <f>A!AH150</f>
        <v>0</v>
      </c>
      <c r="AB5" s="37">
        <f>A!AH174</f>
        <v>0</v>
      </c>
      <c r="AC5" s="37">
        <f>A!AH198</f>
        <v>0</v>
      </c>
      <c r="AD5" s="37">
        <f>A!AH222</f>
        <v>0</v>
      </c>
      <c r="AE5" s="37">
        <f>A!AH246</f>
        <v>0</v>
      </c>
      <c r="AF5" s="37">
        <f>A!AH270</f>
        <v>0</v>
      </c>
      <c r="AG5" s="12">
        <f t="shared" si="6"/>
        <v>0</v>
      </c>
      <c r="AH5" s="38">
        <f t="shared" si="7"/>
        <v>16</v>
      </c>
    </row>
    <row r="6" spans="1:34" ht="20.100000000000001" customHeight="1">
      <c r="A6" s="15" t="s">
        <v>67</v>
      </c>
      <c r="B6" s="12"/>
      <c r="C6" s="12"/>
      <c r="D6" s="12"/>
      <c r="E6" s="36">
        <f t="shared" si="0"/>
        <v>0</v>
      </c>
      <c r="F6" s="37">
        <f>A!AI7</f>
        <v>0</v>
      </c>
      <c r="G6" s="37">
        <f>A!AI31</f>
        <v>0</v>
      </c>
      <c r="H6" s="37">
        <f>A!AI55</f>
        <v>0</v>
      </c>
      <c r="I6" s="37">
        <f>A!AI79</f>
        <v>0</v>
      </c>
      <c r="J6" s="37">
        <f>A!AI103</f>
        <v>0</v>
      </c>
      <c r="K6" s="37">
        <f>A!AI127</f>
        <v>0</v>
      </c>
      <c r="L6" s="37">
        <f>A!AI151</f>
        <v>0</v>
      </c>
      <c r="M6" s="37">
        <f>A!AI175</f>
        <v>0</v>
      </c>
      <c r="N6" s="37">
        <f>A!AI199</f>
        <v>0</v>
      </c>
      <c r="O6" s="37">
        <f>A!AI223</f>
        <v>0</v>
      </c>
      <c r="P6" s="37">
        <f>A!AI247</f>
        <v>0</v>
      </c>
      <c r="Q6" s="37">
        <f>A!AI271</f>
        <v>0</v>
      </c>
      <c r="R6" s="33">
        <f t="shared" si="4"/>
        <v>0</v>
      </c>
      <c r="S6" s="38">
        <f t="shared" si="5"/>
        <v>0</v>
      </c>
      <c r="U6" s="37">
        <f>A!AH7</f>
        <v>0</v>
      </c>
      <c r="V6" s="37">
        <f>A!AH31</f>
        <v>0</v>
      </c>
      <c r="W6" s="37">
        <f>A!AH55</f>
        <v>0</v>
      </c>
      <c r="X6" s="37">
        <f>A!AH79</f>
        <v>0</v>
      </c>
      <c r="Y6" s="37">
        <f>A!AH103</f>
        <v>0</v>
      </c>
      <c r="Z6" s="37">
        <f>A!AH127</f>
        <v>0</v>
      </c>
      <c r="AA6" s="37">
        <f>A!AH151</f>
        <v>0</v>
      </c>
      <c r="AB6" s="37">
        <f>A!AH175</f>
        <v>0</v>
      </c>
      <c r="AC6" s="37">
        <f>A!AH199</f>
        <v>0</v>
      </c>
      <c r="AD6" s="37">
        <f>A!AH223</f>
        <v>0</v>
      </c>
      <c r="AE6" s="37">
        <f>A!AH247</f>
        <v>0</v>
      </c>
      <c r="AF6" s="37">
        <f>A!AH271</f>
        <v>0</v>
      </c>
      <c r="AG6" s="12">
        <f t="shared" si="6"/>
        <v>0</v>
      </c>
      <c r="AH6" s="38">
        <f t="shared" si="7"/>
        <v>16</v>
      </c>
    </row>
    <row r="7" spans="1:34" ht="20.100000000000001" customHeight="1">
      <c r="A7" s="15" t="s">
        <v>68</v>
      </c>
      <c r="B7" s="12"/>
      <c r="C7" s="12"/>
      <c r="D7" s="12"/>
      <c r="E7" s="36">
        <f t="shared" si="0"/>
        <v>0</v>
      </c>
      <c r="F7" s="37">
        <f>A!AI8</f>
        <v>0</v>
      </c>
      <c r="G7" s="37">
        <f>A!AI32</f>
        <v>0</v>
      </c>
      <c r="H7" s="37">
        <f>A!AI56</f>
        <v>0</v>
      </c>
      <c r="I7" s="37">
        <f>A!AI80</f>
        <v>0</v>
      </c>
      <c r="J7" s="37">
        <f>A!AI104</f>
        <v>0</v>
      </c>
      <c r="K7" s="37">
        <f>A!AI128</f>
        <v>0</v>
      </c>
      <c r="L7" s="37">
        <f>A!AI152</f>
        <v>0</v>
      </c>
      <c r="M7" s="37">
        <f>A!AI176</f>
        <v>0</v>
      </c>
      <c r="N7" s="37">
        <f>A!AI200</f>
        <v>0</v>
      </c>
      <c r="O7" s="37">
        <f>A!AI224</f>
        <v>0</v>
      </c>
      <c r="P7" s="37">
        <f>A!AI248</f>
        <v>0</v>
      </c>
      <c r="Q7" s="37">
        <f>A!AI272</f>
        <v>0</v>
      </c>
      <c r="R7" s="33">
        <f t="shared" si="4"/>
        <v>0</v>
      </c>
      <c r="S7" s="38">
        <f t="shared" si="5"/>
        <v>0</v>
      </c>
      <c r="U7" s="37">
        <f>A!AH8</f>
        <v>0</v>
      </c>
      <c r="V7" s="37">
        <f>A!AH32</f>
        <v>0</v>
      </c>
      <c r="W7" s="37">
        <f>A!AH56</f>
        <v>0</v>
      </c>
      <c r="X7" s="37">
        <f>A!AH80</f>
        <v>0</v>
      </c>
      <c r="Y7" s="37">
        <f>A!AH104</f>
        <v>0</v>
      </c>
      <c r="Z7" s="37">
        <f>A!AH128</f>
        <v>0</v>
      </c>
      <c r="AA7" s="37">
        <f>A!AH152</f>
        <v>0</v>
      </c>
      <c r="AB7" s="37">
        <f>A!AH176</f>
        <v>0</v>
      </c>
      <c r="AC7" s="37">
        <f>A!AH200</f>
        <v>0</v>
      </c>
      <c r="AD7" s="37">
        <f>A!AH224</f>
        <v>0</v>
      </c>
      <c r="AE7" s="37">
        <f>A!AH248</f>
        <v>0</v>
      </c>
      <c r="AF7" s="37">
        <f>A!AH272</f>
        <v>0</v>
      </c>
      <c r="AG7" s="12">
        <f t="shared" si="6"/>
        <v>0</v>
      </c>
      <c r="AH7" s="38">
        <f t="shared" si="7"/>
        <v>16</v>
      </c>
    </row>
    <row r="8" spans="1:34" ht="20.100000000000001" customHeight="1">
      <c r="A8" s="15" t="s">
        <v>97</v>
      </c>
      <c r="B8" s="12"/>
      <c r="C8" s="12"/>
      <c r="D8" s="12"/>
      <c r="E8" s="36">
        <f t="shared" si="0"/>
        <v>0</v>
      </c>
      <c r="F8" s="37">
        <f>A!AI9</f>
        <v>0</v>
      </c>
      <c r="G8" s="37">
        <f>A!AI33</f>
        <v>0</v>
      </c>
      <c r="H8" s="37">
        <f>A!AI57</f>
        <v>0</v>
      </c>
      <c r="I8" s="37">
        <f>A!AI81</f>
        <v>0</v>
      </c>
      <c r="J8" s="37">
        <f>A!AI105</f>
        <v>0</v>
      </c>
      <c r="K8" s="37">
        <f>A!AI129</f>
        <v>0</v>
      </c>
      <c r="L8" s="37">
        <f>A!AI153</f>
        <v>0</v>
      </c>
      <c r="M8" s="37">
        <f>A!AI177</f>
        <v>0</v>
      </c>
      <c r="N8" s="37">
        <f>A!AI201</f>
        <v>0</v>
      </c>
      <c r="O8" s="37">
        <f>A!AI225</f>
        <v>0</v>
      </c>
      <c r="P8" s="37">
        <f>A!AI249</f>
        <v>0</v>
      </c>
      <c r="Q8" s="37">
        <f>A!AI273</f>
        <v>0</v>
      </c>
      <c r="R8" s="33">
        <f t="shared" si="4"/>
        <v>0</v>
      </c>
      <c r="S8" s="38">
        <f t="shared" si="5"/>
        <v>0</v>
      </c>
      <c r="U8" s="37">
        <f>A!AH9</f>
        <v>0</v>
      </c>
      <c r="V8" s="37">
        <f>A!AH33</f>
        <v>0</v>
      </c>
      <c r="W8" s="37">
        <f>A!AH57</f>
        <v>0</v>
      </c>
      <c r="X8" s="37">
        <f>A!AH81</f>
        <v>0</v>
      </c>
      <c r="Y8" s="37">
        <f>A!AH105</f>
        <v>0</v>
      </c>
      <c r="Z8" s="37">
        <f>A!AH129</f>
        <v>0</v>
      </c>
      <c r="AA8" s="37">
        <f>A!AH153</f>
        <v>0</v>
      </c>
      <c r="AB8" s="37">
        <f>A!AH177</f>
        <v>0</v>
      </c>
      <c r="AC8" s="37">
        <f>A!AH201</f>
        <v>0</v>
      </c>
      <c r="AD8" s="37">
        <f>A!AH225</f>
        <v>0</v>
      </c>
      <c r="AE8" s="37">
        <f>A!AH249</f>
        <v>0</v>
      </c>
      <c r="AF8" s="37">
        <f>A!AH273</f>
        <v>0</v>
      </c>
      <c r="AG8" s="12">
        <f t="shared" si="6"/>
        <v>0</v>
      </c>
      <c r="AH8" s="38">
        <f t="shared" si="7"/>
        <v>16</v>
      </c>
    </row>
    <row r="9" spans="1:34" ht="20.100000000000001" customHeight="1">
      <c r="A9" s="15" t="s">
        <v>70</v>
      </c>
      <c r="B9" s="12"/>
      <c r="C9" s="12"/>
      <c r="D9" s="12"/>
      <c r="E9" s="36">
        <f t="shared" si="0"/>
        <v>0</v>
      </c>
      <c r="F9" s="37">
        <f>A!AI10</f>
        <v>0</v>
      </c>
      <c r="G9" s="37">
        <f>A!AI34</f>
        <v>0</v>
      </c>
      <c r="H9" s="37">
        <f>A!AI58</f>
        <v>0</v>
      </c>
      <c r="I9" s="37">
        <f>A!AI82</f>
        <v>0</v>
      </c>
      <c r="J9" s="37">
        <f>A!AI106</f>
        <v>0</v>
      </c>
      <c r="K9" s="37">
        <f>A!AI130</f>
        <v>0</v>
      </c>
      <c r="L9" s="37">
        <f>A!AI154</f>
        <v>0</v>
      </c>
      <c r="M9" s="37">
        <f>A!AI178</f>
        <v>0</v>
      </c>
      <c r="N9" s="37">
        <f>A!AI202</f>
        <v>0</v>
      </c>
      <c r="O9" s="37">
        <f>A!AI226</f>
        <v>0</v>
      </c>
      <c r="P9" s="37">
        <f>A!AI250</f>
        <v>0</v>
      </c>
      <c r="Q9" s="37">
        <f>A!AI274</f>
        <v>0</v>
      </c>
      <c r="R9" s="33">
        <f t="shared" si="4"/>
        <v>0</v>
      </c>
      <c r="S9" s="38">
        <f t="shared" si="5"/>
        <v>0</v>
      </c>
      <c r="U9" s="37">
        <f>A!AH10</f>
        <v>0</v>
      </c>
      <c r="V9" s="37">
        <f>A!AH34</f>
        <v>0</v>
      </c>
      <c r="W9" s="37">
        <f>A!AH58</f>
        <v>0</v>
      </c>
      <c r="X9" s="37">
        <f>A!AH82</f>
        <v>0</v>
      </c>
      <c r="Y9" s="37">
        <f>A!AH106</f>
        <v>0</v>
      </c>
      <c r="Z9" s="37">
        <f>A!AH130</f>
        <v>0</v>
      </c>
      <c r="AA9" s="37">
        <f>A!AH154</f>
        <v>0</v>
      </c>
      <c r="AB9" s="37">
        <f>A!AH178</f>
        <v>0</v>
      </c>
      <c r="AC9" s="37">
        <f>A!AH202</f>
        <v>0</v>
      </c>
      <c r="AD9" s="37">
        <f>A!AH226</f>
        <v>0</v>
      </c>
      <c r="AE9" s="37">
        <f>A!AH250</f>
        <v>0</v>
      </c>
      <c r="AF9" s="37">
        <f>A!AH274</f>
        <v>0</v>
      </c>
      <c r="AG9" s="12">
        <f t="shared" si="6"/>
        <v>0</v>
      </c>
      <c r="AH9" s="38">
        <f t="shared" si="7"/>
        <v>16</v>
      </c>
    </row>
    <row r="10" spans="1:34" ht="20.100000000000001" hidden="1" customHeight="1">
      <c r="A10" s="15" t="s">
        <v>49</v>
      </c>
      <c r="B10" s="12"/>
      <c r="C10" s="12"/>
      <c r="D10" s="12"/>
      <c r="E10" s="36">
        <f t="shared" si="0"/>
        <v>0</v>
      </c>
      <c r="F10" s="37">
        <f>A!AI11</f>
        <v>0</v>
      </c>
      <c r="G10" s="37">
        <f>A!AI35</f>
        <v>0</v>
      </c>
      <c r="H10" s="37">
        <f>A!AI59</f>
        <v>0</v>
      </c>
      <c r="I10" s="37">
        <f>A!AI83</f>
        <v>0</v>
      </c>
      <c r="J10" s="37">
        <f>A!AI107</f>
        <v>0</v>
      </c>
      <c r="K10" s="37">
        <f>A!AI131</f>
        <v>0</v>
      </c>
      <c r="L10" s="37">
        <f>A!AI155</f>
        <v>0</v>
      </c>
      <c r="M10" s="37">
        <f>A!AI179</f>
        <v>0</v>
      </c>
      <c r="N10" s="37">
        <f>A!AI203</f>
        <v>0</v>
      </c>
      <c r="O10" s="37">
        <f>A!AI227</f>
        <v>0</v>
      </c>
      <c r="P10" s="37">
        <f>A!AI251</f>
        <v>0</v>
      </c>
      <c r="Q10" s="37">
        <f>A!AI275</f>
        <v>0</v>
      </c>
      <c r="R10" s="33">
        <f t="shared" si="4"/>
        <v>0</v>
      </c>
      <c r="S10" s="38">
        <f t="shared" si="5"/>
        <v>0</v>
      </c>
      <c r="U10" s="37">
        <f>A!AH11</f>
        <v>0</v>
      </c>
      <c r="V10" s="37">
        <f>A!AH35</f>
        <v>0</v>
      </c>
      <c r="W10" s="37">
        <f>A!AH59</f>
        <v>0</v>
      </c>
      <c r="X10" s="37">
        <f>A!AH83</f>
        <v>0</v>
      </c>
      <c r="Y10" s="37">
        <f>A!AH107</f>
        <v>0</v>
      </c>
      <c r="Z10" s="37">
        <f>A!AH131</f>
        <v>0</v>
      </c>
      <c r="AA10" s="37">
        <f>A!AH155</f>
        <v>0</v>
      </c>
      <c r="AB10" s="37">
        <f>A!AH179</f>
        <v>0</v>
      </c>
      <c r="AC10" s="37">
        <f>A!AH203</f>
        <v>0</v>
      </c>
      <c r="AD10" s="37">
        <f>A!AH227</f>
        <v>0</v>
      </c>
      <c r="AE10" s="37">
        <f>A!AH251</f>
        <v>0</v>
      </c>
      <c r="AF10" s="37">
        <f>A!AH275</f>
        <v>0</v>
      </c>
      <c r="AG10" s="12">
        <f t="shared" si="6"/>
        <v>0</v>
      </c>
      <c r="AH10" s="38">
        <f t="shared" si="7"/>
        <v>16</v>
      </c>
    </row>
    <row r="11" spans="1:34" ht="20.100000000000001" hidden="1" customHeight="1">
      <c r="A11" s="15" t="s">
        <v>50</v>
      </c>
      <c r="B11" s="12"/>
      <c r="C11" s="12"/>
      <c r="D11" s="12"/>
      <c r="E11" s="36">
        <f t="shared" si="0"/>
        <v>0</v>
      </c>
      <c r="F11" s="37">
        <f>A!AI12</f>
        <v>0</v>
      </c>
      <c r="G11" s="37">
        <f>A!AI36</f>
        <v>0</v>
      </c>
      <c r="H11" s="37">
        <f>A!AI60</f>
        <v>0</v>
      </c>
      <c r="I11" s="37">
        <f>A!AI84</f>
        <v>0</v>
      </c>
      <c r="J11" s="37">
        <f>A!AI108</f>
        <v>0</v>
      </c>
      <c r="K11" s="37">
        <f>A!AI132</f>
        <v>0</v>
      </c>
      <c r="L11" s="37">
        <f>A!AI156</f>
        <v>0</v>
      </c>
      <c r="M11" s="37">
        <f>A!AI180</f>
        <v>0</v>
      </c>
      <c r="N11" s="37">
        <f>A!AI204</f>
        <v>0</v>
      </c>
      <c r="O11" s="37">
        <f>A!AI228</f>
        <v>0</v>
      </c>
      <c r="P11" s="37">
        <f>A!AI252</f>
        <v>0</v>
      </c>
      <c r="Q11" s="37">
        <f>A!AI276</f>
        <v>0</v>
      </c>
      <c r="R11" s="33">
        <f t="shared" si="4"/>
        <v>0</v>
      </c>
      <c r="S11" s="38">
        <f t="shared" si="5"/>
        <v>0</v>
      </c>
      <c r="U11" s="37">
        <f>A!AH12</f>
        <v>0</v>
      </c>
      <c r="V11" s="37">
        <f>A!AH36</f>
        <v>0</v>
      </c>
      <c r="W11" s="37">
        <f>A!AH60</f>
        <v>0</v>
      </c>
      <c r="X11" s="37">
        <f>A!AH84</f>
        <v>0</v>
      </c>
      <c r="Y11" s="37">
        <f>A!AH108</f>
        <v>0</v>
      </c>
      <c r="Z11" s="37">
        <f>A!AH132</f>
        <v>0</v>
      </c>
      <c r="AA11" s="37">
        <f>A!AH156</f>
        <v>0</v>
      </c>
      <c r="AB11" s="37">
        <f>A!AH180</f>
        <v>0</v>
      </c>
      <c r="AC11" s="37">
        <f>A!AH204</f>
        <v>0</v>
      </c>
      <c r="AD11" s="37">
        <f>A!AH228</f>
        <v>0</v>
      </c>
      <c r="AE11" s="37">
        <f>A!AH252</f>
        <v>0</v>
      </c>
      <c r="AF11" s="37">
        <f>A!AH276</f>
        <v>0</v>
      </c>
      <c r="AG11" s="12">
        <f t="shared" si="6"/>
        <v>0</v>
      </c>
      <c r="AH11" s="38">
        <f t="shared" si="7"/>
        <v>16</v>
      </c>
    </row>
    <row r="12" spans="1:34" ht="19.5" hidden="1" customHeight="1">
      <c r="A12" s="15" t="s">
        <v>44</v>
      </c>
      <c r="B12" s="12"/>
      <c r="C12" s="12"/>
      <c r="D12" s="12"/>
      <c r="E12" s="36">
        <f t="shared" si="0"/>
        <v>0</v>
      </c>
      <c r="F12" s="37">
        <f>A!AI13</f>
        <v>0</v>
      </c>
      <c r="G12" s="37">
        <f>A!AI37</f>
        <v>0</v>
      </c>
      <c r="H12" s="37">
        <f>A!AI61</f>
        <v>0</v>
      </c>
      <c r="I12" s="37">
        <f>A!AI85</f>
        <v>0</v>
      </c>
      <c r="J12" s="37">
        <f>A!AI109</f>
        <v>0</v>
      </c>
      <c r="K12" s="37">
        <f>A!AI133</f>
        <v>0</v>
      </c>
      <c r="L12" s="37">
        <f>A!AI157</f>
        <v>0</v>
      </c>
      <c r="M12" s="37">
        <f>A!AI181</f>
        <v>0</v>
      </c>
      <c r="N12" s="37">
        <f>A!AI205</f>
        <v>0</v>
      </c>
      <c r="O12" s="37">
        <f>A!AI229</f>
        <v>0</v>
      </c>
      <c r="P12" s="37">
        <f>A!AI253</f>
        <v>0</v>
      </c>
      <c r="Q12" s="37">
        <f>A!AI277</f>
        <v>0</v>
      </c>
      <c r="R12" s="33">
        <f t="shared" si="4"/>
        <v>0</v>
      </c>
      <c r="S12" s="38">
        <f t="shared" si="5"/>
        <v>0</v>
      </c>
      <c r="U12" s="37">
        <f>A!AH13</f>
        <v>0</v>
      </c>
      <c r="V12" s="37">
        <f>A!AH37</f>
        <v>0</v>
      </c>
      <c r="W12" s="37">
        <f>A!AH61</f>
        <v>0</v>
      </c>
      <c r="X12" s="37">
        <f>A!AH85</f>
        <v>0</v>
      </c>
      <c r="Y12" s="37">
        <f>A!AH109</f>
        <v>0</v>
      </c>
      <c r="Z12" s="37">
        <f>A!AH133</f>
        <v>0</v>
      </c>
      <c r="AA12" s="37">
        <f>A!AH157</f>
        <v>0</v>
      </c>
      <c r="AB12" s="37">
        <f>A!AH181</f>
        <v>0</v>
      </c>
      <c r="AC12" s="37">
        <f>A!AH205</f>
        <v>0</v>
      </c>
      <c r="AD12" s="37">
        <f>A!AH229</f>
        <v>0</v>
      </c>
      <c r="AE12" s="37">
        <f>A!AH253</f>
        <v>0</v>
      </c>
      <c r="AF12" s="37">
        <f>A!AH277</f>
        <v>0</v>
      </c>
      <c r="AG12" s="12">
        <f t="shared" si="6"/>
        <v>0</v>
      </c>
      <c r="AH12" s="38">
        <f t="shared" si="7"/>
        <v>16</v>
      </c>
    </row>
    <row r="13" spans="1:34" ht="20.100000000000001" hidden="1" customHeight="1">
      <c r="A13" s="15" t="s">
        <v>45</v>
      </c>
      <c r="B13" s="12"/>
      <c r="C13" s="12"/>
      <c r="D13" s="12"/>
      <c r="E13" s="36">
        <f t="shared" si="0"/>
        <v>0</v>
      </c>
      <c r="F13" s="37">
        <f>A!AI14</f>
        <v>0</v>
      </c>
      <c r="G13" s="37">
        <f>A!AI38</f>
        <v>0</v>
      </c>
      <c r="H13" s="37">
        <f>A!AI62</f>
        <v>0</v>
      </c>
      <c r="I13" s="37">
        <f>A!AI86</f>
        <v>0</v>
      </c>
      <c r="J13" s="37">
        <f>A!AI110</f>
        <v>0</v>
      </c>
      <c r="K13" s="37">
        <f>A!AI134</f>
        <v>0</v>
      </c>
      <c r="L13" s="37">
        <f>A!AI158</f>
        <v>0</v>
      </c>
      <c r="M13" s="37">
        <f>A!AI182</f>
        <v>0</v>
      </c>
      <c r="N13" s="37">
        <f>A!AI206</f>
        <v>0</v>
      </c>
      <c r="O13" s="37">
        <f>A!AI230</f>
        <v>0</v>
      </c>
      <c r="P13" s="37">
        <f>A!AI254</f>
        <v>0</v>
      </c>
      <c r="Q13" s="37">
        <f>A!AI278</f>
        <v>0</v>
      </c>
      <c r="R13" s="33">
        <f t="shared" si="4"/>
        <v>0</v>
      </c>
      <c r="S13" s="38">
        <f t="shared" si="5"/>
        <v>0</v>
      </c>
      <c r="U13" s="37">
        <f>A!AH14</f>
        <v>0</v>
      </c>
      <c r="V13" s="37">
        <f>A!AH38</f>
        <v>0</v>
      </c>
      <c r="W13" s="37">
        <f>A!AH62</f>
        <v>0</v>
      </c>
      <c r="X13" s="37">
        <f>A!AH86</f>
        <v>0</v>
      </c>
      <c r="Y13" s="37">
        <f>A!AH110</f>
        <v>0</v>
      </c>
      <c r="Z13" s="37">
        <f>A!AH134</f>
        <v>0</v>
      </c>
      <c r="AA13" s="37">
        <f>A!AH158</f>
        <v>0</v>
      </c>
      <c r="AB13" s="37">
        <f>A!AH182</f>
        <v>0</v>
      </c>
      <c r="AC13" s="37">
        <f>A!AH206</f>
        <v>0</v>
      </c>
      <c r="AD13" s="37">
        <f>A!AH230</f>
        <v>0</v>
      </c>
      <c r="AE13" s="37">
        <f>A!AH254</f>
        <v>0</v>
      </c>
      <c r="AF13" s="37">
        <f>A!AH278</f>
        <v>0</v>
      </c>
      <c r="AG13" s="12">
        <f t="shared" si="6"/>
        <v>0</v>
      </c>
      <c r="AH13" s="38">
        <f t="shared" si="7"/>
        <v>16</v>
      </c>
    </row>
    <row r="14" spans="1:34" ht="20.100000000000001" hidden="1" customHeight="1">
      <c r="A14" s="15" t="s">
        <v>46</v>
      </c>
      <c r="B14" s="12"/>
      <c r="C14" s="12"/>
      <c r="D14" s="12"/>
      <c r="E14" s="36">
        <f t="shared" si="0"/>
        <v>0</v>
      </c>
      <c r="F14" s="37">
        <f>A!AI15</f>
        <v>0</v>
      </c>
      <c r="G14" s="37">
        <f>A!AI39</f>
        <v>0</v>
      </c>
      <c r="H14" s="37">
        <f>A!AI63</f>
        <v>0</v>
      </c>
      <c r="I14" s="37">
        <f>A!AI87</f>
        <v>0</v>
      </c>
      <c r="J14" s="37">
        <f>A!AI111</f>
        <v>0</v>
      </c>
      <c r="K14" s="37">
        <f>A!AI135</f>
        <v>0</v>
      </c>
      <c r="L14" s="37">
        <f>A!AI159</f>
        <v>0</v>
      </c>
      <c r="M14" s="37">
        <f>A!AI183</f>
        <v>0</v>
      </c>
      <c r="N14" s="37">
        <f>A!AI207</f>
        <v>0</v>
      </c>
      <c r="O14" s="37">
        <f>A!AI231</f>
        <v>0</v>
      </c>
      <c r="P14" s="37">
        <f>A!AI255</f>
        <v>0</v>
      </c>
      <c r="Q14" s="37">
        <f>A!AI279</f>
        <v>0</v>
      </c>
      <c r="R14" s="33">
        <f t="shared" si="4"/>
        <v>0</v>
      </c>
      <c r="S14" s="38">
        <f t="shared" si="5"/>
        <v>0</v>
      </c>
      <c r="U14" s="37">
        <f>A!AH15</f>
        <v>0</v>
      </c>
      <c r="V14" s="37">
        <f>A!AH39</f>
        <v>0</v>
      </c>
      <c r="W14" s="37">
        <f>A!AH63</f>
        <v>0</v>
      </c>
      <c r="X14" s="37">
        <f>A!AH87</f>
        <v>0</v>
      </c>
      <c r="Y14" s="37">
        <f>A!AH111</f>
        <v>0</v>
      </c>
      <c r="Z14" s="37">
        <f>A!AH135</f>
        <v>0</v>
      </c>
      <c r="AA14" s="37">
        <f>A!AH159</f>
        <v>0</v>
      </c>
      <c r="AB14" s="37">
        <f>A!AH183</f>
        <v>0</v>
      </c>
      <c r="AC14" s="37">
        <f>A!AH207</f>
        <v>0</v>
      </c>
      <c r="AD14" s="37">
        <f>A!AH231</f>
        <v>0</v>
      </c>
      <c r="AE14" s="37">
        <f>A!AH255</f>
        <v>0</v>
      </c>
      <c r="AF14" s="37">
        <f>A!AH279</f>
        <v>0</v>
      </c>
      <c r="AG14" s="12">
        <f t="shared" si="6"/>
        <v>0</v>
      </c>
      <c r="AH14" s="38">
        <f t="shared" si="7"/>
        <v>16</v>
      </c>
    </row>
    <row r="15" spans="1:34" ht="20.100000000000001" hidden="1" customHeight="1">
      <c r="A15" s="15" t="s">
        <v>47</v>
      </c>
      <c r="B15" s="12"/>
      <c r="C15" s="12"/>
      <c r="D15" s="12"/>
      <c r="E15" s="36">
        <f t="shared" si="0"/>
        <v>0</v>
      </c>
      <c r="F15" s="37">
        <f>A!AI16</f>
        <v>0</v>
      </c>
      <c r="G15" s="37">
        <f>A!AI40</f>
        <v>0</v>
      </c>
      <c r="H15" s="37">
        <f>A!AI64</f>
        <v>0</v>
      </c>
      <c r="I15" s="37">
        <f>A!AI88</f>
        <v>0</v>
      </c>
      <c r="J15" s="37">
        <f>A!AI112</f>
        <v>0</v>
      </c>
      <c r="K15" s="37">
        <f>A!AI136</f>
        <v>0</v>
      </c>
      <c r="L15" s="37">
        <f>A!AI160</f>
        <v>0</v>
      </c>
      <c r="M15" s="37">
        <f>A!AI184</f>
        <v>0</v>
      </c>
      <c r="N15" s="37">
        <f>A!AI208</f>
        <v>0</v>
      </c>
      <c r="O15" s="37">
        <f>A!AI232</f>
        <v>0</v>
      </c>
      <c r="P15" s="37">
        <f>A!AI256</f>
        <v>0</v>
      </c>
      <c r="Q15" s="37">
        <f>A!AI280</f>
        <v>0</v>
      </c>
      <c r="R15" s="33">
        <f t="shared" si="4"/>
        <v>0</v>
      </c>
      <c r="S15" s="38">
        <f t="shared" si="5"/>
        <v>0</v>
      </c>
      <c r="U15" s="37">
        <f>A!AH16</f>
        <v>0</v>
      </c>
      <c r="V15" s="37">
        <f>A!AH40</f>
        <v>0</v>
      </c>
      <c r="W15" s="37">
        <f>A!AH64</f>
        <v>0</v>
      </c>
      <c r="X15" s="37">
        <f>A!AH88</f>
        <v>0</v>
      </c>
      <c r="Y15" s="37">
        <f>A!AH112</f>
        <v>0</v>
      </c>
      <c r="Z15" s="37">
        <f>A!AH136</f>
        <v>0</v>
      </c>
      <c r="AA15" s="37">
        <f>A!AH160</f>
        <v>0</v>
      </c>
      <c r="AB15" s="37">
        <f>A!AH184</f>
        <v>0</v>
      </c>
      <c r="AC15" s="37">
        <f>A!AH208</f>
        <v>0</v>
      </c>
      <c r="AD15" s="37">
        <f>A!AH232</f>
        <v>0</v>
      </c>
      <c r="AE15" s="37">
        <f>A!AH256</f>
        <v>0</v>
      </c>
      <c r="AF15" s="37">
        <f>A!AH280</f>
        <v>0</v>
      </c>
      <c r="AG15" s="12">
        <f t="shared" si="6"/>
        <v>0</v>
      </c>
      <c r="AH15" s="38">
        <f t="shared" si="7"/>
        <v>16</v>
      </c>
    </row>
    <row r="16" spans="1:34" ht="20.100000000000001" hidden="1" customHeight="1">
      <c r="A16" s="15" t="s">
        <v>48</v>
      </c>
      <c r="B16" s="12"/>
      <c r="C16" s="12"/>
      <c r="D16" s="12"/>
      <c r="E16" s="36">
        <f t="shared" si="0"/>
        <v>0</v>
      </c>
      <c r="F16" s="37">
        <f>A!AI17</f>
        <v>0</v>
      </c>
      <c r="G16" s="37">
        <f>A!AI41</f>
        <v>0</v>
      </c>
      <c r="H16" s="37">
        <f>A!AI65</f>
        <v>0</v>
      </c>
      <c r="I16" s="37">
        <f>A!AI89</f>
        <v>0</v>
      </c>
      <c r="J16" s="37">
        <f>A!AI113</f>
        <v>0</v>
      </c>
      <c r="K16" s="37">
        <f>A!AI137</f>
        <v>0</v>
      </c>
      <c r="L16" s="37">
        <f>A!AI161</f>
        <v>0</v>
      </c>
      <c r="M16" s="37">
        <f>A!AI185</f>
        <v>0</v>
      </c>
      <c r="N16" s="37">
        <f>A!AI209</f>
        <v>0</v>
      </c>
      <c r="O16" s="37">
        <f>A!AI233</f>
        <v>0</v>
      </c>
      <c r="P16" s="37">
        <f>A!AI257</f>
        <v>0</v>
      </c>
      <c r="Q16" s="37">
        <f>A!AI281</f>
        <v>0</v>
      </c>
      <c r="R16" s="33">
        <f t="shared" si="4"/>
        <v>0</v>
      </c>
      <c r="S16" s="38">
        <f t="shared" si="5"/>
        <v>0</v>
      </c>
      <c r="U16" s="37">
        <f>A!AH17</f>
        <v>0</v>
      </c>
      <c r="V16" s="37">
        <f>A!AH41</f>
        <v>0</v>
      </c>
      <c r="W16" s="37">
        <f>A!AH65</f>
        <v>0</v>
      </c>
      <c r="X16" s="37">
        <f>A!AH89</f>
        <v>0</v>
      </c>
      <c r="Y16" s="37">
        <f>A!AH113</f>
        <v>0</v>
      </c>
      <c r="Z16" s="37">
        <f>A!AH137</f>
        <v>0</v>
      </c>
      <c r="AA16" s="37">
        <f>A!AH161</f>
        <v>0</v>
      </c>
      <c r="AB16" s="37">
        <f>A!AH185</f>
        <v>0</v>
      </c>
      <c r="AC16" s="37">
        <f>A!AH209</f>
        <v>0</v>
      </c>
      <c r="AD16" s="37">
        <f>A!AH233</f>
        <v>0</v>
      </c>
      <c r="AE16" s="37">
        <f>A!AH257</f>
        <v>0</v>
      </c>
      <c r="AF16" s="37">
        <f>A!AH281</f>
        <v>0</v>
      </c>
      <c r="AG16" s="12">
        <f t="shared" si="6"/>
        <v>0</v>
      </c>
      <c r="AH16" s="38">
        <f t="shared" si="7"/>
        <v>16</v>
      </c>
    </row>
    <row r="17" spans="1:34" ht="20.100000000000001" hidden="1" customHeight="1">
      <c r="A17" s="15" t="s">
        <v>43</v>
      </c>
      <c r="B17" s="12"/>
      <c r="C17" s="12"/>
      <c r="D17" s="12"/>
      <c r="E17" s="36">
        <f>SUM(B17:D17)</f>
        <v>0</v>
      </c>
      <c r="F17" s="37">
        <f>A!AI18</f>
        <v>0</v>
      </c>
      <c r="G17" s="37">
        <f>A!AI42</f>
        <v>0</v>
      </c>
      <c r="H17" s="37">
        <f>A!AI66</f>
        <v>0</v>
      </c>
      <c r="I17" s="37">
        <f>A!AI90</f>
        <v>0</v>
      </c>
      <c r="J17" s="37">
        <f>A!AI114</f>
        <v>0</v>
      </c>
      <c r="K17" s="37">
        <f>A!AI138</f>
        <v>0</v>
      </c>
      <c r="L17" s="37">
        <f>A!AI162</f>
        <v>0</v>
      </c>
      <c r="M17" s="37">
        <f>A!AI186</f>
        <v>0</v>
      </c>
      <c r="N17" s="37">
        <f>A!AI210</f>
        <v>0</v>
      </c>
      <c r="O17" s="37">
        <f>A!AI234</f>
        <v>0</v>
      </c>
      <c r="P17" s="37">
        <f>A!AI258</f>
        <v>0</v>
      </c>
      <c r="Q17" s="37">
        <f>A!AI282</f>
        <v>0</v>
      </c>
      <c r="R17" s="33">
        <f t="shared" si="4"/>
        <v>0</v>
      </c>
      <c r="S17" s="38">
        <f t="shared" si="5"/>
        <v>0</v>
      </c>
      <c r="U17" s="37">
        <f>A!AH18</f>
        <v>0</v>
      </c>
      <c r="V17" s="37">
        <f>A!AH42</f>
        <v>0</v>
      </c>
      <c r="W17" s="37">
        <f>A!AH66</f>
        <v>0</v>
      </c>
      <c r="X17" s="37">
        <f>A!AH90</f>
        <v>0</v>
      </c>
      <c r="Y17" s="37">
        <f>A!AH114</f>
        <v>0</v>
      </c>
      <c r="Z17" s="37">
        <f>A!AH138</f>
        <v>0</v>
      </c>
      <c r="AA17" s="37">
        <f>A!AH162</f>
        <v>0</v>
      </c>
      <c r="AB17" s="37">
        <f>A!AH186</f>
        <v>0</v>
      </c>
      <c r="AC17" s="37">
        <f>A!AH210</f>
        <v>0</v>
      </c>
      <c r="AD17" s="37">
        <f>A!AH234</f>
        <v>0</v>
      </c>
      <c r="AE17" s="37">
        <f>A!AH258</f>
        <v>0</v>
      </c>
      <c r="AF17" s="37">
        <f>A!AH282</f>
        <v>0</v>
      </c>
      <c r="AG17" s="12">
        <f t="shared" si="6"/>
        <v>0</v>
      </c>
      <c r="AH17" s="38">
        <f t="shared" si="7"/>
        <v>16</v>
      </c>
    </row>
    <row r="18" spans="1:34" ht="20.100000000000001" hidden="1" customHeight="1">
      <c r="A18" s="15" t="s">
        <v>57</v>
      </c>
      <c r="B18" s="12"/>
      <c r="C18" s="12"/>
      <c r="D18" s="12"/>
      <c r="E18" s="36">
        <f t="shared" ref="E18:E22" si="8">SUM(B18:D18)</f>
        <v>0</v>
      </c>
      <c r="F18" s="37">
        <f>A!AI19</f>
        <v>0</v>
      </c>
      <c r="G18" s="37">
        <f>A!AI43</f>
        <v>0</v>
      </c>
      <c r="H18" s="37">
        <f>A!AI67</f>
        <v>0</v>
      </c>
      <c r="I18" s="37">
        <f>A!AI91</f>
        <v>0</v>
      </c>
      <c r="J18" s="37">
        <f>A!AI115</f>
        <v>0</v>
      </c>
      <c r="K18" s="37">
        <f>A!AI139</f>
        <v>0</v>
      </c>
      <c r="L18" s="37">
        <f>A!AI163</f>
        <v>0</v>
      </c>
      <c r="M18" s="37">
        <f>A!AI187</f>
        <v>0</v>
      </c>
      <c r="N18" s="37">
        <f>A!AI211</f>
        <v>0</v>
      </c>
      <c r="O18" s="37">
        <f>A!AI235</f>
        <v>0</v>
      </c>
      <c r="P18" s="37">
        <f>A!AI259</f>
        <v>0</v>
      </c>
      <c r="Q18" s="37">
        <f>A!AI283</f>
        <v>0</v>
      </c>
      <c r="R18" s="33">
        <f t="shared" si="4"/>
        <v>0</v>
      </c>
      <c r="S18" s="38">
        <f t="shared" si="5"/>
        <v>0</v>
      </c>
      <c r="U18" s="37">
        <f>A!AH19</f>
        <v>0</v>
      </c>
      <c r="V18" s="37">
        <f>A!AH43</f>
        <v>0</v>
      </c>
      <c r="W18" s="37">
        <f>A!AH67</f>
        <v>0</v>
      </c>
      <c r="X18" s="37">
        <f>A!AH91</f>
        <v>0</v>
      </c>
      <c r="Y18" s="37">
        <f>A!AH115</f>
        <v>0</v>
      </c>
      <c r="Z18" s="37">
        <f>A!AH139</f>
        <v>0</v>
      </c>
      <c r="AA18" s="37">
        <f>A!AH163</f>
        <v>0</v>
      </c>
      <c r="AB18" s="37">
        <f>A!AH187</f>
        <v>0</v>
      </c>
      <c r="AC18" s="37">
        <f>A!AH211</f>
        <v>0</v>
      </c>
      <c r="AD18" s="37">
        <f>A!AH235</f>
        <v>0</v>
      </c>
      <c r="AE18" s="37">
        <f>A!AH259</f>
        <v>0</v>
      </c>
      <c r="AF18" s="37">
        <f>A!AH283</f>
        <v>0</v>
      </c>
      <c r="AG18" s="12">
        <f t="shared" si="6"/>
        <v>0</v>
      </c>
      <c r="AH18" s="38">
        <f t="shared" si="7"/>
        <v>16</v>
      </c>
    </row>
    <row r="19" spans="1:34" ht="20.100000000000001" hidden="1" customHeight="1">
      <c r="A19" s="15" t="s">
        <v>58</v>
      </c>
      <c r="B19" s="12"/>
      <c r="C19" s="12"/>
      <c r="D19" s="12"/>
      <c r="E19" s="36">
        <f t="shared" si="8"/>
        <v>0</v>
      </c>
      <c r="F19" s="37">
        <f>A!AI20</f>
        <v>0</v>
      </c>
      <c r="G19" s="37">
        <f>A!AI44</f>
        <v>0</v>
      </c>
      <c r="H19" s="37">
        <f>A!AI68</f>
        <v>0</v>
      </c>
      <c r="I19" s="37">
        <f>A!AI92</f>
        <v>0</v>
      </c>
      <c r="J19" s="37">
        <f>A!AI116</f>
        <v>0</v>
      </c>
      <c r="K19" s="37">
        <f>A!AI140</f>
        <v>0</v>
      </c>
      <c r="L19" s="37">
        <f>A!AI164</f>
        <v>0</v>
      </c>
      <c r="M19" s="37">
        <f>A!AI188</f>
        <v>0</v>
      </c>
      <c r="N19" s="37">
        <f>A!AI212</f>
        <v>0</v>
      </c>
      <c r="O19" s="37">
        <f>A!AI236</f>
        <v>0</v>
      </c>
      <c r="P19" s="37">
        <f>A!AI260</f>
        <v>0</v>
      </c>
      <c r="Q19" s="37">
        <f>A!AI284</f>
        <v>0</v>
      </c>
      <c r="R19" s="33">
        <f t="shared" si="4"/>
        <v>0</v>
      </c>
      <c r="S19" s="38">
        <f t="shared" si="5"/>
        <v>0</v>
      </c>
      <c r="U19" s="37">
        <f>A!AH20</f>
        <v>0</v>
      </c>
      <c r="V19" s="37">
        <f>A!AH44</f>
        <v>0</v>
      </c>
      <c r="W19" s="37">
        <f>A!AH68</f>
        <v>0</v>
      </c>
      <c r="X19" s="37">
        <f>A!AH92</f>
        <v>0</v>
      </c>
      <c r="Y19" s="37">
        <f>A!AH116</f>
        <v>0</v>
      </c>
      <c r="Z19" s="37">
        <f>A!AH140</f>
        <v>0</v>
      </c>
      <c r="AA19" s="37">
        <f>A!AH164</f>
        <v>0</v>
      </c>
      <c r="AB19" s="37">
        <f>A!AH188</f>
        <v>0</v>
      </c>
      <c r="AC19" s="37">
        <f>A!AH212</f>
        <v>0</v>
      </c>
      <c r="AD19" s="37">
        <f>A!AH236</f>
        <v>0</v>
      </c>
      <c r="AE19" s="37">
        <f>A!AH260</f>
        <v>0</v>
      </c>
      <c r="AF19" s="37">
        <f>A!AH284</f>
        <v>0</v>
      </c>
      <c r="AG19" s="12">
        <f t="shared" si="6"/>
        <v>0</v>
      </c>
      <c r="AH19" s="38">
        <f t="shared" si="7"/>
        <v>16</v>
      </c>
    </row>
    <row r="20" spans="1:34" ht="20.100000000000001" hidden="1" customHeight="1">
      <c r="A20" s="15" t="s">
        <v>59</v>
      </c>
      <c r="B20" s="12"/>
      <c r="C20" s="12"/>
      <c r="D20" s="12"/>
      <c r="E20" s="36">
        <f t="shared" si="8"/>
        <v>0</v>
      </c>
      <c r="F20" s="37">
        <f>A!AI21</f>
        <v>0</v>
      </c>
      <c r="G20" s="37">
        <f>A!AI45</f>
        <v>0</v>
      </c>
      <c r="H20" s="37">
        <f>A!AI69</f>
        <v>0</v>
      </c>
      <c r="I20" s="37">
        <f>A!AI93</f>
        <v>0</v>
      </c>
      <c r="J20" s="37">
        <f>A!AI117</f>
        <v>0</v>
      </c>
      <c r="K20" s="37">
        <f>A!AI141</f>
        <v>0</v>
      </c>
      <c r="L20" s="37">
        <f>A!AI165</f>
        <v>0</v>
      </c>
      <c r="M20" s="37">
        <f>A!AI189</f>
        <v>0</v>
      </c>
      <c r="N20" s="37">
        <f>A!AI213</f>
        <v>0</v>
      </c>
      <c r="O20" s="37">
        <f>A!AI237</f>
        <v>0</v>
      </c>
      <c r="P20" s="37">
        <f>A!AI261</f>
        <v>0</v>
      </c>
      <c r="Q20" s="37">
        <f>A!AI285</f>
        <v>0</v>
      </c>
      <c r="R20" s="33">
        <f t="shared" si="4"/>
        <v>0</v>
      </c>
      <c r="S20" s="38">
        <f t="shared" si="5"/>
        <v>0</v>
      </c>
      <c r="U20" s="37">
        <f>A!AH21</f>
        <v>0</v>
      </c>
      <c r="V20" s="37">
        <f>A!AH45</f>
        <v>0</v>
      </c>
      <c r="W20" s="37">
        <f>A!AH69</f>
        <v>0</v>
      </c>
      <c r="X20" s="37">
        <f>A!AH93</f>
        <v>0</v>
      </c>
      <c r="Y20" s="37">
        <f>A!AH117</f>
        <v>0</v>
      </c>
      <c r="Z20" s="37">
        <f>A!AH141</f>
        <v>0</v>
      </c>
      <c r="AA20" s="37">
        <f>A!AH165</f>
        <v>0</v>
      </c>
      <c r="AB20" s="37">
        <f>A!AH189</f>
        <v>0</v>
      </c>
      <c r="AC20" s="37">
        <f>A!AH213</f>
        <v>0</v>
      </c>
      <c r="AD20" s="37">
        <f>A!AH237</f>
        <v>0</v>
      </c>
      <c r="AE20" s="37">
        <f>A!AH261</f>
        <v>0</v>
      </c>
      <c r="AF20" s="37">
        <f>A!AH285</f>
        <v>0</v>
      </c>
      <c r="AG20" s="12">
        <f t="shared" si="6"/>
        <v>0</v>
      </c>
      <c r="AH20" s="38">
        <f t="shared" si="7"/>
        <v>16</v>
      </c>
    </row>
    <row r="21" spans="1:34" ht="20.100000000000001" hidden="1" customHeight="1">
      <c r="A21" s="15" t="s">
        <v>60</v>
      </c>
      <c r="B21" s="12"/>
      <c r="C21" s="12"/>
      <c r="D21" s="12"/>
      <c r="E21" s="36">
        <f t="shared" si="8"/>
        <v>0</v>
      </c>
      <c r="F21" s="37">
        <f>A!AI22</f>
        <v>0</v>
      </c>
      <c r="G21" s="37">
        <f>A!AI46</f>
        <v>0</v>
      </c>
      <c r="H21" s="37">
        <f>A!AI70</f>
        <v>0</v>
      </c>
      <c r="I21" s="37">
        <f>A!AI94</f>
        <v>0</v>
      </c>
      <c r="J21" s="37">
        <f>A!AI118</f>
        <v>0</v>
      </c>
      <c r="K21" s="37">
        <f>A!AI142</f>
        <v>0</v>
      </c>
      <c r="L21" s="37">
        <f>A!AI166</f>
        <v>0</v>
      </c>
      <c r="M21" s="37">
        <f>A!AI190</f>
        <v>0</v>
      </c>
      <c r="N21" s="37">
        <f>A!AI214</f>
        <v>0</v>
      </c>
      <c r="O21" s="37">
        <f>A!AI238</f>
        <v>0</v>
      </c>
      <c r="P21" s="37">
        <f>A!AI262</f>
        <v>0</v>
      </c>
      <c r="Q21" s="37">
        <f>A!AI286</f>
        <v>0</v>
      </c>
      <c r="R21" s="33">
        <f t="shared" si="4"/>
        <v>0</v>
      </c>
      <c r="S21" s="38">
        <f t="shared" si="5"/>
        <v>0</v>
      </c>
      <c r="U21" s="37">
        <f>A!AH22</f>
        <v>0</v>
      </c>
      <c r="V21" s="37">
        <f>A!AH46</f>
        <v>0</v>
      </c>
      <c r="W21" s="37">
        <f>A!AH70</f>
        <v>0</v>
      </c>
      <c r="X21" s="37">
        <f>A!AH94</f>
        <v>0</v>
      </c>
      <c r="Y21" s="37">
        <f>A!AH118</f>
        <v>0</v>
      </c>
      <c r="Z21" s="37">
        <f>A!AH142</f>
        <v>0</v>
      </c>
      <c r="AA21" s="37">
        <f>A!AH166</f>
        <v>0</v>
      </c>
      <c r="AB21" s="37">
        <f>A!AH190</f>
        <v>0</v>
      </c>
      <c r="AC21" s="37">
        <f>A!AH214</f>
        <v>0</v>
      </c>
      <c r="AD21" s="37">
        <f>A!AH238</f>
        <v>0</v>
      </c>
      <c r="AE21" s="37">
        <f>A!AH262</f>
        <v>0</v>
      </c>
      <c r="AF21" s="37">
        <f>A!AH286</f>
        <v>0</v>
      </c>
      <c r="AG21" s="12">
        <f t="shared" si="6"/>
        <v>0</v>
      </c>
      <c r="AH21" s="38">
        <f t="shared" si="7"/>
        <v>16</v>
      </c>
    </row>
    <row r="22" spans="1:34" ht="20.100000000000001" hidden="1" customHeight="1">
      <c r="A22" s="15" t="s">
        <v>61</v>
      </c>
      <c r="B22" s="12"/>
      <c r="C22" s="12"/>
      <c r="D22" s="12"/>
      <c r="E22" s="36">
        <f t="shared" si="8"/>
        <v>0</v>
      </c>
      <c r="F22" s="37">
        <f>A!AI23</f>
        <v>0</v>
      </c>
      <c r="G22" s="37">
        <f>A!AI47</f>
        <v>0</v>
      </c>
      <c r="H22" s="37">
        <f>A!AI71</f>
        <v>0</v>
      </c>
      <c r="I22" s="37">
        <f>A!AI95</f>
        <v>0</v>
      </c>
      <c r="J22" s="37">
        <f>A!AI119</f>
        <v>0</v>
      </c>
      <c r="K22" s="37">
        <f>A!AI143</f>
        <v>0</v>
      </c>
      <c r="L22" s="37">
        <f>A!AI167</f>
        <v>0</v>
      </c>
      <c r="M22" s="37">
        <f>A!AI191</f>
        <v>0</v>
      </c>
      <c r="N22" s="37">
        <f>A!AI215</f>
        <v>0</v>
      </c>
      <c r="O22" s="37">
        <f>A!AI239</f>
        <v>0</v>
      </c>
      <c r="P22" s="37">
        <f>A!AI263</f>
        <v>0</v>
      </c>
      <c r="Q22" s="37">
        <f>A!AI287</f>
        <v>0</v>
      </c>
      <c r="R22" s="33">
        <f t="shared" si="4"/>
        <v>0</v>
      </c>
      <c r="S22" s="38">
        <f t="shared" si="5"/>
        <v>0</v>
      </c>
      <c r="U22" s="37">
        <f>A!AH23</f>
        <v>0</v>
      </c>
      <c r="V22" s="37">
        <f>A!AH47</f>
        <v>0</v>
      </c>
      <c r="W22" s="37">
        <f>A!AH71</f>
        <v>0</v>
      </c>
      <c r="X22" s="37">
        <f>A!AH95</f>
        <v>0</v>
      </c>
      <c r="Y22" s="37">
        <f>A!AH119</f>
        <v>0</v>
      </c>
      <c r="Z22" s="37">
        <f>A!AH143</f>
        <v>0</v>
      </c>
      <c r="AA22" s="37">
        <f>A!AH167</f>
        <v>0</v>
      </c>
      <c r="AB22" s="37">
        <f>A!AH191</f>
        <v>0</v>
      </c>
      <c r="AC22" s="37">
        <f>A!AH215</f>
        <v>0</v>
      </c>
      <c r="AD22" s="37">
        <f>A!AH239</f>
        <v>0</v>
      </c>
      <c r="AE22" s="37">
        <f>A!AH263</f>
        <v>0</v>
      </c>
      <c r="AF22" s="37">
        <f>A!AH287</f>
        <v>0</v>
      </c>
      <c r="AG22" s="12">
        <f t="shared" si="6"/>
        <v>0</v>
      </c>
      <c r="AH22" s="38">
        <f t="shared" si="7"/>
        <v>16</v>
      </c>
    </row>
    <row r="23" spans="1:34" ht="20.100000000000001" customHeight="1"/>
    <row r="24" spans="1:34" ht="20.100000000000001" customHeight="1">
      <c r="A24" s="40" t="s">
        <v>40</v>
      </c>
      <c r="B24" s="41" t="s">
        <v>21</v>
      </c>
      <c r="C24" s="42" t="s">
        <v>41</v>
      </c>
      <c r="D24" s="41">
        <v>2021</v>
      </c>
      <c r="E24" s="32" t="s">
        <v>22</v>
      </c>
      <c r="F24" s="33" t="s">
        <v>23</v>
      </c>
      <c r="G24" s="33" t="s">
        <v>25</v>
      </c>
      <c r="H24" s="33" t="s">
        <v>27</v>
      </c>
      <c r="I24" s="33" t="s">
        <v>29</v>
      </c>
      <c r="J24" s="33" t="s">
        <v>30</v>
      </c>
      <c r="K24" s="33" t="s">
        <v>32</v>
      </c>
      <c r="L24" s="33" t="s">
        <v>33</v>
      </c>
      <c r="M24" s="33" t="s">
        <v>34</v>
      </c>
      <c r="N24" s="33" t="s">
        <v>35</v>
      </c>
      <c r="O24" s="33" t="s">
        <v>2</v>
      </c>
      <c r="P24" s="33" t="s">
        <v>36</v>
      </c>
      <c r="Q24" s="33" t="s">
        <v>37</v>
      </c>
      <c r="R24" s="41" t="s">
        <v>39</v>
      </c>
      <c r="S24" s="34" t="s">
        <v>38</v>
      </c>
      <c r="U24" s="33" t="s">
        <v>23</v>
      </c>
      <c r="V24" s="33" t="s">
        <v>24</v>
      </c>
      <c r="W24" s="33" t="s">
        <v>26</v>
      </c>
      <c r="X24" s="33" t="s">
        <v>28</v>
      </c>
      <c r="Y24" s="33" t="s">
        <v>1</v>
      </c>
      <c r="Z24" s="33" t="s">
        <v>31</v>
      </c>
      <c r="AA24" s="33" t="s">
        <v>33</v>
      </c>
      <c r="AB24" s="33" t="s">
        <v>34</v>
      </c>
      <c r="AC24" s="33" t="s">
        <v>35</v>
      </c>
      <c r="AD24" s="33" t="s">
        <v>2</v>
      </c>
      <c r="AE24" s="33" t="s">
        <v>36</v>
      </c>
      <c r="AF24" s="33" t="s">
        <v>37</v>
      </c>
      <c r="AG24" s="41" t="s">
        <v>18</v>
      </c>
      <c r="AH24" s="34" t="s">
        <v>38</v>
      </c>
    </row>
    <row r="25" spans="1:34" ht="20.100000000000001" customHeight="1">
      <c r="A25" s="40"/>
      <c r="B25" s="41"/>
      <c r="C25" s="42"/>
      <c r="D25" s="41"/>
      <c r="E25" s="32"/>
      <c r="F25" s="33" t="s">
        <v>20</v>
      </c>
      <c r="G25" s="33" t="s">
        <v>20</v>
      </c>
      <c r="H25" s="33" t="s">
        <v>20</v>
      </c>
      <c r="I25" s="33" t="s">
        <v>20</v>
      </c>
      <c r="J25" s="33" t="s">
        <v>20</v>
      </c>
      <c r="K25" s="33" t="s">
        <v>20</v>
      </c>
      <c r="L25" s="33" t="s">
        <v>20</v>
      </c>
      <c r="M25" s="33" t="s">
        <v>20</v>
      </c>
      <c r="N25" s="33" t="s">
        <v>20</v>
      </c>
      <c r="O25" s="33" t="s">
        <v>20</v>
      </c>
      <c r="P25" s="33" t="s">
        <v>20</v>
      </c>
      <c r="Q25" s="33" t="s">
        <v>20</v>
      </c>
      <c r="R25" s="41"/>
      <c r="S25" s="34" t="s">
        <v>20</v>
      </c>
      <c r="U25" s="33" t="s">
        <v>18</v>
      </c>
      <c r="V25" s="33" t="s">
        <v>18</v>
      </c>
      <c r="W25" s="33" t="s">
        <v>18</v>
      </c>
      <c r="X25" s="33" t="s">
        <v>18</v>
      </c>
      <c r="Y25" s="33" t="s">
        <v>18</v>
      </c>
      <c r="Z25" s="33" t="s">
        <v>18</v>
      </c>
      <c r="AA25" s="33" t="s">
        <v>18</v>
      </c>
      <c r="AB25" s="33" t="s">
        <v>18</v>
      </c>
      <c r="AC25" s="33" t="s">
        <v>18</v>
      </c>
      <c r="AD25" s="33" t="s">
        <v>18</v>
      </c>
      <c r="AE25" s="33" t="s">
        <v>18</v>
      </c>
      <c r="AF25" s="33" t="s">
        <v>18</v>
      </c>
      <c r="AG25" s="41"/>
      <c r="AH25" s="34" t="s">
        <v>18</v>
      </c>
    </row>
    <row r="26" spans="1:34" ht="20.100000000000001" customHeight="1">
      <c r="A26" s="15" t="s">
        <v>71</v>
      </c>
      <c r="B26" s="12"/>
      <c r="C26" s="12"/>
      <c r="D26" s="12"/>
      <c r="E26" s="36">
        <f t="shared" ref="E26:E45" si="9">SUM(B26:D26)</f>
        <v>0</v>
      </c>
      <c r="F26" s="37" t="e">
        <f>#REF!</f>
        <v>#REF!</v>
      </c>
      <c r="G26" s="37" t="e">
        <f>#REF!</f>
        <v>#REF!</v>
      </c>
      <c r="H26" s="37" t="e">
        <f>#REF!</f>
        <v>#REF!</v>
      </c>
      <c r="I26" s="37" t="e">
        <f>#REF!</f>
        <v>#REF!</v>
      </c>
      <c r="J26" s="37" t="e">
        <f>#REF!</f>
        <v>#REF!</v>
      </c>
      <c r="K26" s="37" t="e">
        <f>#REF!</f>
        <v>#REF!</v>
      </c>
      <c r="L26" s="37" t="e">
        <f>#REF!</f>
        <v>#REF!</v>
      </c>
      <c r="M26" s="37" t="e">
        <f>#REF!</f>
        <v>#REF!</v>
      </c>
      <c r="N26" s="37" t="e">
        <f>#REF!</f>
        <v>#REF!</v>
      </c>
      <c r="O26" s="37" t="e">
        <f>#REF!</f>
        <v>#REF!</v>
      </c>
      <c r="P26" s="37" t="e">
        <f>#REF!</f>
        <v>#REF!</v>
      </c>
      <c r="Q26" s="37" t="e">
        <f>#REF!</f>
        <v>#REF!</v>
      </c>
      <c r="R26" s="33" t="e">
        <f t="shared" ref="R26" si="10">SUM(F26+G26+H26+I26+J26+K26+L26+M26+N26+O26+P26+Q26)</f>
        <v>#REF!</v>
      </c>
      <c r="S26" s="38" t="e">
        <f t="shared" ref="S26" si="11">SUM(E26-R26)</f>
        <v>#REF!</v>
      </c>
      <c r="U26" s="37" t="e">
        <f>#REF!</f>
        <v>#REF!</v>
      </c>
      <c r="V26" s="37" t="e">
        <f>#REF!</f>
        <v>#REF!</v>
      </c>
      <c r="W26" s="37" t="e">
        <f>#REF!</f>
        <v>#REF!</v>
      </c>
      <c r="X26" s="37" t="e">
        <f>#REF!</f>
        <v>#REF!</v>
      </c>
      <c r="Y26" s="37" t="e">
        <f>#REF!</f>
        <v>#REF!</v>
      </c>
      <c r="Z26" s="37" t="e">
        <f>#REF!</f>
        <v>#REF!</v>
      </c>
      <c r="AA26" s="37" t="e">
        <f>#REF!</f>
        <v>#REF!</v>
      </c>
      <c r="AB26" s="37" t="e">
        <f>#REF!</f>
        <v>#REF!</v>
      </c>
      <c r="AC26" s="37" t="e">
        <f>#REF!</f>
        <v>#REF!</v>
      </c>
      <c r="AD26" s="37" t="e">
        <f>#REF!</f>
        <v>#REF!</v>
      </c>
      <c r="AE26" s="37" t="e">
        <f>#REF!</f>
        <v>#REF!</v>
      </c>
      <c r="AF26" s="37" t="e">
        <f>#REF!</f>
        <v>#REF!</v>
      </c>
      <c r="AG26" s="12" t="e">
        <f t="shared" ref="AG26" si="12">SUM(U26+V26+W26+X26+Y26+Z26+AA26+AB26+AC26+AD26+AE26+AF26)</f>
        <v>#REF!</v>
      </c>
      <c r="AH26" s="38" t="e">
        <f t="shared" ref="AH26:AH45" si="13">SUM(16-AG26)</f>
        <v>#REF!</v>
      </c>
    </row>
    <row r="27" spans="1:34" ht="20.100000000000001" customHeight="1">
      <c r="A27" s="15" t="s">
        <v>89</v>
      </c>
      <c r="B27" s="12"/>
      <c r="C27" s="12"/>
      <c r="D27" s="12"/>
      <c r="E27" s="36">
        <f t="shared" si="9"/>
        <v>0</v>
      </c>
      <c r="F27" s="37" t="e">
        <f>#REF!</f>
        <v>#REF!</v>
      </c>
      <c r="G27" s="37" t="e">
        <f>#REF!</f>
        <v>#REF!</v>
      </c>
      <c r="H27" s="37" t="e">
        <f>#REF!</f>
        <v>#REF!</v>
      </c>
      <c r="I27" s="37" t="e">
        <f>#REF!</f>
        <v>#REF!</v>
      </c>
      <c r="J27" s="37" t="e">
        <f>#REF!</f>
        <v>#REF!</v>
      </c>
      <c r="K27" s="37" t="e">
        <f>#REF!</f>
        <v>#REF!</v>
      </c>
      <c r="L27" s="37" t="e">
        <f>#REF!</f>
        <v>#REF!</v>
      </c>
      <c r="M27" s="37" t="e">
        <f>#REF!</f>
        <v>#REF!</v>
      </c>
      <c r="N27" s="37" t="e">
        <f>#REF!</f>
        <v>#REF!</v>
      </c>
      <c r="O27" s="37" t="e">
        <f>#REF!</f>
        <v>#REF!</v>
      </c>
      <c r="P27" s="37" t="e">
        <f>#REF!</f>
        <v>#REF!</v>
      </c>
      <c r="Q27" s="37" t="e">
        <f>#REF!</f>
        <v>#REF!</v>
      </c>
      <c r="R27" s="33" t="e">
        <f t="shared" ref="R27:R45" si="14">SUM(F27+G27+H27+I27+J27+K27+L27+M27+N27+O27+P27+Q27)</f>
        <v>#REF!</v>
      </c>
      <c r="S27" s="38" t="e">
        <f t="shared" ref="S27:S45" si="15">SUM(E27-R27)</f>
        <v>#REF!</v>
      </c>
      <c r="U27" s="37" t="e">
        <f>#REF!</f>
        <v>#REF!</v>
      </c>
      <c r="V27" s="37" t="e">
        <f>#REF!</f>
        <v>#REF!</v>
      </c>
      <c r="W27" s="37" t="e">
        <f>#REF!</f>
        <v>#REF!</v>
      </c>
      <c r="X27" s="37" t="e">
        <f>#REF!</f>
        <v>#REF!</v>
      </c>
      <c r="Y27" s="37" t="e">
        <f>#REF!</f>
        <v>#REF!</v>
      </c>
      <c r="Z27" s="37" t="e">
        <f>#REF!</f>
        <v>#REF!</v>
      </c>
      <c r="AA27" s="37" t="e">
        <f>#REF!</f>
        <v>#REF!</v>
      </c>
      <c r="AB27" s="37" t="e">
        <f>#REF!</f>
        <v>#REF!</v>
      </c>
      <c r="AC27" s="37" t="e">
        <f>#REF!</f>
        <v>#REF!</v>
      </c>
      <c r="AD27" s="37" t="e">
        <f>#REF!</f>
        <v>#REF!</v>
      </c>
      <c r="AE27" s="37" t="e">
        <f>#REF!</f>
        <v>#REF!</v>
      </c>
      <c r="AF27" s="37" t="e">
        <f>#REF!</f>
        <v>#REF!</v>
      </c>
      <c r="AG27" s="12" t="e">
        <f t="shared" ref="AG27:AG45" si="16">SUM(U27+V27+W27+X27+Y27+Z27+AA27+AB27+AC27+AD27+AE27+AF27)</f>
        <v>#REF!</v>
      </c>
      <c r="AH27" s="38" t="e">
        <f t="shared" si="13"/>
        <v>#REF!</v>
      </c>
    </row>
    <row r="28" spans="1:34" ht="20.100000000000001" customHeight="1">
      <c r="A28" s="15" t="s">
        <v>72</v>
      </c>
      <c r="B28" s="12"/>
      <c r="C28" s="12"/>
      <c r="D28" s="12"/>
      <c r="E28" s="36">
        <f t="shared" si="9"/>
        <v>0</v>
      </c>
      <c r="F28" s="37" t="e">
        <f>#REF!</f>
        <v>#REF!</v>
      </c>
      <c r="G28" s="37" t="e">
        <f>#REF!</f>
        <v>#REF!</v>
      </c>
      <c r="H28" s="37" t="e">
        <f>#REF!</f>
        <v>#REF!</v>
      </c>
      <c r="I28" s="37" t="e">
        <f>#REF!</f>
        <v>#REF!</v>
      </c>
      <c r="J28" s="37" t="e">
        <f>#REF!</f>
        <v>#REF!</v>
      </c>
      <c r="K28" s="37" t="e">
        <f>#REF!</f>
        <v>#REF!</v>
      </c>
      <c r="L28" s="37" t="e">
        <f>#REF!</f>
        <v>#REF!</v>
      </c>
      <c r="M28" s="37" t="e">
        <f>#REF!</f>
        <v>#REF!</v>
      </c>
      <c r="N28" s="37" t="e">
        <f>#REF!</f>
        <v>#REF!</v>
      </c>
      <c r="O28" s="37" t="e">
        <f>#REF!</f>
        <v>#REF!</v>
      </c>
      <c r="P28" s="37" t="e">
        <f>#REF!</f>
        <v>#REF!</v>
      </c>
      <c r="Q28" s="37" t="e">
        <f>#REF!</f>
        <v>#REF!</v>
      </c>
      <c r="R28" s="33" t="e">
        <f t="shared" si="14"/>
        <v>#REF!</v>
      </c>
      <c r="S28" s="38" t="e">
        <f t="shared" si="15"/>
        <v>#REF!</v>
      </c>
      <c r="U28" s="37" t="e">
        <f>#REF!</f>
        <v>#REF!</v>
      </c>
      <c r="V28" s="37" t="e">
        <f>#REF!</f>
        <v>#REF!</v>
      </c>
      <c r="W28" s="37" t="e">
        <f>#REF!</f>
        <v>#REF!</v>
      </c>
      <c r="X28" s="37" t="e">
        <f>#REF!</f>
        <v>#REF!</v>
      </c>
      <c r="Y28" s="37" t="e">
        <f>#REF!</f>
        <v>#REF!</v>
      </c>
      <c r="Z28" s="37" t="e">
        <f>#REF!</f>
        <v>#REF!</v>
      </c>
      <c r="AA28" s="37" t="e">
        <f>#REF!</f>
        <v>#REF!</v>
      </c>
      <c r="AB28" s="37" t="e">
        <f>#REF!</f>
        <v>#REF!</v>
      </c>
      <c r="AC28" s="37" t="e">
        <f>#REF!</f>
        <v>#REF!</v>
      </c>
      <c r="AD28" s="37" t="e">
        <f>#REF!</f>
        <v>#REF!</v>
      </c>
      <c r="AE28" s="37" t="e">
        <f>#REF!</f>
        <v>#REF!</v>
      </c>
      <c r="AF28" s="37" t="e">
        <f>#REF!</f>
        <v>#REF!</v>
      </c>
      <c r="AG28" s="12" t="e">
        <f t="shared" si="16"/>
        <v>#REF!</v>
      </c>
      <c r="AH28" s="38" t="e">
        <f t="shared" si="13"/>
        <v>#REF!</v>
      </c>
    </row>
    <row r="29" spans="1:34" ht="20.100000000000001" customHeight="1">
      <c r="A29" s="15" t="s">
        <v>73</v>
      </c>
      <c r="B29" s="12"/>
      <c r="C29" s="12"/>
      <c r="D29" s="12">
        <v>30</v>
      </c>
      <c r="E29" s="36">
        <f t="shared" si="9"/>
        <v>30</v>
      </c>
      <c r="F29" s="37" t="e">
        <f>#REF!</f>
        <v>#REF!</v>
      </c>
      <c r="G29" s="37" t="e">
        <f>#REF!</f>
        <v>#REF!</v>
      </c>
      <c r="H29" s="37" t="e">
        <f>#REF!</f>
        <v>#REF!</v>
      </c>
      <c r="I29" s="37" t="e">
        <f>#REF!</f>
        <v>#REF!</v>
      </c>
      <c r="J29" s="37" t="e">
        <f>#REF!</f>
        <v>#REF!</v>
      </c>
      <c r="K29" s="37" t="e">
        <f>#REF!</f>
        <v>#REF!</v>
      </c>
      <c r="L29" s="37" t="e">
        <f>#REF!</f>
        <v>#REF!</v>
      </c>
      <c r="M29" s="37" t="e">
        <f>#REF!</f>
        <v>#REF!</v>
      </c>
      <c r="N29" s="37" t="e">
        <f>#REF!</f>
        <v>#REF!</v>
      </c>
      <c r="O29" s="37" t="e">
        <f>#REF!</f>
        <v>#REF!</v>
      </c>
      <c r="P29" s="37" t="e">
        <f>#REF!</f>
        <v>#REF!</v>
      </c>
      <c r="Q29" s="37" t="e">
        <f>#REF!</f>
        <v>#REF!</v>
      </c>
      <c r="R29" s="33" t="e">
        <f t="shared" si="14"/>
        <v>#REF!</v>
      </c>
      <c r="S29" s="38" t="e">
        <f t="shared" si="15"/>
        <v>#REF!</v>
      </c>
      <c r="U29" s="37" t="e">
        <f>#REF!</f>
        <v>#REF!</v>
      </c>
      <c r="V29" s="37" t="e">
        <f>#REF!</f>
        <v>#REF!</v>
      </c>
      <c r="W29" s="37" t="e">
        <f>#REF!</f>
        <v>#REF!</v>
      </c>
      <c r="X29" s="37" t="e">
        <f>#REF!</f>
        <v>#REF!</v>
      </c>
      <c r="Y29" s="37" t="e">
        <f>#REF!</f>
        <v>#REF!</v>
      </c>
      <c r="Z29" s="37" t="e">
        <f>#REF!</f>
        <v>#REF!</v>
      </c>
      <c r="AA29" s="37" t="e">
        <f>#REF!</f>
        <v>#REF!</v>
      </c>
      <c r="AB29" s="37" t="e">
        <f>#REF!</f>
        <v>#REF!</v>
      </c>
      <c r="AC29" s="37" t="e">
        <f>#REF!</f>
        <v>#REF!</v>
      </c>
      <c r="AD29" s="37" t="e">
        <f>#REF!</f>
        <v>#REF!</v>
      </c>
      <c r="AE29" s="37" t="e">
        <f>#REF!</f>
        <v>#REF!</v>
      </c>
      <c r="AF29" s="37" t="e">
        <f>#REF!</f>
        <v>#REF!</v>
      </c>
      <c r="AG29" s="12" t="e">
        <f t="shared" si="16"/>
        <v>#REF!</v>
      </c>
      <c r="AH29" s="38" t="e">
        <f t="shared" si="13"/>
        <v>#REF!</v>
      </c>
    </row>
    <row r="30" spans="1:34" ht="20.100000000000001" customHeight="1">
      <c r="A30" s="15" t="s">
        <v>74</v>
      </c>
      <c r="B30" s="12"/>
      <c r="C30" s="12"/>
      <c r="D30" s="12"/>
      <c r="E30" s="36">
        <f t="shared" si="9"/>
        <v>0</v>
      </c>
      <c r="F30" s="37" t="e">
        <f>#REF!</f>
        <v>#REF!</v>
      </c>
      <c r="G30" s="37" t="e">
        <f>#REF!</f>
        <v>#REF!</v>
      </c>
      <c r="H30" s="37" t="e">
        <f>#REF!</f>
        <v>#REF!</v>
      </c>
      <c r="I30" s="37" t="e">
        <f>#REF!</f>
        <v>#REF!</v>
      </c>
      <c r="J30" s="37" t="e">
        <f>#REF!</f>
        <v>#REF!</v>
      </c>
      <c r="K30" s="37" t="e">
        <f>#REF!</f>
        <v>#REF!</v>
      </c>
      <c r="L30" s="37" t="e">
        <f>#REF!</f>
        <v>#REF!</v>
      </c>
      <c r="M30" s="37" t="e">
        <f>#REF!</f>
        <v>#REF!</v>
      </c>
      <c r="N30" s="37" t="e">
        <f>#REF!</f>
        <v>#REF!</v>
      </c>
      <c r="O30" s="37" t="e">
        <f>#REF!</f>
        <v>#REF!</v>
      </c>
      <c r="P30" s="37" t="e">
        <f>#REF!</f>
        <v>#REF!</v>
      </c>
      <c r="Q30" s="37" t="e">
        <f>#REF!</f>
        <v>#REF!</v>
      </c>
      <c r="R30" s="33" t="e">
        <f t="shared" si="14"/>
        <v>#REF!</v>
      </c>
      <c r="S30" s="38" t="e">
        <f t="shared" si="15"/>
        <v>#REF!</v>
      </c>
      <c r="U30" s="37" t="e">
        <f>#REF!</f>
        <v>#REF!</v>
      </c>
      <c r="V30" s="37" t="e">
        <f>#REF!</f>
        <v>#REF!</v>
      </c>
      <c r="W30" s="37" t="e">
        <f>#REF!</f>
        <v>#REF!</v>
      </c>
      <c r="X30" s="37" t="e">
        <f>#REF!</f>
        <v>#REF!</v>
      </c>
      <c r="Y30" s="37" t="e">
        <f>#REF!</f>
        <v>#REF!</v>
      </c>
      <c r="Z30" s="37" t="e">
        <f>#REF!</f>
        <v>#REF!</v>
      </c>
      <c r="AA30" s="37" t="e">
        <f>#REF!</f>
        <v>#REF!</v>
      </c>
      <c r="AB30" s="37" t="e">
        <f>#REF!</f>
        <v>#REF!</v>
      </c>
      <c r="AC30" s="37" t="e">
        <f>#REF!</f>
        <v>#REF!</v>
      </c>
      <c r="AD30" s="37" t="e">
        <f>#REF!</f>
        <v>#REF!</v>
      </c>
      <c r="AE30" s="37" t="e">
        <f>#REF!</f>
        <v>#REF!</v>
      </c>
      <c r="AF30" s="37" t="e">
        <f>#REF!</f>
        <v>#REF!</v>
      </c>
      <c r="AG30" s="12" t="e">
        <f t="shared" si="16"/>
        <v>#REF!</v>
      </c>
      <c r="AH30" s="38" t="e">
        <f t="shared" si="13"/>
        <v>#REF!</v>
      </c>
    </row>
    <row r="31" spans="1:34" ht="20.100000000000001" customHeight="1">
      <c r="A31" s="15" t="s">
        <v>69</v>
      </c>
      <c r="B31" s="12"/>
      <c r="C31" s="12"/>
      <c r="D31" s="12">
        <v>30</v>
      </c>
      <c r="E31" s="36">
        <f t="shared" si="9"/>
        <v>30</v>
      </c>
      <c r="F31" s="37" t="e">
        <f>#REF!</f>
        <v>#REF!</v>
      </c>
      <c r="G31" s="37" t="e">
        <f>#REF!</f>
        <v>#REF!</v>
      </c>
      <c r="H31" s="37" t="e">
        <f>#REF!</f>
        <v>#REF!</v>
      </c>
      <c r="I31" s="37" t="e">
        <f>#REF!</f>
        <v>#REF!</v>
      </c>
      <c r="J31" s="37" t="e">
        <f>#REF!</f>
        <v>#REF!</v>
      </c>
      <c r="K31" s="37" t="e">
        <f>#REF!</f>
        <v>#REF!</v>
      </c>
      <c r="L31" s="37" t="e">
        <f>#REF!</f>
        <v>#REF!</v>
      </c>
      <c r="M31" s="37" t="e">
        <f>#REF!</f>
        <v>#REF!</v>
      </c>
      <c r="N31" s="37" t="e">
        <f>#REF!</f>
        <v>#REF!</v>
      </c>
      <c r="O31" s="37" t="e">
        <f>#REF!</f>
        <v>#REF!</v>
      </c>
      <c r="P31" s="37" t="e">
        <f>#REF!</f>
        <v>#REF!</v>
      </c>
      <c r="Q31" s="37" t="e">
        <f>#REF!</f>
        <v>#REF!</v>
      </c>
      <c r="R31" s="33" t="e">
        <f t="shared" si="14"/>
        <v>#REF!</v>
      </c>
      <c r="S31" s="38" t="e">
        <f t="shared" si="15"/>
        <v>#REF!</v>
      </c>
      <c r="U31" s="37" t="e">
        <f>#REF!</f>
        <v>#REF!</v>
      </c>
      <c r="V31" s="37" t="e">
        <f>#REF!</f>
        <v>#REF!</v>
      </c>
      <c r="W31" s="37" t="e">
        <f>#REF!</f>
        <v>#REF!</v>
      </c>
      <c r="X31" s="37" t="e">
        <f>#REF!</f>
        <v>#REF!</v>
      </c>
      <c r="Y31" s="37" t="e">
        <f>#REF!</f>
        <v>#REF!</v>
      </c>
      <c r="Z31" s="37" t="e">
        <f>#REF!</f>
        <v>#REF!</v>
      </c>
      <c r="AA31" s="37" t="e">
        <f>#REF!</f>
        <v>#REF!</v>
      </c>
      <c r="AB31" s="37" t="e">
        <f>#REF!</f>
        <v>#REF!</v>
      </c>
      <c r="AC31" s="37" t="e">
        <f>#REF!</f>
        <v>#REF!</v>
      </c>
      <c r="AD31" s="37" t="e">
        <f>#REF!</f>
        <v>#REF!</v>
      </c>
      <c r="AE31" s="37" t="e">
        <f>#REF!</f>
        <v>#REF!</v>
      </c>
      <c r="AF31" s="37" t="e">
        <f>#REF!</f>
        <v>#REF!</v>
      </c>
      <c r="AG31" s="12" t="e">
        <f t="shared" si="16"/>
        <v>#REF!</v>
      </c>
      <c r="AH31" s="38" t="e">
        <f t="shared" si="13"/>
        <v>#REF!</v>
      </c>
    </row>
    <row r="32" spans="1:34" ht="20.100000000000001" customHeight="1">
      <c r="A32" s="15" t="s">
        <v>75</v>
      </c>
      <c r="B32" s="12"/>
      <c r="C32" s="12"/>
      <c r="D32" s="12">
        <v>30</v>
      </c>
      <c r="E32" s="36">
        <f t="shared" si="9"/>
        <v>30</v>
      </c>
      <c r="F32" s="37" t="e">
        <f>#REF!</f>
        <v>#REF!</v>
      </c>
      <c r="G32" s="37" t="e">
        <f>#REF!</f>
        <v>#REF!</v>
      </c>
      <c r="H32" s="37" t="e">
        <f>#REF!</f>
        <v>#REF!</v>
      </c>
      <c r="I32" s="37" t="e">
        <f>#REF!</f>
        <v>#REF!</v>
      </c>
      <c r="J32" s="37" t="e">
        <f>#REF!</f>
        <v>#REF!</v>
      </c>
      <c r="K32" s="37" t="e">
        <f>#REF!</f>
        <v>#REF!</v>
      </c>
      <c r="L32" s="37" t="e">
        <f>#REF!</f>
        <v>#REF!</v>
      </c>
      <c r="M32" s="37" t="e">
        <f>#REF!</f>
        <v>#REF!</v>
      </c>
      <c r="N32" s="37" t="e">
        <f>#REF!</f>
        <v>#REF!</v>
      </c>
      <c r="O32" s="37" t="e">
        <f>#REF!</f>
        <v>#REF!</v>
      </c>
      <c r="P32" s="37" t="e">
        <f>#REF!</f>
        <v>#REF!</v>
      </c>
      <c r="Q32" s="37" t="e">
        <f>#REF!</f>
        <v>#REF!</v>
      </c>
      <c r="R32" s="33" t="e">
        <f t="shared" si="14"/>
        <v>#REF!</v>
      </c>
      <c r="S32" s="38" t="e">
        <f t="shared" si="15"/>
        <v>#REF!</v>
      </c>
      <c r="U32" s="37" t="e">
        <f>#REF!</f>
        <v>#REF!</v>
      </c>
      <c r="V32" s="37" t="e">
        <f>#REF!</f>
        <v>#REF!</v>
      </c>
      <c r="W32" s="37" t="e">
        <f>#REF!</f>
        <v>#REF!</v>
      </c>
      <c r="X32" s="37" t="e">
        <f>#REF!</f>
        <v>#REF!</v>
      </c>
      <c r="Y32" s="37" t="e">
        <f>#REF!</f>
        <v>#REF!</v>
      </c>
      <c r="Z32" s="37" t="e">
        <f>#REF!</f>
        <v>#REF!</v>
      </c>
      <c r="AA32" s="37" t="e">
        <f>#REF!</f>
        <v>#REF!</v>
      </c>
      <c r="AB32" s="37" t="e">
        <f>#REF!</f>
        <v>#REF!</v>
      </c>
      <c r="AC32" s="37" t="e">
        <f>#REF!</f>
        <v>#REF!</v>
      </c>
      <c r="AD32" s="37" t="e">
        <f>#REF!</f>
        <v>#REF!</v>
      </c>
      <c r="AE32" s="37" t="e">
        <f>#REF!</f>
        <v>#REF!</v>
      </c>
      <c r="AF32" s="37" t="e">
        <f>#REF!</f>
        <v>#REF!</v>
      </c>
      <c r="AG32" s="12" t="e">
        <f t="shared" si="16"/>
        <v>#REF!</v>
      </c>
      <c r="AH32" s="38" t="e">
        <f t="shared" si="13"/>
        <v>#REF!</v>
      </c>
    </row>
    <row r="33" spans="1:34" ht="20.100000000000001" hidden="1" customHeight="1">
      <c r="A33" s="15" t="s">
        <v>49</v>
      </c>
      <c r="B33" s="12"/>
      <c r="C33" s="12"/>
      <c r="D33" s="12"/>
      <c r="E33" s="36">
        <f t="shared" si="9"/>
        <v>0</v>
      </c>
      <c r="F33" s="37" t="e">
        <f>#REF!</f>
        <v>#REF!</v>
      </c>
      <c r="G33" s="37" t="e">
        <f>#REF!</f>
        <v>#REF!</v>
      </c>
      <c r="H33" s="37" t="e">
        <f>#REF!</f>
        <v>#REF!</v>
      </c>
      <c r="I33" s="37" t="e">
        <f>#REF!</f>
        <v>#REF!</v>
      </c>
      <c r="J33" s="37" t="e">
        <f>#REF!</f>
        <v>#REF!</v>
      </c>
      <c r="K33" s="37" t="e">
        <f>#REF!</f>
        <v>#REF!</v>
      </c>
      <c r="L33" s="37" t="e">
        <f>#REF!</f>
        <v>#REF!</v>
      </c>
      <c r="M33" s="37" t="e">
        <f>#REF!</f>
        <v>#REF!</v>
      </c>
      <c r="N33" s="37" t="e">
        <f>#REF!</f>
        <v>#REF!</v>
      </c>
      <c r="O33" s="37" t="e">
        <f>#REF!</f>
        <v>#REF!</v>
      </c>
      <c r="P33" s="37" t="e">
        <f>#REF!</f>
        <v>#REF!</v>
      </c>
      <c r="Q33" s="37" t="e">
        <f>#REF!</f>
        <v>#REF!</v>
      </c>
      <c r="R33" s="33" t="e">
        <f t="shared" si="14"/>
        <v>#REF!</v>
      </c>
      <c r="S33" s="38" t="e">
        <f t="shared" si="15"/>
        <v>#REF!</v>
      </c>
      <c r="U33" s="37" t="e">
        <f>#REF!</f>
        <v>#REF!</v>
      </c>
      <c r="V33" s="37" t="e">
        <f>#REF!</f>
        <v>#REF!</v>
      </c>
      <c r="W33" s="37" t="e">
        <f>#REF!</f>
        <v>#REF!</v>
      </c>
      <c r="X33" s="37" t="e">
        <f>#REF!</f>
        <v>#REF!</v>
      </c>
      <c r="Y33" s="37" t="e">
        <f>#REF!</f>
        <v>#REF!</v>
      </c>
      <c r="Z33" s="37" t="e">
        <f>#REF!</f>
        <v>#REF!</v>
      </c>
      <c r="AA33" s="37" t="e">
        <f>#REF!</f>
        <v>#REF!</v>
      </c>
      <c r="AB33" s="37" t="e">
        <f>#REF!</f>
        <v>#REF!</v>
      </c>
      <c r="AC33" s="37" t="e">
        <f>#REF!</f>
        <v>#REF!</v>
      </c>
      <c r="AD33" s="37" t="e">
        <f>#REF!</f>
        <v>#REF!</v>
      </c>
      <c r="AE33" s="37" t="e">
        <f>#REF!</f>
        <v>#REF!</v>
      </c>
      <c r="AF33" s="37" t="e">
        <f>#REF!</f>
        <v>#REF!</v>
      </c>
      <c r="AG33" s="12" t="e">
        <f t="shared" si="16"/>
        <v>#REF!</v>
      </c>
      <c r="AH33" s="38" t="e">
        <f t="shared" si="13"/>
        <v>#REF!</v>
      </c>
    </row>
    <row r="34" spans="1:34" ht="20.100000000000001" hidden="1" customHeight="1">
      <c r="A34" s="15" t="s">
        <v>50</v>
      </c>
      <c r="B34" s="12"/>
      <c r="C34" s="12"/>
      <c r="D34" s="12"/>
      <c r="E34" s="36">
        <f t="shared" ref="E34:E44" si="17">SUM(B34:D34)</f>
        <v>0</v>
      </c>
      <c r="F34" s="37" t="e">
        <f>#REF!</f>
        <v>#REF!</v>
      </c>
      <c r="G34" s="37" t="e">
        <f>#REF!</f>
        <v>#REF!</v>
      </c>
      <c r="H34" s="37" t="e">
        <f>#REF!</f>
        <v>#REF!</v>
      </c>
      <c r="I34" s="37" t="e">
        <f>#REF!</f>
        <v>#REF!</v>
      </c>
      <c r="J34" s="37" t="e">
        <f>#REF!</f>
        <v>#REF!</v>
      </c>
      <c r="K34" s="37" t="e">
        <f>#REF!</f>
        <v>#REF!</v>
      </c>
      <c r="L34" s="37" t="e">
        <f>#REF!</f>
        <v>#REF!</v>
      </c>
      <c r="M34" s="37" t="e">
        <f>#REF!</f>
        <v>#REF!</v>
      </c>
      <c r="N34" s="37" t="e">
        <f>#REF!</f>
        <v>#REF!</v>
      </c>
      <c r="O34" s="37" t="e">
        <f>#REF!</f>
        <v>#REF!</v>
      </c>
      <c r="P34" s="37" t="e">
        <f>#REF!</f>
        <v>#REF!</v>
      </c>
      <c r="Q34" s="37" t="e">
        <f>#REF!</f>
        <v>#REF!</v>
      </c>
      <c r="R34" s="33" t="e">
        <f t="shared" si="14"/>
        <v>#REF!</v>
      </c>
      <c r="S34" s="38" t="e">
        <f t="shared" si="15"/>
        <v>#REF!</v>
      </c>
      <c r="U34" s="37" t="e">
        <f>#REF!</f>
        <v>#REF!</v>
      </c>
      <c r="V34" s="37" t="e">
        <f>#REF!</f>
        <v>#REF!</v>
      </c>
      <c r="W34" s="37" t="e">
        <f>#REF!</f>
        <v>#REF!</v>
      </c>
      <c r="X34" s="37" t="e">
        <f>#REF!</f>
        <v>#REF!</v>
      </c>
      <c r="Y34" s="37" t="e">
        <f>#REF!</f>
        <v>#REF!</v>
      </c>
      <c r="Z34" s="37" t="e">
        <f>#REF!</f>
        <v>#REF!</v>
      </c>
      <c r="AA34" s="37" t="e">
        <f>#REF!</f>
        <v>#REF!</v>
      </c>
      <c r="AB34" s="37" t="e">
        <f>#REF!</f>
        <v>#REF!</v>
      </c>
      <c r="AC34" s="37" t="e">
        <f>#REF!</f>
        <v>#REF!</v>
      </c>
      <c r="AD34" s="37" t="e">
        <f>#REF!</f>
        <v>#REF!</v>
      </c>
      <c r="AE34" s="37" t="e">
        <f>#REF!</f>
        <v>#REF!</v>
      </c>
      <c r="AF34" s="37" t="e">
        <f>#REF!</f>
        <v>#REF!</v>
      </c>
      <c r="AG34" s="12" t="e">
        <f t="shared" si="16"/>
        <v>#REF!</v>
      </c>
      <c r="AH34" s="38" t="e">
        <f t="shared" si="13"/>
        <v>#REF!</v>
      </c>
    </row>
    <row r="35" spans="1:34" ht="20.100000000000001" hidden="1" customHeight="1">
      <c r="A35" s="15" t="s">
        <v>44</v>
      </c>
      <c r="B35" s="12"/>
      <c r="C35" s="12"/>
      <c r="D35" s="12"/>
      <c r="E35" s="36">
        <f t="shared" si="17"/>
        <v>0</v>
      </c>
      <c r="F35" s="37" t="e">
        <f>#REF!</f>
        <v>#REF!</v>
      </c>
      <c r="G35" s="37" t="e">
        <f>#REF!</f>
        <v>#REF!</v>
      </c>
      <c r="H35" s="37" t="e">
        <f>#REF!</f>
        <v>#REF!</v>
      </c>
      <c r="I35" s="37" t="e">
        <f>#REF!</f>
        <v>#REF!</v>
      </c>
      <c r="J35" s="37" t="e">
        <f>#REF!</f>
        <v>#REF!</v>
      </c>
      <c r="K35" s="37" t="e">
        <f>#REF!</f>
        <v>#REF!</v>
      </c>
      <c r="L35" s="37" t="e">
        <f>#REF!</f>
        <v>#REF!</v>
      </c>
      <c r="M35" s="37" t="e">
        <f>#REF!</f>
        <v>#REF!</v>
      </c>
      <c r="N35" s="37" t="e">
        <f>#REF!</f>
        <v>#REF!</v>
      </c>
      <c r="O35" s="37" t="e">
        <f>#REF!</f>
        <v>#REF!</v>
      </c>
      <c r="P35" s="37" t="e">
        <f>#REF!</f>
        <v>#REF!</v>
      </c>
      <c r="Q35" s="37" t="e">
        <f>#REF!</f>
        <v>#REF!</v>
      </c>
      <c r="R35" s="33" t="e">
        <f t="shared" si="14"/>
        <v>#REF!</v>
      </c>
      <c r="S35" s="38" t="e">
        <f t="shared" si="15"/>
        <v>#REF!</v>
      </c>
      <c r="U35" s="37" t="e">
        <f>#REF!</f>
        <v>#REF!</v>
      </c>
      <c r="V35" s="37" t="e">
        <f>#REF!</f>
        <v>#REF!</v>
      </c>
      <c r="W35" s="37" t="e">
        <f>#REF!</f>
        <v>#REF!</v>
      </c>
      <c r="X35" s="37" t="e">
        <f>#REF!</f>
        <v>#REF!</v>
      </c>
      <c r="Y35" s="37" t="e">
        <f>#REF!</f>
        <v>#REF!</v>
      </c>
      <c r="Z35" s="37" t="e">
        <f>#REF!</f>
        <v>#REF!</v>
      </c>
      <c r="AA35" s="37" t="e">
        <f>#REF!</f>
        <v>#REF!</v>
      </c>
      <c r="AB35" s="37" t="e">
        <f>#REF!</f>
        <v>#REF!</v>
      </c>
      <c r="AC35" s="37" t="e">
        <f>#REF!</f>
        <v>#REF!</v>
      </c>
      <c r="AD35" s="37" t="e">
        <f>#REF!</f>
        <v>#REF!</v>
      </c>
      <c r="AE35" s="37" t="e">
        <f>#REF!</f>
        <v>#REF!</v>
      </c>
      <c r="AF35" s="37" t="e">
        <f>#REF!</f>
        <v>#REF!</v>
      </c>
      <c r="AG35" s="12" t="e">
        <f t="shared" si="16"/>
        <v>#REF!</v>
      </c>
      <c r="AH35" s="38" t="e">
        <f t="shared" si="13"/>
        <v>#REF!</v>
      </c>
    </row>
    <row r="36" spans="1:34" ht="20.100000000000001" hidden="1" customHeight="1">
      <c r="A36" s="15" t="s">
        <v>45</v>
      </c>
      <c r="B36" s="12"/>
      <c r="C36" s="12"/>
      <c r="D36" s="12"/>
      <c r="E36" s="36">
        <f t="shared" si="17"/>
        <v>0</v>
      </c>
      <c r="F36" s="37" t="e">
        <f>#REF!</f>
        <v>#REF!</v>
      </c>
      <c r="G36" s="37" t="e">
        <f>#REF!</f>
        <v>#REF!</v>
      </c>
      <c r="H36" s="37" t="e">
        <f>#REF!</f>
        <v>#REF!</v>
      </c>
      <c r="I36" s="37" t="e">
        <f>#REF!</f>
        <v>#REF!</v>
      </c>
      <c r="J36" s="37" t="e">
        <f>#REF!</f>
        <v>#REF!</v>
      </c>
      <c r="K36" s="37" t="e">
        <f>#REF!</f>
        <v>#REF!</v>
      </c>
      <c r="L36" s="37" t="e">
        <f>#REF!</f>
        <v>#REF!</v>
      </c>
      <c r="M36" s="37" t="e">
        <f>#REF!</f>
        <v>#REF!</v>
      </c>
      <c r="N36" s="37" t="e">
        <f>#REF!</f>
        <v>#REF!</v>
      </c>
      <c r="O36" s="37" t="e">
        <f>#REF!</f>
        <v>#REF!</v>
      </c>
      <c r="P36" s="37" t="e">
        <f>#REF!</f>
        <v>#REF!</v>
      </c>
      <c r="Q36" s="37" t="e">
        <f>#REF!</f>
        <v>#REF!</v>
      </c>
      <c r="R36" s="33" t="e">
        <f t="shared" si="14"/>
        <v>#REF!</v>
      </c>
      <c r="S36" s="38" t="e">
        <f t="shared" si="15"/>
        <v>#REF!</v>
      </c>
      <c r="U36" s="37" t="e">
        <f>#REF!</f>
        <v>#REF!</v>
      </c>
      <c r="V36" s="37" t="e">
        <f>#REF!</f>
        <v>#REF!</v>
      </c>
      <c r="W36" s="37" t="e">
        <f>#REF!</f>
        <v>#REF!</v>
      </c>
      <c r="X36" s="37" t="e">
        <f>#REF!</f>
        <v>#REF!</v>
      </c>
      <c r="Y36" s="37" t="e">
        <f>#REF!</f>
        <v>#REF!</v>
      </c>
      <c r="Z36" s="37" t="e">
        <f>#REF!</f>
        <v>#REF!</v>
      </c>
      <c r="AA36" s="37" t="e">
        <f>#REF!</f>
        <v>#REF!</v>
      </c>
      <c r="AB36" s="37" t="e">
        <f>#REF!</f>
        <v>#REF!</v>
      </c>
      <c r="AC36" s="37" t="e">
        <f>#REF!</f>
        <v>#REF!</v>
      </c>
      <c r="AD36" s="37" t="e">
        <f>#REF!</f>
        <v>#REF!</v>
      </c>
      <c r="AE36" s="37" t="e">
        <f>#REF!</f>
        <v>#REF!</v>
      </c>
      <c r="AF36" s="37" t="e">
        <f>#REF!</f>
        <v>#REF!</v>
      </c>
      <c r="AG36" s="12" t="e">
        <f t="shared" si="16"/>
        <v>#REF!</v>
      </c>
      <c r="AH36" s="38" t="e">
        <f t="shared" si="13"/>
        <v>#REF!</v>
      </c>
    </row>
    <row r="37" spans="1:34" ht="20.100000000000001" hidden="1" customHeight="1">
      <c r="A37" s="15" t="s">
        <v>46</v>
      </c>
      <c r="B37" s="12"/>
      <c r="C37" s="12"/>
      <c r="D37" s="12"/>
      <c r="E37" s="36">
        <f t="shared" si="17"/>
        <v>0</v>
      </c>
      <c r="F37" s="37" t="e">
        <f>#REF!</f>
        <v>#REF!</v>
      </c>
      <c r="G37" s="37" t="e">
        <f>#REF!</f>
        <v>#REF!</v>
      </c>
      <c r="H37" s="37" t="e">
        <f>#REF!</f>
        <v>#REF!</v>
      </c>
      <c r="I37" s="37" t="e">
        <f>#REF!</f>
        <v>#REF!</v>
      </c>
      <c r="J37" s="37" t="e">
        <f>#REF!</f>
        <v>#REF!</v>
      </c>
      <c r="K37" s="37" t="e">
        <f>#REF!</f>
        <v>#REF!</v>
      </c>
      <c r="L37" s="37" t="e">
        <f>#REF!</f>
        <v>#REF!</v>
      </c>
      <c r="M37" s="37" t="e">
        <f>#REF!</f>
        <v>#REF!</v>
      </c>
      <c r="N37" s="37" t="e">
        <f>#REF!</f>
        <v>#REF!</v>
      </c>
      <c r="O37" s="37" t="e">
        <f>#REF!</f>
        <v>#REF!</v>
      </c>
      <c r="P37" s="37" t="e">
        <f>#REF!</f>
        <v>#REF!</v>
      </c>
      <c r="Q37" s="37" t="e">
        <f>#REF!</f>
        <v>#REF!</v>
      </c>
      <c r="R37" s="33" t="e">
        <f t="shared" si="14"/>
        <v>#REF!</v>
      </c>
      <c r="S37" s="38" t="e">
        <f t="shared" si="15"/>
        <v>#REF!</v>
      </c>
      <c r="U37" s="37" t="e">
        <f>#REF!</f>
        <v>#REF!</v>
      </c>
      <c r="V37" s="37" t="e">
        <f>#REF!</f>
        <v>#REF!</v>
      </c>
      <c r="W37" s="37" t="e">
        <f>#REF!</f>
        <v>#REF!</v>
      </c>
      <c r="X37" s="37" t="e">
        <f>#REF!</f>
        <v>#REF!</v>
      </c>
      <c r="Y37" s="37" t="e">
        <f>#REF!</f>
        <v>#REF!</v>
      </c>
      <c r="Z37" s="37" t="e">
        <f>#REF!</f>
        <v>#REF!</v>
      </c>
      <c r="AA37" s="37" t="e">
        <f>#REF!</f>
        <v>#REF!</v>
      </c>
      <c r="AB37" s="37" t="e">
        <f>#REF!</f>
        <v>#REF!</v>
      </c>
      <c r="AC37" s="37" t="e">
        <f>#REF!</f>
        <v>#REF!</v>
      </c>
      <c r="AD37" s="37" t="e">
        <f>#REF!</f>
        <v>#REF!</v>
      </c>
      <c r="AE37" s="37" t="e">
        <f>#REF!</f>
        <v>#REF!</v>
      </c>
      <c r="AF37" s="37" t="e">
        <f>#REF!</f>
        <v>#REF!</v>
      </c>
      <c r="AG37" s="12" t="e">
        <f t="shared" si="16"/>
        <v>#REF!</v>
      </c>
      <c r="AH37" s="38" t="e">
        <f t="shared" si="13"/>
        <v>#REF!</v>
      </c>
    </row>
    <row r="38" spans="1:34" ht="20.100000000000001" hidden="1" customHeight="1">
      <c r="A38" s="15" t="s">
        <v>47</v>
      </c>
      <c r="B38" s="12"/>
      <c r="C38" s="12"/>
      <c r="D38" s="12"/>
      <c r="E38" s="36">
        <f t="shared" si="17"/>
        <v>0</v>
      </c>
      <c r="F38" s="37" t="e">
        <f>#REF!</f>
        <v>#REF!</v>
      </c>
      <c r="G38" s="37" t="e">
        <f>#REF!</f>
        <v>#REF!</v>
      </c>
      <c r="H38" s="37" t="e">
        <f>#REF!</f>
        <v>#REF!</v>
      </c>
      <c r="I38" s="37" t="e">
        <f>#REF!</f>
        <v>#REF!</v>
      </c>
      <c r="J38" s="37" t="e">
        <f>#REF!</f>
        <v>#REF!</v>
      </c>
      <c r="K38" s="37" t="e">
        <f>#REF!</f>
        <v>#REF!</v>
      </c>
      <c r="L38" s="37" t="e">
        <f>#REF!</f>
        <v>#REF!</v>
      </c>
      <c r="M38" s="37" t="e">
        <f>#REF!</f>
        <v>#REF!</v>
      </c>
      <c r="N38" s="37" t="e">
        <f>#REF!</f>
        <v>#REF!</v>
      </c>
      <c r="O38" s="37" t="e">
        <f>#REF!</f>
        <v>#REF!</v>
      </c>
      <c r="P38" s="37" t="e">
        <f>#REF!</f>
        <v>#REF!</v>
      </c>
      <c r="Q38" s="37" t="e">
        <f>#REF!</f>
        <v>#REF!</v>
      </c>
      <c r="R38" s="33" t="e">
        <f t="shared" si="14"/>
        <v>#REF!</v>
      </c>
      <c r="S38" s="38" t="e">
        <f t="shared" si="15"/>
        <v>#REF!</v>
      </c>
      <c r="U38" s="37" t="e">
        <f>#REF!</f>
        <v>#REF!</v>
      </c>
      <c r="V38" s="37" t="e">
        <f>#REF!</f>
        <v>#REF!</v>
      </c>
      <c r="W38" s="37" t="e">
        <f>#REF!</f>
        <v>#REF!</v>
      </c>
      <c r="X38" s="37" t="e">
        <f>#REF!</f>
        <v>#REF!</v>
      </c>
      <c r="Y38" s="37" t="e">
        <f>#REF!</f>
        <v>#REF!</v>
      </c>
      <c r="Z38" s="37" t="e">
        <f>#REF!</f>
        <v>#REF!</v>
      </c>
      <c r="AA38" s="37" t="e">
        <f>#REF!</f>
        <v>#REF!</v>
      </c>
      <c r="AB38" s="37" t="e">
        <f>#REF!</f>
        <v>#REF!</v>
      </c>
      <c r="AC38" s="37" t="e">
        <f>#REF!</f>
        <v>#REF!</v>
      </c>
      <c r="AD38" s="37" t="e">
        <f>#REF!</f>
        <v>#REF!</v>
      </c>
      <c r="AE38" s="37" t="e">
        <f>#REF!</f>
        <v>#REF!</v>
      </c>
      <c r="AF38" s="37" t="e">
        <f>#REF!</f>
        <v>#REF!</v>
      </c>
      <c r="AG38" s="12" t="e">
        <f t="shared" si="16"/>
        <v>#REF!</v>
      </c>
      <c r="AH38" s="38" t="e">
        <f t="shared" si="13"/>
        <v>#REF!</v>
      </c>
    </row>
    <row r="39" spans="1:34" ht="20.100000000000001" hidden="1" customHeight="1">
      <c r="A39" s="15" t="s">
        <v>48</v>
      </c>
      <c r="B39" s="12"/>
      <c r="C39" s="12"/>
      <c r="D39" s="12"/>
      <c r="E39" s="36">
        <f t="shared" si="17"/>
        <v>0</v>
      </c>
      <c r="F39" s="37" t="e">
        <f>#REF!</f>
        <v>#REF!</v>
      </c>
      <c r="G39" s="37" t="e">
        <f>#REF!</f>
        <v>#REF!</v>
      </c>
      <c r="H39" s="37" t="e">
        <f>#REF!</f>
        <v>#REF!</v>
      </c>
      <c r="I39" s="37" t="e">
        <f>#REF!</f>
        <v>#REF!</v>
      </c>
      <c r="J39" s="37" t="e">
        <f>#REF!</f>
        <v>#REF!</v>
      </c>
      <c r="K39" s="37" t="e">
        <f>#REF!</f>
        <v>#REF!</v>
      </c>
      <c r="L39" s="37" t="e">
        <f>#REF!</f>
        <v>#REF!</v>
      </c>
      <c r="M39" s="37" t="e">
        <f>#REF!</f>
        <v>#REF!</v>
      </c>
      <c r="N39" s="37" t="e">
        <f>#REF!</f>
        <v>#REF!</v>
      </c>
      <c r="O39" s="37" t="e">
        <f>#REF!</f>
        <v>#REF!</v>
      </c>
      <c r="P39" s="37" t="e">
        <f>#REF!</f>
        <v>#REF!</v>
      </c>
      <c r="Q39" s="37" t="e">
        <f>#REF!</f>
        <v>#REF!</v>
      </c>
      <c r="R39" s="33" t="e">
        <f t="shared" si="14"/>
        <v>#REF!</v>
      </c>
      <c r="S39" s="38" t="e">
        <f t="shared" si="15"/>
        <v>#REF!</v>
      </c>
      <c r="U39" s="37" t="e">
        <f>#REF!</f>
        <v>#REF!</v>
      </c>
      <c r="V39" s="37" t="e">
        <f>#REF!</f>
        <v>#REF!</v>
      </c>
      <c r="W39" s="37" t="e">
        <f>#REF!</f>
        <v>#REF!</v>
      </c>
      <c r="X39" s="37" t="e">
        <f>#REF!</f>
        <v>#REF!</v>
      </c>
      <c r="Y39" s="37" t="e">
        <f>#REF!</f>
        <v>#REF!</v>
      </c>
      <c r="Z39" s="37" t="e">
        <f>#REF!</f>
        <v>#REF!</v>
      </c>
      <c r="AA39" s="37" t="e">
        <f>#REF!</f>
        <v>#REF!</v>
      </c>
      <c r="AB39" s="37" t="e">
        <f>#REF!</f>
        <v>#REF!</v>
      </c>
      <c r="AC39" s="37" t="e">
        <f>#REF!</f>
        <v>#REF!</v>
      </c>
      <c r="AD39" s="37" t="e">
        <f>#REF!</f>
        <v>#REF!</v>
      </c>
      <c r="AE39" s="37" t="e">
        <f>#REF!</f>
        <v>#REF!</v>
      </c>
      <c r="AF39" s="37" t="e">
        <f>#REF!</f>
        <v>#REF!</v>
      </c>
      <c r="AG39" s="12" t="e">
        <f t="shared" si="16"/>
        <v>#REF!</v>
      </c>
      <c r="AH39" s="38" t="e">
        <f t="shared" si="13"/>
        <v>#REF!</v>
      </c>
    </row>
    <row r="40" spans="1:34" ht="20.100000000000001" hidden="1" customHeight="1">
      <c r="A40" s="15" t="s">
        <v>43</v>
      </c>
      <c r="B40" s="12"/>
      <c r="C40" s="12"/>
      <c r="D40" s="12"/>
      <c r="E40" s="36">
        <f t="shared" si="17"/>
        <v>0</v>
      </c>
      <c r="F40" s="37" t="e">
        <f>#REF!</f>
        <v>#REF!</v>
      </c>
      <c r="G40" s="37" t="e">
        <f>#REF!</f>
        <v>#REF!</v>
      </c>
      <c r="H40" s="37" t="e">
        <f>#REF!</f>
        <v>#REF!</v>
      </c>
      <c r="I40" s="37" t="e">
        <f>#REF!</f>
        <v>#REF!</v>
      </c>
      <c r="J40" s="37" t="e">
        <f>#REF!</f>
        <v>#REF!</v>
      </c>
      <c r="K40" s="37" t="e">
        <f>#REF!</f>
        <v>#REF!</v>
      </c>
      <c r="L40" s="37" t="e">
        <f>#REF!</f>
        <v>#REF!</v>
      </c>
      <c r="M40" s="37" t="e">
        <f>#REF!</f>
        <v>#REF!</v>
      </c>
      <c r="N40" s="37" t="e">
        <f>#REF!</f>
        <v>#REF!</v>
      </c>
      <c r="O40" s="37" t="e">
        <f>#REF!</f>
        <v>#REF!</v>
      </c>
      <c r="P40" s="37" t="e">
        <f>#REF!</f>
        <v>#REF!</v>
      </c>
      <c r="Q40" s="37" t="e">
        <f>#REF!</f>
        <v>#REF!</v>
      </c>
      <c r="R40" s="33" t="e">
        <f t="shared" si="14"/>
        <v>#REF!</v>
      </c>
      <c r="S40" s="38" t="e">
        <f t="shared" si="15"/>
        <v>#REF!</v>
      </c>
      <c r="U40" s="37" t="e">
        <f>#REF!</f>
        <v>#REF!</v>
      </c>
      <c r="V40" s="37" t="e">
        <f>#REF!</f>
        <v>#REF!</v>
      </c>
      <c r="W40" s="37" t="e">
        <f>#REF!</f>
        <v>#REF!</v>
      </c>
      <c r="X40" s="37" t="e">
        <f>#REF!</f>
        <v>#REF!</v>
      </c>
      <c r="Y40" s="37" t="e">
        <f>#REF!</f>
        <v>#REF!</v>
      </c>
      <c r="Z40" s="37" t="e">
        <f>#REF!</f>
        <v>#REF!</v>
      </c>
      <c r="AA40" s="37" t="e">
        <f>#REF!</f>
        <v>#REF!</v>
      </c>
      <c r="AB40" s="37" t="e">
        <f>#REF!</f>
        <v>#REF!</v>
      </c>
      <c r="AC40" s="37" t="e">
        <f>#REF!</f>
        <v>#REF!</v>
      </c>
      <c r="AD40" s="37" t="e">
        <f>#REF!</f>
        <v>#REF!</v>
      </c>
      <c r="AE40" s="37" t="e">
        <f>#REF!</f>
        <v>#REF!</v>
      </c>
      <c r="AF40" s="37" t="e">
        <f>#REF!</f>
        <v>#REF!</v>
      </c>
      <c r="AG40" s="12" t="e">
        <f t="shared" si="16"/>
        <v>#REF!</v>
      </c>
      <c r="AH40" s="38" t="e">
        <f t="shared" si="13"/>
        <v>#REF!</v>
      </c>
    </row>
    <row r="41" spans="1:34" ht="20.100000000000001" hidden="1" customHeight="1">
      <c r="A41" s="15" t="s">
        <v>57</v>
      </c>
      <c r="B41" s="12"/>
      <c r="C41" s="12"/>
      <c r="D41" s="12"/>
      <c r="E41" s="36">
        <f t="shared" si="17"/>
        <v>0</v>
      </c>
      <c r="F41" s="37" t="e">
        <f>#REF!</f>
        <v>#REF!</v>
      </c>
      <c r="G41" s="37" t="e">
        <f>#REF!</f>
        <v>#REF!</v>
      </c>
      <c r="H41" s="37" t="e">
        <f>#REF!</f>
        <v>#REF!</v>
      </c>
      <c r="I41" s="37" t="e">
        <f>#REF!</f>
        <v>#REF!</v>
      </c>
      <c r="J41" s="37" t="e">
        <f>#REF!</f>
        <v>#REF!</v>
      </c>
      <c r="K41" s="37" t="e">
        <f>#REF!</f>
        <v>#REF!</v>
      </c>
      <c r="L41" s="37" t="e">
        <f>#REF!</f>
        <v>#REF!</v>
      </c>
      <c r="M41" s="37" t="e">
        <f>#REF!</f>
        <v>#REF!</v>
      </c>
      <c r="N41" s="37" t="e">
        <f>#REF!</f>
        <v>#REF!</v>
      </c>
      <c r="O41" s="37" t="e">
        <f>#REF!</f>
        <v>#REF!</v>
      </c>
      <c r="P41" s="37" t="e">
        <f>#REF!</f>
        <v>#REF!</v>
      </c>
      <c r="Q41" s="37" t="e">
        <f>#REF!</f>
        <v>#REF!</v>
      </c>
      <c r="R41" s="33" t="e">
        <f t="shared" si="14"/>
        <v>#REF!</v>
      </c>
      <c r="S41" s="38" t="e">
        <f t="shared" si="15"/>
        <v>#REF!</v>
      </c>
      <c r="U41" s="37" t="e">
        <f>#REF!</f>
        <v>#REF!</v>
      </c>
      <c r="V41" s="37" t="e">
        <f>#REF!</f>
        <v>#REF!</v>
      </c>
      <c r="W41" s="37" t="e">
        <f>#REF!</f>
        <v>#REF!</v>
      </c>
      <c r="X41" s="37" t="e">
        <f>#REF!</f>
        <v>#REF!</v>
      </c>
      <c r="Y41" s="37" t="e">
        <f>#REF!</f>
        <v>#REF!</v>
      </c>
      <c r="Z41" s="37" t="e">
        <f>#REF!</f>
        <v>#REF!</v>
      </c>
      <c r="AA41" s="37" t="e">
        <f>#REF!</f>
        <v>#REF!</v>
      </c>
      <c r="AB41" s="37" t="e">
        <f>#REF!</f>
        <v>#REF!</v>
      </c>
      <c r="AC41" s="37" t="e">
        <f>#REF!</f>
        <v>#REF!</v>
      </c>
      <c r="AD41" s="37" t="e">
        <f>#REF!</f>
        <v>#REF!</v>
      </c>
      <c r="AE41" s="37" t="e">
        <f>#REF!</f>
        <v>#REF!</v>
      </c>
      <c r="AF41" s="37" t="e">
        <f>#REF!</f>
        <v>#REF!</v>
      </c>
      <c r="AG41" s="12" t="e">
        <f t="shared" si="16"/>
        <v>#REF!</v>
      </c>
      <c r="AH41" s="38" t="e">
        <f t="shared" si="13"/>
        <v>#REF!</v>
      </c>
    </row>
    <row r="42" spans="1:34" ht="20.100000000000001" hidden="1" customHeight="1">
      <c r="A42" s="15" t="s">
        <v>58</v>
      </c>
      <c r="B42" s="12"/>
      <c r="C42" s="12"/>
      <c r="D42" s="12"/>
      <c r="E42" s="36">
        <f t="shared" si="17"/>
        <v>0</v>
      </c>
      <c r="F42" s="37" t="e">
        <f>#REF!</f>
        <v>#REF!</v>
      </c>
      <c r="G42" s="37" t="e">
        <f>#REF!</f>
        <v>#REF!</v>
      </c>
      <c r="H42" s="37" t="e">
        <f>#REF!</f>
        <v>#REF!</v>
      </c>
      <c r="I42" s="37" t="e">
        <f>#REF!</f>
        <v>#REF!</v>
      </c>
      <c r="J42" s="37" t="e">
        <f>#REF!</f>
        <v>#REF!</v>
      </c>
      <c r="K42" s="37" t="e">
        <f>#REF!</f>
        <v>#REF!</v>
      </c>
      <c r="L42" s="37" t="e">
        <f>#REF!</f>
        <v>#REF!</v>
      </c>
      <c r="M42" s="37" t="e">
        <f>#REF!</f>
        <v>#REF!</v>
      </c>
      <c r="N42" s="37" t="e">
        <f>#REF!</f>
        <v>#REF!</v>
      </c>
      <c r="O42" s="37" t="e">
        <f>#REF!</f>
        <v>#REF!</v>
      </c>
      <c r="P42" s="37" t="e">
        <f>#REF!</f>
        <v>#REF!</v>
      </c>
      <c r="Q42" s="37" t="e">
        <f>#REF!</f>
        <v>#REF!</v>
      </c>
      <c r="R42" s="33" t="e">
        <f t="shared" si="14"/>
        <v>#REF!</v>
      </c>
      <c r="S42" s="38" t="e">
        <f t="shared" si="15"/>
        <v>#REF!</v>
      </c>
      <c r="U42" s="37" t="e">
        <f>#REF!</f>
        <v>#REF!</v>
      </c>
      <c r="V42" s="37" t="e">
        <f>#REF!</f>
        <v>#REF!</v>
      </c>
      <c r="W42" s="37" t="e">
        <f>#REF!</f>
        <v>#REF!</v>
      </c>
      <c r="X42" s="37" t="e">
        <f>#REF!</f>
        <v>#REF!</v>
      </c>
      <c r="Y42" s="37" t="e">
        <f>#REF!</f>
        <v>#REF!</v>
      </c>
      <c r="Z42" s="37" t="e">
        <f>#REF!</f>
        <v>#REF!</v>
      </c>
      <c r="AA42" s="37" t="e">
        <f>#REF!</f>
        <v>#REF!</v>
      </c>
      <c r="AB42" s="37" t="e">
        <f>#REF!</f>
        <v>#REF!</v>
      </c>
      <c r="AC42" s="37" t="e">
        <f>#REF!</f>
        <v>#REF!</v>
      </c>
      <c r="AD42" s="37" t="e">
        <f>#REF!</f>
        <v>#REF!</v>
      </c>
      <c r="AE42" s="37" t="e">
        <f>#REF!</f>
        <v>#REF!</v>
      </c>
      <c r="AF42" s="37" t="e">
        <f>#REF!</f>
        <v>#REF!</v>
      </c>
      <c r="AG42" s="12" t="e">
        <f t="shared" si="16"/>
        <v>#REF!</v>
      </c>
      <c r="AH42" s="38" t="e">
        <f t="shared" si="13"/>
        <v>#REF!</v>
      </c>
    </row>
    <row r="43" spans="1:34" ht="20.100000000000001" hidden="1" customHeight="1">
      <c r="A43" s="15" t="s">
        <v>59</v>
      </c>
      <c r="B43" s="12"/>
      <c r="C43" s="12"/>
      <c r="D43" s="12"/>
      <c r="E43" s="36">
        <f t="shared" si="17"/>
        <v>0</v>
      </c>
      <c r="F43" s="37" t="e">
        <f>#REF!</f>
        <v>#REF!</v>
      </c>
      <c r="G43" s="37" t="e">
        <f>#REF!</f>
        <v>#REF!</v>
      </c>
      <c r="H43" s="37" t="e">
        <f>#REF!</f>
        <v>#REF!</v>
      </c>
      <c r="I43" s="37" t="e">
        <f>#REF!</f>
        <v>#REF!</v>
      </c>
      <c r="J43" s="37" t="e">
        <f>#REF!</f>
        <v>#REF!</v>
      </c>
      <c r="K43" s="37" t="e">
        <f>#REF!</f>
        <v>#REF!</v>
      </c>
      <c r="L43" s="37" t="e">
        <f>#REF!</f>
        <v>#REF!</v>
      </c>
      <c r="M43" s="37" t="e">
        <f>#REF!</f>
        <v>#REF!</v>
      </c>
      <c r="N43" s="37" t="e">
        <f>#REF!</f>
        <v>#REF!</v>
      </c>
      <c r="O43" s="37" t="e">
        <f>#REF!</f>
        <v>#REF!</v>
      </c>
      <c r="P43" s="37" t="e">
        <f>#REF!</f>
        <v>#REF!</v>
      </c>
      <c r="Q43" s="37" t="e">
        <f>#REF!</f>
        <v>#REF!</v>
      </c>
      <c r="R43" s="33" t="e">
        <f t="shared" si="14"/>
        <v>#REF!</v>
      </c>
      <c r="S43" s="38" t="e">
        <f t="shared" si="15"/>
        <v>#REF!</v>
      </c>
      <c r="U43" s="37" t="e">
        <f>#REF!</f>
        <v>#REF!</v>
      </c>
      <c r="V43" s="37" t="e">
        <f>#REF!</f>
        <v>#REF!</v>
      </c>
      <c r="W43" s="37" t="e">
        <f>#REF!</f>
        <v>#REF!</v>
      </c>
      <c r="X43" s="37" t="e">
        <f>#REF!</f>
        <v>#REF!</v>
      </c>
      <c r="Y43" s="37" t="e">
        <f>#REF!</f>
        <v>#REF!</v>
      </c>
      <c r="Z43" s="37" t="e">
        <f>#REF!</f>
        <v>#REF!</v>
      </c>
      <c r="AA43" s="37" t="e">
        <f>#REF!</f>
        <v>#REF!</v>
      </c>
      <c r="AB43" s="37" t="e">
        <f>#REF!</f>
        <v>#REF!</v>
      </c>
      <c r="AC43" s="37" t="e">
        <f>#REF!</f>
        <v>#REF!</v>
      </c>
      <c r="AD43" s="37" t="e">
        <f>#REF!</f>
        <v>#REF!</v>
      </c>
      <c r="AE43" s="37" t="e">
        <f>#REF!</f>
        <v>#REF!</v>
      </c>
      <c r="AF43" s="37" t="e">
        <f>#REF!</f>
        <v>#REF!</v>
      </c>
      <c r="AG43" s="12" t="e">
        <f t="shared" si="16"/>
        <v>#REF!</v>
      </c>
      <c r="AH43" s="38" t="e">
        <f t="shared" si="13"/>
        <v>#REF!</v>
      </c>
    </row>
    <row r="44" spans="1:34" ht="20.100000000000001" hidden="1" customHeight="1">
      <c r="A44" s="15" t="s">
        <v>60</v>
      </c>
      <c r="B44" s="12"/>
      <c r="C44" s="12"/>
      <c r="D44" s="12"/>
      <c r="E44" s="36">
        <f t="shared" si="17"/>
        <v>0</v>
      </c>
      <c r="F44" s="37" t="e">
        <f>#REF!</f>
        <v>#REF!</v>
      </c>
      <c r="G44" s="37" t="e">
        <f>#REF!</f>
        <v>#REF!</v>
      </c>
      <c r="H44" s="37" t="e">
        <f>#REF!</f>
        <v>#REF!</v>
      </c>
      <c r="I44" s="37" t="e">
        <f>#REF!</f>
        <v>#REF!</v>
      </c>
      <c r="J44" s="37" t="e">
        <f>#REF!</f>
        <v>#REF!</v>
      </c>
      <c r="K44" s="37" t="e">
        <f>#REF!</f>
        <v>#REF!</v>
      </c>
      <c r="L44" s="37" t="e">
        <f>#REF!</f>
        <v>#REF!</v>
      </c>
      <c r="M44" s="37" t="e">
        <f>#REF!</f>
        <v>#REF!</v>
      </c>
      <c r="N44" s="37" t="e">
        <f>#REF!</f>
        <v>#REF!</v>
      </c>
      <c r="O44" s="37" t="e">
        <f>#REF!</f>
        <v>#REF!</v>
      </c>
      <c r="P44" s="37" t="e">
        <f>#REF!</f>
        <v>#REF!</v>
      </c>
      <c r="Q44" s="37" t="e">
        <f>#REF!</f>
        <v>#REF!</v>
      </c>
      <c r="R44" s="33" t="e">
        <f t="shared" si="14"/>
        <v>#REF!</v>
      </c>
      <c r="S44" s="38" t="e">
        <f t="shared" si="15"/>
        <v>#REF!</v>
      </c>
      <c r="U44" s="37" t="e">
        <f>#REF!</f>
        <v>#REF!</v>
      </c>
      <c r="V44" s="37" t="e">
        <f>#REF!</f>
        <v>#REF!</v>
      </c>
      <c r="W44" s="37" t="e">
        <f>#REF!</f>
        <v>#REF!</v>
      </c>
      <c r="X44" s="37" t="e">
        <f>#REF!</f>
        <v>#REF!</v>
      </c>
      <c r="Y44" s="37" t="e">
        <f>#REF!</f>
        <v>#REF!</v>
      </c>
      <c r="Z44" s="37" t="e">
        <f>#REF!</f>
        <v>#REF!</v>
      </c>
      <c r="AA44" s="37" t="e">
        <f>#REF!</f>
        <v>#REF!</v>
      </c>
      <c r="AB44" s="37" t="e">
        <f>#REF!</f>
        <v>#REF!</v>
      </c>
      <c r="AC44" s="37" t="e">
        <f>#REF!</f>
        <v>#REF!</v>
      </c>
      <c r="AD44" s="37" t="e">
        <f>#REF!</f>
        <v>#REF!</v>
      </c>
      <c r="AE44" s="37" t="e">
        <f>#REF!</f>
        <v>#REF!</v>
      </c>
      <c r="AF44" s="37" t="e">
        <f>#REF!</f>
        <v>#REF!</v>
      </c>
      <c r="AG44" s="12" t="e">
        <f t="shared" si="16"/>
        <v>#REF!</v>
      </c>
      <c r="AH44" s="38" t="e">
        <f t="shared" si="13"/>
        <v>#REF!</v>
      </c>
    </row>
    <row r="45" spans="1:34" ht="20.100000000000001" hidden="1" customHeight="1">
      <c r="A45" s="15" t="s">
        <v>61</v>
      </c>
      <c r="B45" s="12"/>
      <c r="C45" s="12"/>
      <c r="D45" s="12"/>
      <c r="E45" s="36">
        <f t="shared" si="9"/>
        <v>0</v>
      </c>
      <c r="F45" s="37" t="e">
        <f>#REF!</f>
        <v>#REF!</v>
      </c>
      <c r="G45" s="37" t="e">
        <f>#REF!</f>
        <v>#REF!</v>
      </c>
      <c r="H45" s="37" t="e">
        <f>#REF!</f>
        <v>#REF!</v>
      </c>
      <c r="I45" s="37" t="e">
        <f>#REF!</f>
        <v>#REF!</v>
      </c>
      <c r="J45" s="37" t="e">
        <f>#REF!</f>
        <v>#REF!</v>
      </c>
      <c r="K45" s="37" t="e">
        <f>#REF!</f>
        <v>#REF!</v>
      </c>
      <c r="L45" s="37" t="e">
        <f>#REF!</f>
        <v>#REF!</v>
      </c>
      <c r="M45" s="37" t="e">
        <f>#REF!</f>
        <v>#REF!</v>
      </c>
      <c r="N45" s="37" t="e">
        <f>#REF!</f>
        <v>#REF!</v>
      </c>
      <c r="O45" s="37" t="e">
        <f>#REF!</f>
        <v>#REF!</v>
      </c>
      <c r="P45" s="37" t="e">
        <f>#REF!</f>
        <v>#REF!</v>
      </c>
      <c r="Q45" s="37" t="e">
        <f>#REF!</f>
        <v>#REF!</v>
      </c>
      <c r="R45" s="33" t="e">
        <f t="shared" si="14"/>
        <v>#REF!</v>
      </c>
      <c r="S45" s="38" t="e">
        <f t="shared" si="15"/>
        <v>#REF!</v>
      </c>
      <c r="U45" s="37" t="e">
        <f>#REF!</f>
        <v>#REF!</v>
      </c>
      <c r="V45" s="37" t="e">
        <f>#REF!</f>
        <v>#REF!</v>
      </c>
      <c r="W45" s="37" t="e">
        <f>#REF!</f>
        <v>#REF!</v>
      </c>
      <c r="X45" s="37" t="e">
        <f>#REF!</f>
        <v>#REF!</v>
      </c>
      <c r="Y45" s="37" t="e">
        <f>#REF!</f>
        <v>#REF!</v>
      </c>
      <c r="Z45" s="37" t="e">
        <f>#REF!</f>
        <v>#REF!</v>
      </c>
      <c r="AA45" s="37" t="e">
        <f>#REF!</f>
        <v>#REF!</v>
      </c>
      <c r="AB45" s="37" t="e">
        <f>#REF!</f>
        <v>#REF!</v>
      </c>
      <c r="AC45" s="37" t="e">
        <f>#REF!</f>
        <v>#REF!</v>
      </c>
      <c r="AD45" s="37" t="e">
        <f>#REF!</f>
        <v>#REF!</v>
      </c>
      <c r="AE45" s="37" t="e">
        <f>#REF!</f>
        <v>#REF!</v>
      </c>
      <c r="AF45" s="37" t="e">
        <f>#REF!</f>
        <v>#REF!</v>
      </c>
      <c r="AG45" s="12" t="e">
        <f t="shared" si="16"/>
        <v>#REF!</v>
      </c>
      <c r="AH45" s="38" t="e">
        <f t="shared" si="13"/>
        <v>#REF!</v>
      </c>
    </row>
    <row r="46" spans="1:34" ht="20.100000000000001" customHeight="1"/>
    <row r="47" spans="1:34" ht="20.100000000000001" customHeight="1">
      <c r="A47" s="40" t="s">
        <v>40</v>
      </c>
      <c r="B47" s="41" t="s">
        <v>21</v>
      </c>
      <c r="C47" s="42" t="s">
        <v>41</v>
      </c>
      <c r="D47" s="41">
        <v>2021</v>
      </c>
      <c r="E47" s="32" t="s">
        <v>22</v>
      </c>
      <c r="F47" s="33" t="s">
        <v>23</v>
      </c>
      <c r="G47" s="33" t="s">
        <v>25</v>
      </c>
      <c r="H47" s="33" t="s">
        <v>27</v>
      </c>
      <c r="I47" s="33" t="s">
        <v>29</v>
      </c>
      <c r="J47" s="33" t="s">
        <v>30</v>
      </c>
      <c r="K47" s="33" t="s">
        <v>32</v>
      </c>
      <c r="L47" s="33" t="s">
        <v>33</v>
      </c>
      <c r="M47" s="33" t="s">
        <v>34</v>
      </c>
      <c r="N47" s="33" t="s">
        <v>35</v>
      </c>
      <c r="O47" s="33" t="s">
        <v>2</v>
      </c>
      <c r="P47" s="33" t="s">
        <v>36</v>
      </c>
      <c r="Q47" s="33" t="s">
        <v>37</v>
      </c>
      <c r="R47" s="41" t="s">
        <v>39</v>
      </c>
      <c r="S47" s="34" t="s">
        <v>38</v>
      </c>
      <c r="U47" s="33" t="s">
        <v>23</v>
      </c>
      <c r="V47" s="33" t="s">
        <v>24</v>
      </c>
      <c r="W47" s="33" t="s">
        <v>26</v>
      </c>
      <c r="X47" s="33" t="s">
        <v>28</v>
      </c>
      <c r="Y47" s="33" t="s">
        <v>1</v>
      </c>
      <c r="Z47" s="33" t="s">
        <v>31</v>
      </c>
      <c r="AA47" s="33" t="s">
        <v>33</v>
      </c>
      <c r="AB47" s="33" t="s">
        <v>34</v>
      </c>
      <c r="AC47" s="33" t="s">
        <v>35</v>
      </c>
      <c r="AD47" s="33" t="s">
        <v>2</v>
      </c>
      <c r="AE47" s="33" t="s">
        <v>36</v>
      </c>
      <c r="AF47" s="33" t="s">
        <v>37</v>
      </c>
      <c r="AG47" s="41" t="s">
        <v>18</v>
      </c>
      <c r="AH47" s="34" t="s">
        <v>38</v>
      </c>
    </row>
    <row r="48" spans="1:34" ht="20.100000000000001" customHeight="1">
      <c r="A48" s="40"/>
      <c r="B48" s="41"/>
      <c r="C48" s="42"/>
      <c r="D48" s="41"/>
      <c r="E48" s="32"/>
      <c r="F48" s="33" t="s">
        <v>20</v>
      </c>
      <c r="G48" s="33" t="s">
        <v>20</v>
      </c>
      <c r="H48" s="33" t="s">
        <v>20</v>
      </c>
      <c r="I48" s="33" t="s">
        <v>20</v>
      </c>
      <c r="J48" s="33" t="s">
        <v>20</v>
      </c>
      <c r="K48" s="33" t="s">
        <v>20</v>
      </c>
      <c r="L48" s="33" t="s">
        <v>20</v>
      </c>
      <c r="M48" s="33" t="s">
        <v>20</v>
      </c>
      <c r="N48" s="33" t="s">
        <v>20</v>
      </c>
      <c r="O48" s="33" t="s">
        <v>20</v>
      </c>
      <c r="P48" s="33" t="s">
        <v>20</v>
      </c>
      <c r="Q48" s="33" t="s">
        <v>20</v>
      </c>
      <c r="R48" s="41"/>
      <c r="S48" s="34" t="s">
        <v>20</v>
      </c>
      <c r="U48" s="33" t="s">
        <v>18</v>
      </c>
      <c r="V48" s="33" t="s">
        <v>18</v>
      </c>
      <c r="W48" s="33" t="s">
        <v>18</v>
      </c>
      <c r="X48" s="33" t="s">
        <v>18</v>
      </c>
      <c r="Y48" s="33" t="s">
        <v>18</v>
      </c>
      <c r="Z48" s="33" t="s">
        <v>18</v>
      </c>
      <c r="AA48" s="33" t="s">
        <v>18</v>
      </c>
      <c r="AB48" s="33" t="s">
        <v>18</v>
      </c>
      <c r="AC48" s="33" t="s">
        <v>18</v>
      </c>
      <c r="AD48" s="33" t="s">
        <v>18</v>
      </c>
      <c r="AE48" s="33" t="s">
        <v>18</v>
      </c>
      <c r="AF48" s="33" t="s">
        <v>18</v>
      </c>
      <c r="AG48" s="41"/>
      <c r="AH48" s="34" t="s">
        <v>18</v>
      </c>
    </row>
    <row r="49" spans="1:34" ht="20.100000000000001" customHeight="1">
      <c r="A49" s="15" t="s">
        <v>76</v>
      </c>
      <c r="B49" s="12"/>
      <c r="C49" s="12"/>
      <c r="D49" s="12"/>
      <c r="E49" s="36">
        <f t="shared" ref="E49:E68" si="18">SUM(B49:D49)</f>
        <v>0</v>
      </c>
      <c r="F49" s="37" t="e">
        <f>#REF!</f>
        <v>#REF!</v>
      </c>
      <c r="G49" s="37" t="e">
        <f>#REF!</f>
        <v>#REF!</v>
      </c>
      <c r="H49" s="37" t="e">
        <f>#REF!</f>
        <v>#REF!</v>
      </c>
      <c r="I49" s="37" t="e">
        <f>#REF!</f>
        <v>#REF!</v>
      </c>
      <c r="J49" s="37" t="e">
        <f>#REF!</f>
        <v>#REF!</v>
      </c>
      <c r="K49" s="37" t="e">
        <f>#REF!</f>
        <v>#REF!</v>
      </c>
      <c r="L49" s="37" t="e">
        <f>#REF!</f>
        <v>#REF!</v>
      </c>
      <c r="M49" s="37" t="e">
        <f>#REF!</f>
        <v>#REF!</v>
      </c>
      <c r="N49" s="37" t="e">
        <f>#REF!</f>
        <v>#REF!</v>
      </c>
      <c r="O49" s="37" t="e">
        <f>#REF!</f>
        <v>#REF!</v>
      </c>
      <c r="P49" s="37" t="e">
        <f>#REF!</f>
        <v>#REF!</v>
      </c>
      <c r="Q49" s="37" t="e">
        <f>#REF!</f>
        <v>#REF!</v>
      </c>
      <c r="R49" s="33" t="e">
        <f t="shared" ref="R49" si="19">SUM(F49+G49+H49+I49+J49+K49+L49+M49+N49+O49+P49+Q49)</f>
        <v>#REF!</v>
      </c>
      <c r="S49" s="38" t="e">
        <f t="shared" ref="S49" si="20">SUM(E49-R49)</f>
        <v>#REF!</v>
      </c>
      <c r="U49" s="37" t="e">
        <f>#REF!</f>
        <v>#REF!</v>
      </c>
      <c r="V49" s="37" t="e">
        <f>#REF!</f>
        <v>#REF!</v>
      </c>
      <c r="W49" s="37" t="e">
        <f>#REF!</f>
        <v>#REF!</v>
      </c>
      <c r="X49" s="37" t="e">
        <f>#REF!</f>
        <v>#REF!</v>
      </c>
      <c r="Y49" s="37" t="e">
        <f>#REF!</f>
        <v>#REF!</v>
      </c>
      <c r="Z49" s="37" t="e">
        <f>#REF!</f>
        <v>#REF!</v>
      </c>
      <c r="AA49" s="37" t="e">
        <f>#REF!</f>
        <v>#REF!</v>
      </c>
      <c r="AB49" s="37" t="e">
        <f>#REF!</f>
        <v>#REF!</v>
      </c>
      <c r="AC49" s="37" t="e">
        <f>#REF!</f>
        <v>#REF!</v>
      </c>
      <c r="AD49" s="37" t="e">
        <f>#REF!</f>
        <v>#REF!</v>
      </c>
      <c r="AE49" s="37" t="e">
        <f>#REF!</f>
        <v>#REF!</v>
      </c>
      <c r="AF49" s="37" t="e">
        <f>#REF!</f>
        <v>#REF!</v>
      </c>
      <c r="AG49" s="12" t="e">
        <f t="shared" ref="AG49" si="21">SUM(U49+V49+W49+X49+Y49+Z49+AA49+AB49+AC49+AD49+AE49+AF49)</f>
        <v>#REF!</v>
      </c>
      <c r="AH49" s="38" t="e">
        <f t="shared" ref="AH49:AH68" si="22">SUM(16-AG49)</f>
        <v>#REF!</v>
      </c>
    </row>
    <row r="50" spans="1:34" ht="20.100000000000001" customHeight="1">
      <c r="A50" s="15" t="s">
        <v>77</v>
      </c>
      <c r="B50" s="12"/>
      <c r="C50" s="12"/>
      <c r="D50" s="12">
        <v>30</v>
      </c>
      <c r="E50" s="36">
        <f t="shared" si="18"/>
        <v>30</v>
      </c>
      <c r="F50" s="37" t="e">
        <f>#REF!</f>
        <v>#REF!</v>
      </c>
      <c r="G50" s="37" t="e">
        <f>#REF!</f>
        <v>#REF!</v>
      </c>
      <c r="H50" s="37" t="e">
        <f>#REF!</f>
        <v>#REF!</v>
      </c>
      <c r="I50" s="37" t="e">
        <f>#REF!</f>
        <v>#REF!</v>
      </c>
      <c r="J50" s="37" t="e">
        <f>#REF!</f>
        <v>#REF!</v>
      </c>
      <c r="K50" s="37" t="e">
        <f>#REF!</f>
        <v>#REF!</v>
      </c>
      <c r="L50" s="37" t="e">
        <f>#REF!</f>
        <v>#REF!</v>
      </c>
      <c r="M50" s="37" t="e">
        <f>#REF!</f>
        <v>#REF!</v>
      </c>
      <c r="N50" s="37" t="e">
        <f>#REF!</f>
        <v>#REF!</v>
      </c>
      <c r="O50" s="37" t="e">
        <f>#REF!</f>
        <v>#REF!</v>
      </c>
      <c r="P50" s="37" t="e">
        <f>#REF!</f>
        <v>#REF!</v>
      </c>
      <c r="Q50" s="37" t="e">
        <f>#REF!</f>
        <v>#REF!</v>
      </c>
      <c r="R50" s="33" t="e">
        <f t="shared" ref="R50:R68" si="23">SUM(F50+G50+H50+I50+J50+K50+L50+M50+N50+O50+P50+Q50)</f>
        <v>#REF!</v>
      </c>
      <c r="S50" s="38" t="e">
        <f t="shared" ref="S50:S68" si="24">SUM(E50-R50)</f>
        <v>#REF!</v>
      </c>
      <c r="U50" s="37" t="e">
        <f>#REF!</f>
        <v>#REF!</v>
      </c>
      <c r="V50" s="37" t="e">
        <f>#REF!</f>
        <v>#REF!</v>
      </c>
      <c r="W50" s="37" t="e">
        <f>#REF!</f>
        <v>#REF!</v>
      </c>
      <c r="X50" s="37" t="e">
        <f>#REF!</f>
        <v>#REF!</v>
      </c>
      <c r="Y50" s="37" t="e">
        <f>#REF!</f>
        <v>#REF!</v>
      </c>
      <c r="Z50" s="37" t="e">
        <f>#REF!</f>
        <v>#REF!</v>
      </c>
      <c r="AA50" s="37" t="e">
        <f>#REF!</f>
        <v>#REF!</v>
      </c>
      <c r="AB50" s="37" t="e">
        <f>#REF!</f>
        <v>#REF!</v>
      </c>
      <c r="AC50" s="37" t="e">
        <f>#REF!</f>
        <v>#REF!</v>
      </c>
      <c r="AD50" s="37" t="e">
        <f>#REF!</f>
        <v>#REF!</v>
      </c>
      <c r="AE50" s="37" t="e">
        <f>#REF!</f>
        <v>#REF!</v>
      </c>
      <c r="AF50" s="37" t="e">
        <f>#REF!</f>
        <v>#REF!</v>
      </c>
      <c r="AG50" s="12" t="e">
        <f t="shared" ref="AG50:AG68" si="25">SUM(U50+V50+W50+X50+Y50+Z50+AA50+AB50+AC50+AD50+AE50+AF50)</f>
        <v>#REF!</v>
      </c>
      <c r="AH50" s="38" t="e">
        <f t="shared" si="22"/>
        <v>#REF!</v>
      </c>
    </row>
    <row r="51" spans="1:34" ht="20.100000000000001" customHeight="1">
      <c r="A51" s="15" t="s">
        <v>78</v>
      </c>
      <c r="B51" s="12"/>
      <c r="C51" s="12"/>
      <c r="D51" s="12"/>
      <c r="E51" s="36">
        <f t="shared" si="18"/>
        <v>0</v>
      </c>
      <c r="F51" s="37" t="e">
        <f>#REF!</f>
        <v>#REF!</v>
      </c>
      <c r="G51" s="37" t="e">
        <f>#REF!</f>
        <v>#REF!</v>
      </c>
      <c r="H51" s="37" t="e">
        <f>#REF!</f>
        <v>#REF!</v>
      </c>
      <c r="I51" s="37" t="e">
        <f>#REF!</f>
        <v>#REF!</v>
      </c>
      <c r="J51" s="37" t="e">
        <f>#REF!</f>
        <v>#REF!</v>
      </c>
      <c r="K51" s="37" t="e">
        <f>#REF!</f>
        <v>#REF!</v>
      </c>
      <c r="L51" s="37" t="e">
        <f>#REF!</f>
        <v>#REF!</v>
      </c>
      <c r="M51" s="37" t="e">
        <f>#REF!</f>
        <v>#REF!</v>
      </c>
      <c r="N51" s="37" t="e">
        <f>#REF!</f>
        <v>#REF!</v>
      </c>
      <c r="O51" s="37" t="e">
        <f>#REF!</f>
        <v>#REF!</v>
      </c>
      <c r="P51" s="37" t="e">
        <f>#REF!</f>
        <v>#REF!</v>
      </c>
      <c r="Q51" s="37" t="e">
        <f>#REF!</f>
        <v>#REF!</v>
      </c>
      <c r="R51" s="33" t="e">
        <f t="shared" si="23"/>
        <v>#REF!</v>
      </c>
      <c r="S51" s="38" t="e">
        <f t="shared" si="24"/>
        <v>#REF!</v>
      </c>
      <c r="U51" s="37" t="e">
        <f>#REF!</f>
        <v>#REF!</v>
      </c>
      <c r="V51" s="37" t="e">
        <f>#REF!</f>
        <v>#REF!</v>
      </c>
      <c r="W51" s="37" t="e">
        <f>#REF!</f>
        <v>#REF!</v>
      </c>
      <c r="X51" s="37" t="e">
        <f>#REF!</f>
        <v>#REF!</v>
      </c>
      <c r="Y51" s="37" t="e">
        <f>#REF!</f>
        <v>#REF!</v>
      </c>
      <c r="Z51" s="37" t="e">
        <f>#REF!</f>
        <v>#REF!</v>
      </c>
      <c r="AA51" s="37" t="e">
        <f>#REF!</f>
        <v>#REF!</v>
      </c>
      <c r="AB51" s="37" t="e">
        <f>#REF!</f>
        <v>#REF!</v>
      </c>
      <c r="AC51" s="37" t="e">
        <f>#REF!</f>
        <v>#REF!</v>
      </c>
      <c r="AD51" s="37" t="e">
        <f>#REF!</f>
        <v>#REF!</v>
      </c>
      <c r="AE51" s="37" t="e">
        <f>#REF!</f>
        <v>#REF!</v>
      </c>
      <c r="AF51" s="37" t="e">
        <f>#REF!</f>
        <v>#REF!</v>
      </c>
      <c r="AG51" s="12" t="e">
        <f t="shared" si="25"/>
        <v>#REF!</v>
      </c>
      <c r="AH51" s="38" t="e">
        <f t="shared" si="22"/>
        <v>#REF!</v>
      </c>
    </row>
    <row r="52" spans="1:34" ht="20.100000000000001" customHeight="1">
      <c r="A52" s="15" t="s">
        <v>79</v>
      </c>
      <c r="B52" s="12"/>
      <c r="C52" s="12"/>
      <c r="D52" s="12">
        <v>30</v>
      </c>
      <c r="E52" s="36">
        <f t="shared" si="18"/>
        <v>30</v>
      </c>
      <c r="F52" s="37" t="e">
        <f>#REF!</f>
        <v>#REF!</v>
      </c>
      <c r="G52" s="37" t="e">
        <f>#REF!</f>
        <v>#REF!</v>
      </c>
      <c r="H52" s="37" t="e">
        <f>#REF!</f>
        <v>#REF!</v>
      </c>
      <c r="I52" s="37" t="e">
        <f>#REF!</f>
        <v>#REF!</v>
      </c>
      <c r="J52" s="37" t="e">
        <f>#REF!</f>
        <v>#REF!</v>
      </c>
      <c r="K52" s="37" t="e">
        <f>#REF!</f>
        <v>#REF!</v>
      </c>
      <c r="L52" s="37" t="e">
        <f>#REF!</f>
        <v>#REF!</v>
      </c>
      <c r="M52" s="37" t="e">
        <f>#REF!</f>
        <v>#REF!</v>
      </c>
      <c r="N52" s="37" t="e">
        <f>#REF!</f>
        <v>#REF!</v>
      </c>
      <c r="O52" s="37" t="e">
        <f>#REF!</f>
        <v>#REF!</v>
      </c>
      <c r="P52" s="37" t="e">
        <f>#REF!</f>
        <v>#REF!</v>
      </c>
      <c r="Q52" s="37" t="e">
        <f>#REF!</f>
        <v>#REF!</v>
      </c>
      <c r="R52" s="33" t="e">
        <f t="shared" si="23"/>
        <v>#REF!</v>
      </c>
      <c r="S52" s="38" t="e">
        <f t="shared" si="24"/>
        <v>#REF!</v>
      </c>
      <c r="U52" s="37" t="e">
        <f>#REF!</f>
        <v>#REF!</v>
      </c>
      <c r="V52" s="37" t="e">
        <f>#REF!</f>
        <v>#REF!</v>
      </c>
      <c r="W52" s="37" t="e">
        <f>#REF!</f>
        <v>#REF!</v>
      </c>
      <c r="X52" s="37" t="e">
        <f>#REF!</f>
        <v>#REF!</v>
      </c>
      <c r="Y52" s="37" t="e">
        <f>#REF!</f>
        <v>#REF!</v>
      </c>
      <c r="Z52" s="37" t="e">
        <f>#REF!</f>
        <v>#REF!</v>
      </c>
      <c r="AA52" s="37" t="e">
        <f>#REF!</f>
        <v>#REF!</v>
      </c>
      <c r="AB52" s="37" t="e">
        <f>#REF!</f>
        <v>#REF!</v>
      </c>
      <c r="AC52" s="37" t="e">
        <f>#REF!</f>
        <v>#REF!</v>
      </c>
      <c r="AD52" s="37" t="e">
        <f>#REF!</f>
        <v>#REF!</v>
      </c>
      <c r="AE52" s="37" t="e">
        <f>#REF!</f>
        <v>#REF!</v>
      </c>
      <c r="AF52" s="37" t="e">
        <f>#REF!</f>
        <v>#REF!</v>
      </c>
      <c r="AG52" s="12" t="e">
        <f t="shared" si="25"/>
        <v>#REF!</v>
      </c>
      <c r="AH52" s="38" t="e">
        <f t="shared" si="22"/>
        <v>#REF!</v>
      </c>
    </row>
    <row r="53" spans="1:34" ht="20.100000000000001" customHeight="1">
      <c r="A53" s="15" t="s">
        <v>80</v>
      </c>
      <c r="B53" s="12"/>
      <c r="C53" s="12"/>
      <c r="D53" s="12"/>
      <c r="E53" s="36">
        <f t="shared" si="18"/>
        <v>0</v>
      </c>
      <c r="F53" s="37" t="e">
        <f>#REF!</f>
        <v>#REF!</v>
      </c>
      <c r="G53" s="37" t="e">
        <f>#REF!</f>
        <v>#REF!</v>
      </c>
      <c r="H53" s="37" t="e">
        <f>#REF!</f>
        <v>#REF!</v>
      </c>
      <c r="I53" s="37" t="e">
        <f>#REF!</f>
        <v>#REF!</v>
      </c>
      <c r="J53" s="37" t="e">
        <f>#REF!</f>
        <v>#REF!</v>
      </c>
      <c r="K53" s="37" t="e">
        <f>#REF!</f>
        <v>#REF!</v>
      </c>
      <c r="L53" s="37" t="e">
        <f>#REF!</f>
        <v>#REF!</v>
      </c>
      <c r="M53" s="37" t="e">
        <f>#REF!</f>
        <v>#REF!</v>
      </c>
      <c r="N53" s="37" t="e">
        <f>#REF!</f>
        <v>#REF!</v>
      </c>
      <c r="O53" s="37" t="e">
        <f>#REF!</f>
        <v>#REF!</v>
      </c>
      <c r="P53" s="37" t="e">
        <f>#REF!</f>
        <v>#REF!</v>
      </c>
      <c r="Q53" s="37" t="e">
        <f>#REF!</f>
        <v>#REF!</v>
      </c>
      <c r="R53" s="33" t="e">
        <f t="shared" si="23"/>
        <v>#REF!</v>
      </c>
      <c r="S53" s="38" t="e">
        <f t="shared" si="24"/>
        <v>#REF!</v>
      </c>
      <c r="U53" s="37" t="e">
        <f>#REF!</f>
        <v>#REF!</v>
      </c>
      <c r="V53" s="37" t="e">
        <f>#REF!</f>
        <v>#REF!</v>
      </c>
      <c r="W53" s="37" t="e">
        <f>#REF!</f>
        <v>#REF!</v>
      </c>
      <c r="X53" s="37" t="e">
        <f>#REF!</f>
        <v>#REF!</v>
      </c>
      <c r="Y53" s="37" t="e">
        <f>#REF!</f>
        <v>#REF!</v>
      </c>
      <c r="Z53" s="37" t="e">
        <f>#REF!</f>
        <v>#REF!</v>
      </c>
      <c r="AA53" s="37" t="e">
        <f>#REF!</f>
        <v>#REF!</v>
      </c>
      <c r="AB53" s="37" t="e">
        <f>#REF!</f>
        <v>#REF!</v>
      </c>
      <c r="AC53" s="37" t="e">
        <f>#REF!</f>
        <v>#REF!</v>
      </c>
      <c r="AD53" s="37" t="e">
        <f>#REF!</f>
        <v>#REF!</v>
      </c>
      <c r="AE53" s="37" t="e">
        <f>#REF!</f>
        <v>#REF!</v>
      </c>
      <c r="AF53" s="37" t="e">
        <f>#REF!</f>
        <v>#REF!</v>
      </c>
      <c r="AG53" s="12" t="e">
        <f t="shared" si="25"/>
        <v>#REF!</v>
      </c>
      <c r="AH53" s="38" t="e">
        <f t="shared" si="22"/>
        <v>#REF!</v>
      </c>
    </row>
    <row r="54" spans="1:34" ht="20.100000000000001" customHeight="1">
      <c r="A54" s="15" t="s">
        <v>81</v>
      </c>
      <c r="B54" s="12"/>
      <c r="C54" s="12"/>
      <c r="D54" s="12"/>
      <c r="E54" s="36">
        <f t="shared" si="18"/>
        <v>0</v>
      </c>
      <c r="F54" s="37" t="e">
        <f>#REF!</f>
        <v>#REF!</v>
      </c>
      <c r="G54" s="37" t="e">
        <f>#REF!</f>
        <v>#REF!</v>
      </c>
      <c r="H54" s="37" t="e">
        <f>#REF!</f>
        <v>#REF!</v>
      </c>
      <c r="I54" s="37" t="e">
        <f>#REF!</f>
        <v>#REF!</v>
      </c>
      <c r="J54" s="37" t="e">
        <f>#REF!</f>
        <v>#REF!</v>
      </c>
      <c r="K54" s="37" t="e">
        <f>#REF!</f>
        <v>#REF!</v>
      </c>
      <c r="L54" s="37" t="e">
        <f>#REF!</f>
        <v>#REF!</v>
      </c>
      <c r="M54" s="37" t="e">
        <f>#REF!</f>
        <v>#REF!</v>
      </c>
      <c r="N54" s="37" t="e">
        <f>#REF!</f>
        <v>#REF!</v>
      </c>
      <c r="O54" s="37" t="e">
        <f>#REF!</f>
        <v>#REF!</v>
      </c>
      <c r="P54" s="37" t="e">
        <f>#REF!</f>
        <v>#REF!</v>
      </c>
      <c r="Q54" s="37" t="e">
        <f>#REF!</f>
        <v>#REF!</v>
      </c>
      <c r="R54" s="33" t="e">
        <f t="shared" si="23"/>
        <v>#REF!</v>
      </c>
      <c r="S54" s="38" t="e">
        <f t="shared" si="24"/>
        <v>#REF!</v>
      </c>
      <c r="U54" s="37" t="e">
        <f>#REF!</f>
        <v>#REF!</v>
      </c>
      <c r="V54" s="37" t="e">
        <f>#REF!</f>
        <v>#REF!</v>
      </c>
      <c r="W54" s="37" t="e">
        <f>#REF!</f>
        <v>#REF!</v>
      </c>
      <c r="X54" s="37" t="e">
        <f>#REF!</f>
        <v>#REF!</v>
      </c>
      <c r="Y54" s="37" t="e">
        <f>#REF!</f>
        <v>#REF!</v>
      </c>
      <c r="Z54" s="37" t="e">
        <f>#REF!</f>
        <v>#REF!</v>
      </c>
      <c r="AA54" s="37" t="e">
        <f>#REF!</f>
        <v>#REF!</v>
      </c>
      <c r="AB54" s="37" t="e">
        <f>#REF!</f>
        <v>#REF!</v>
      </c>
      <c r="AC54" s="37" t="e">
        <f>#REF!</f>
        <v>#REF!</v>
      </c>
      <c r="AD54" s="37" t="e">
        <f>#REF!</f>
        <v>#REF!</v>
      </c>
      <c r="AE54" s="37" t="e">
        <f>#REF!</f>
        <v>#REF!</v>
      </c>
      <c r="AF54" s="37" t="e">
        <f>#REF!</f>
        <v>#REF!</v>
      </c>
      <c r="AG54" s="12" t="e">
        <f t="shared" si="25"/>
        <v>#REF!</v>
      </c>
      <c r="AH54" s="38" t="e">
        <f t="shared" si="22"/>
        <v>#REF!</v>
      </c>
    </row>
    <row r="55" spans="1:34" ht="20.100000000000001" customHeight="1">
      <c r="A55" s="15" t="s">
        <v>82</v>
      </c>
      <c r="B55" s="12"/>
      <c r="C55" s="12"/>
      <c r="D55" s="12"/>
      <c r="E55" s="36">
        <f t="shared" si="18"/>
        <v>0</v>
      </c>
      <c r="F55" s="37" t="e">
        <f>#REF!</f>
        <v>#REF!</v>
      </c>
      <c r="G55" s="37" t="e">
        <f>#REF!</f>
        <v>#REF!</v>
      </c>
      <c r="H55" s="37" t="e">
        <f>#REF!</f>
        <v>#REF!</v>
      </c>
      <c r="I55" s="37" t="e">
        <f>#REF!</f>
        <v>#REF!</v>
      </c>
      <c r="J55" s="37" t="e">
        <f>#REF!</f>
        <v>#REF!</v>
      </c>
      <c r="K55" s="37" t="e">
        <f>#REF!</f>
        <v>#REF!</v>
      </c>
      <c r="L55" s="37" t="e">
        <f>#REF!</f>
        <v>#REF!</v>
      </c>
      <c r="M55" s="37" t="e">
        <f>#REF!</f>
        <v>#REF!</v>
      </c>
      <c r="N55" s="37" t="e">
        <f>#REF!</f>
        <v>#REF!</v>
      </c>
      <c r="O55" s="37" t="e">
        <f>#REF!</f>
        <v>#REF!</v>
      </c>
      <c r="P55" s="37" t="e">
        <f>#REF!</f>
        <v>#REF!</v>
      </c>
      <c r="Q55" s="37" t="e">
        <f>#REF!</f>
        <v>#REF!</v>
      </c>
      <c r="R55" s="33" t="e">
        <f t="shared" si="23"/>
        <v>#REF!</v>
      </c>
      <c r="S55" s="38" t="e">
        <f t="shared" si="24"/>
        <v>#REF!</v>
      </c>
      <c r="U55" s="37" t="e">
        <f>#REF!</f>
        <v>#REF!</v>
      </c>
      <c r="V55" s="37" t="e">
        <f>#REF!</f>
        <v>#REF!</v>
      </c>
      <c r="W55" s="37" t="e">
        <f>#REF!</f>
        <v>#REF!</v>
      </c>
      <c r="X55" s="37" t="e">
        <f>#REF!</f>
        <v>#REF!</v>
      </c>
      <c r="Y55" s="37" t="e">
        <f>#REF!</f>
        <v>#REF!</v>
      </c>
      <c r="Z55" s="37" t="e">
        <f>#REF!</f>
        <v>#REF!</v>
      </c>
      <c r="AA55" s="37" t="e">
        <f>#REF!</f>
        <v>#REF!</v>
      </c>
      <c r="AB55" s="37" t="e">
        <f>#REF!</f>
        <v>#REF!</v>
      </c>
      <c r="AC55" s="37" t="e">
        <f>#REF!</f>
        <v>#REF!</v>
      </c>
      <c r="AD55" s="37" t="e">
        <f>#REF!</f>
        <v>#REF!</v>
      </c>
      <c r="AE55" s="37" t="e">
        <f>#REF!</f>
        <v>#REF!</v>
      </c>
      <c r="AF55" s="37" t="e">
        <f>#REF!</f>
        <v>#REF!</v>
      </c>
      <c r="AG55" s="12" t="e">
        <f t="shared" si="25"/>
        <v>#REF!</v>
      </c>
      <c r="AH55" s="38" t="e">
        <f t="shared" si="22"/>
        <v>#REF!</v>
      </c>
    </row>
    <row r="56" spans="1:34" ht="20.100000000000001" hidden="1" customHeight="1">
      <c r="A56" s="15" t="s">
        <v>49</v>
      </c>
      <c r="B56" s="12"/>
      <c r="C56" s="12"/>
      <c r="D56" s="12"/>
      <c r="E56" s="36">
        <f t="shared" si="18"/>
        <v>0</v>
      </c>
      <c r="F56" s="37" t="e">
        <f>#REF!</f>
        <v>#REF!</v>
      </c>
      <c r="G56" s="37" t="e">
        <f>#REF!</f>
        <v>#REF!</v>
      </c>
      <c r="H56" s="37" t="e">
        <f>#REF!</f>
        <v>#REF!</v>
      </c>
      <c r="I56" s="37" t="e">
        <f>#REF!</f>
        <v>#REF!</v>
      </c>
      <c r="J56" s="37" t="e">
        <f>#REF!</f>
        <v>#REF!</v>
      </c>
      <c r="K56" s="37" t="e">
        <f>#REF!</f>
        <v>#REF!</v>
      </c>
      <c r="L56" s="37" t="e">
        <f>#REF!</f>
        <v>#REF!</v>
      </c>
      <c r="M56" s="37" t="e">
        <f>#REF!</f>
        <v>#REF!</v>
      </c>
      <c r="N56" s="37" t="e">
        <f>#REF!</f>
        <v>#REF!</v>
      </c>
      <c r="O56" s="37" t="e">
        <f>#REF!</f>
        <v>#REF!</v>
      </c>
      <c r="P56" s="37" t="e">
        <f>#REF!</f>
        <v>#REF!</v>
      </c>
      <c r="Q56" s="37" t="e">
        <f>#REF!</f>
        <v>#REF!</v>
      </c>
      <c r="R56" s="33" t="e">
        <f t="shared" si="23"/>
        <v>#REF!</v>
      </c>
      <c r="S56" s="38" t="e">
        <f t="shared" si="24"/>
        <v>#REF!</v>
      </c>
      <c r="U56" s="37" t="e">
        <f>#REF!</f>
        <v>#REF!</v>
      </c>
      <c r="V56" s="37" t="e">
        <f>#REF!</f>
        <v>#REF!</v>
      </c>
      <c r="W56" s="37" t="e">
        <f>#REF!</f>
        <v>#REF!</v>
      </c>
      <c r="X56" s="37" t="e">
        <f>#REF!</f>
        <v>#REF!</v>
      </c>
      <c r="Y56" s="37" t="e">
        <f>#REF!</f>
        <v>#REF!</v>
      </c>
      <c r="Z56" s="37" t="e">
        <f>#REF!</f>
        <v>#REF!</v>
      </c>
      <c r="AA56" s="37" t="e">
        <f>#REF!</f>
        <v>#REF!</v>
      </c>
      <c r="AB56" s="37" t="e">
        <f>#REF!</f>
        <v>#REF!</v>
      </c>
      <c r="AC56" s="37" t="e">
        <f>#REF!</f>
        <v>#REF!</v>
      </c>
      <c r="AD56" s="37" t="e">
        <f>#REF!</f>
        <v>#REF!</v>
      </c>
      <c r="AE56" s="37" t="e">
        <f>#REF!</f>
        <v>#REF!</v>
      </c>
      <c r="AF56" s="37" t="e">
        <f>#REF!</f>
        <v>#REF!</v>
      </c>
      <c r="AG56" s="12" t="e">
        <f t="shared" si="25"/>
        <v>#REF!</v>
      </c>
      <c r="AH56" s="38" t="e">
        <f t="shared" si="22"/>
        <v>#REF!</v>
      </c>
    </row>
    <row r="57" spans="1:34" ht="20.100000000000001" hidden="1" customHeight="1">
      <c r="A57" s="15" t="s">
        <v>50</v>
      </c>
      <c r="B57" s="12"/>
      <c r="C57" s="12"/>
      <c r="D57" s="12"/>
      <c r="E57" s="36">
        <f t="shared" ref="E57:E67" si="26">SUM(B57:D57)</f>
        <v>0</v>
      </c>
      <c r="F57" s="37" t="e">
        <f>#REF!</f>
        <v>#REF!</v>
      </c>
      <c r="G57" s="37" t="e">
        <f>#REF!</f>
        <v>#REF!</v>
      </c>
      <c r="H57" s="37" t="e">
        <f>#REF!</f>
        <v>#REF!</v>
      </c>
      <c r="I57" s="37" t="e">
        <f>#REF!</f>
        <v>#REF!</v>
      </c>
      <c r="J57" s="37" t="e">
        <f>#REF!</f>
        <v>#REF!</v>
      </c>
      <c r="K57" s="37" t="e">
        <f>#REF!</f>
        <v>#REF!</v>
      </c>
      <c r="L57" s="37" t="e">
        <f>#REF!</f>
        <v>#REF!</v>
      </c>
      <c r="M57" s="37" t="e">
        <f>#REF!</f>
        <v>#REF!</v>
      </c>
      <c r="N57" s="37" t="e">
        <f>#REF!</f>
        <v>#REF!</v>
      </c>
      <c r="O57" s="37" t="e">
        <f>#REF!</f>
        <v>#REF!</v>
      </c>
      <c r="P57" s="37" t="e">
        <f>#REF!</f>
        <v>#REF!</v>
      </c>
      <c r="Q57" s="37" t="e">
        <f>#REF!</f>
        <v>#REF!</v>
      </c>
      <c r="R57" s="33" t="e">
        <f t="shared" si="23"/>
        <v>#REF!</v>
      </c>
      <c r="S57" s="38" t="e">
        <f t="shared" si="24"/>
        <v>#REF!</v>
      </c>
      <c r="U57" s="37" t="e">
        <f>#REF!</f>
        <v>#REF!</v>
      </c>
      <c r="V57" s="37" t="e">
        <f>#REF!</f>
        <v>#REF!</v>
      </c>
      <c r="W57" s="37" t="e">
        <f>#REF!</f>
        <v>#REF!</v>
      </c>
      <c r="X57" s="37" t="e">
        <f>#REF!</f>
        <v>#REF!</v>
      </c>
      <c r="Y57" s="37" t="e">
        <f>#REF!</f>
        <v>#REF!</v>
      </c>
      <c r="Z57" s="37" t="e">
        <f>#REF!</f>
        <v>#REF!</v>
      </c>
      <c r="AA57" s="37" t="e">
        <f>#REF!</f>
        <v>#REF!</v>
      </c>
      <c r="AB57" s="37" t="e">
        <f>#REF!</f>
        <v>#REF!</v>
      </c>
      <c r="AC57" s="37" t="e">
        <f>#REF!</f>
        <v>#REF!</v>
      </c>
      <c r="AD57" s="37" t="e">
        <f>#REF!</f>
        <v>#REF!</v>
      </c>
      <c r="AE57" s="37" t="e">
        <f>#REF!</f>
        <v>#REF!</v>
      </c>
      <c r="AF57" s="37" t="e">
        <f>#REF!</f>
        <v>#REF!</v>
      </c>
      <c r="AG57" s="12" t="e">
        <f t="shared" si="25"/>
        <v>#REF!</v>
      </c>
      <c r="AH57" s="38" t="e">
        <f t="shared" si="22"/>
        <v>#REF!</v>
      </c>
    </row>
    <row r="58" spans="1:34" ht="20.100000000000001" hidden="1" customHeight="1">
      <c r="A58" s="15" t="s">
        <v>44</v>
      </c>
      <c r="B58" s="12"/>
      <c r="C58" s="12"/>
      <c r="D58" s="12"/>
      <c r="E58" s="36">
        <f t="shared" si="26"/>
        <v>0</v>
      </c>
      <c r="F58" s="37" t="e">
        <f>#REF!</f>
        <v>#REF!</v>
      </c>
      <c r="G58" s="37" t="e">
        <f>#REF!</f>
        <v>#REF!</v>
      </c>
      <c r="H58" s="37" t="e">
        <f>#REF!</f>
        <v>#REF!</v>
      </c>
      <c r="I58" s="37" t="e">
        <f>#REF!</f>
        <v>#REF!</v>
      </c>
      <c r="J58" s="37" t="e">
        <f>#REF!</f>
        <v>#REF!</v>
      </c>
      <c r="K58" s="37" t="e">
        <f>#REF!</f>
        <v>#REF!</v>
      </c>
      <c r="L58" s="37" t="e">
        <f>#REF!</f>
        <v>#REF!</v>
      </c>
      <c r="M58" s="37" t="e">
        <f>#REF!</f>
        <v>#REF!</v>
      </c>
      <c r="N58" s="37" t="e">
        <f>#REF!</f>
        <v>#REF!</v>
      </c>
      <c r="O58" s="37" t="e">
        <f>#REF!</f>
        <v>#REF!</v>
      </c>
      <c r="P58" s="37" t="e">
        <f>#REF!</f>
        <v>#REF!</v>
      </c>
      <c r="Q58" s="37" t="e">
        <f>#REF!</f>
        <v>#REF!</v>
      </c>
      <c r="R58" s="33" t="e">
        <f t="shared" si="23"/>
        <v>#REF!</v>
      </c>
      <c r="S58" s="38" t="e">
        <f t="shared" si="24"/>
        <v>#REF!</v>
      </c>
      <c r="U58" s="37" t="e">
        <f>#REF!</f>
        <v>#REF!</v>
      </c>
      <c r="V58" s="37" t="e">
        <f>#REF!</f>
        <v>#REF!</v>
      </c>
      <c r="W58" s="37" t="e">
        <f>#REF!</f>
        <v>#REF!</v>
      </c>
      <c r="X58" s="37" t="e">
        <f>#REF!</f>
        <v>#REF!</v>
      </c>
      <c r="Y58" s="37" t="e">
        <f>#REF!</f>
        <v>#REF!</v>
      </c>
      <c r="Z58" s="37" t="e">
        <f>#REF!</f>
        <v>#REF!</v>
      </c>
      <c r="AA58" s="37" t="e">
        <f>#REF!</f>
        <v>#REF!</v>
      </c>
      <c r="AB58" s="37" t="e">
        <f>#REF!</f>
        <v>#REF!</v>
      </c>
      <c r="AC58" s="37" t="e">
        <f>#REF!</f>
        <v>#REF!</v>
      </c>
      <c r="AD58" s="37" t="e">
        <f>#REF!</f>
        <v>#REF!</v>
      </c>
      <c r="AE58" s="37" t="e">
        <f>#REF!</f>
        <v>#REF!</v>
      </c>
      <c r="AF58" s="37" t="e">
        <f>#REF!</f>
        <v>#REF!</v>
      </c>
      <c r="AG58" s="12" t="e">
        <f t="shared" si="25"/>
        <v>#REF!</v>
      </c>
      <c r="AH58" s="38" t="e">
        <f t="shared" si="22"/>
        <v>#REF!</v>
      </c>
    </row>
    <row r="59" spans="1:34" ht="20.100000000000001" hidden="1" customHeight="1">
      <c r="A59" s="15" t="s">
        <v>45</v>
      </c>
      <c r="B59" s="12"/>
      <c r="C59" s="12"/>
      <c r="D59" s="12"/>
      <c r="E59" s="36">
        <f t="shared" si="26"/>
        <v>0</v>
      </c>
      <c r="F59" s="37"/>
      <c r="G59" s="37" t="e">
        <f>#REF!</f>
        <v>#REF!</v>
      </c>
      <c r="H59" s="37" t="e">
        <f>#REF!</f>
        <v>#REF!</v>
      </c>
      <c r="I59" s="37" t="e">
        <f>#REF!</f>
        <v>#REF!</v>
      </c>
      <c r="J59" s="37" t="e">
        <f>#REF!</f>
        <v>#REF!</v>
      </c>
      <c r="K59" s="37" t="e">
        <f>#REF!</f>
        <v>#REF!</v>
      </c>
      <c r="L59" s="37" t="e">
        <f>#REF!</f>
        <v>#REF!</v>
      </c>
      <c r="M59" s="37" t="e">
        <f>#REF!</f>
        <v>#REF!</v>
      </c>
      <c r="N59" s="37" t="e">
        <f>#REF!</f>
        <v>#REF!</v>
      </c>
      <c r="O59" s="37" t="e">
        <f>#REF!</f>
        <v>#REF!</v>
      </c>
      <c r="P59" s="37" t="e">
        <f>#REF!</f>
        <v>#REF!</v>
      </c>
      <c r="Q59" s="37" t="e">
        <f>#REF!</f>
        <v>#REF!</v>
      </c>
      <c r="R59" s="33" t="e">
        <f t="shared" si="23"/>
        <v>#REF!</v>
      </c>
      <c r="S59" s="38" t="e">
        <f t="shared" si="24"/>
        <v>#REF!</v>
      </c>
      <c r="U59" s="37" t="e">
        <f>#REF!</f>
        <v>#REF!</v>
      </c>
      <c r="V59" s="37" t="e">
        <f>#REF!</f>
        <v>#REF!</v>
      </c>
      <c r="W59" s="37" t="e">
        <f>#REF!</f>
        <v>#REF!</v>
      </c>
      <c r="X59" s="37" t="e">
        <f>#REF!</f>
        <v>#REF!</v>
      </c>
      <c r="Y59" s="37" t="e">
        <f>#REF!</f>
        <v>#REF!</v>
      </c>
      <c r="Z59" s="37" t="e">
        <f>#REF!</f>
        <v>#REF!</v>
      </c>
      <c r="AA59" s="37" t="e">
        <f>#REF!</f>
        <v>#REF!</v>
      </c>
      <c r="AB59" s="37" t="e">
        <f>#REF!</f>
        <v>#REF!</v>
      </c>
      <c r="AC59" s="37" t="e">
        <f>#REF!</f>
        <v>#REF!</v>
      </c>
      <c r="AD59" s="37" t="e">
        <f>#REF!</f>
        <v>#REF!</v>
      </c>
      <c r="AE59" s="37" t="e">
        <f>#REF!</f>
        <v>#REF!</v>
      </c>
      <c r="AF59" s="37" t="e">
        <f>#REF!</f>
        <v>#REF!</v>
      </c>
      <c r="AG59" s="12" t="e">
        <f t="shared" si="25"/>
        <v>#REF!</v>
      </c>
      <c r="AH59" s="38" t="e">
        <f t="shared" si="22"/>
        <v>#REF!</v>
      </c>
    </row>
    <row r="60" spans="1:34" ht="20.100000000000001" hidden="1" customHeight="1">
      <c r="A60" s="15" t="s">
        <v>46</v>
      </c>
      <c r="B60" s="12"/>
      <c r="C60" s="12"/>
      <c r="D60" s="12"/>
      <c r="E60" s="36">
        <f t="shared" si="26"/>
        <v>0</v>
      </c>
      <c r="F60" s="37"/>
      <c r="G60" s="37" t="e">
        <f>#REF!</f>
        <v>#REF!</v>
      </c>
      <c r="H60" s="37" t="e">
        <f>#REF!</f>
        <v>#REF!</v>
      </c>
      <c r="I60" s="37" t="e">
        <f>#REF!</f>
        <v>#REF!</v>
      </c>
      <c r="J60" s="37" t="e">
        <f>#REF!</f>
        <v>#REF!</v>
      </c>
      <c r="K60" s="37" t="e">
        <f>#REF!</f>
        <v>#REF!</v>
      </c>
      <c r="L60" s="37" t="e">
        <f>#REF!</f>
        <v>#REF!</v>
      </c>
      <c r="M60" s="37" t="e">
        <f>#REF!</f>
        <v>#REF!</v>
      </c>
      <c r="N60" s="37" t="e">
        <f>#REF!</f>
        <v>#REF!</v>
      </c>
      <c r="O60" s="37" t="e">
        <f>#REF!</f>
        <v>#REF!</v>
      </c>
      <c r="P60" s="37" t="e">
        <f>#REF!</f>
        <v>#REF!</v>
      </c>
      <c r="Q60" s="37" t="e">
        <f>#REF!</f>
        <v>#REF!</v>
      </c>
      <c r="R60" s="33" t="e">
        <f t="shared" si="23"/>
        <v>#REF!</v>
      </c>
      <c r="S60" s="38" t="e">
        <f t="shared" si="24"/>
        <v>#REF!</v>
      </c>
      <c r="U60" s="37" t="e">
        <f>#REF!</f>
        <v>#REF!</v>
      </c>
      <c r="V60" s="37" t="e">
        <f>#REF!</f>
        <v>#REF!</v>
      </c>
      <c r="W60" s="37" t="e">
        <f>#REF!</f>
        <v>#REF!</v>
      </c>
      <c r="X60" s="37" t="e">
        <f>#REF!</f>
        <v>#REF!</v>
      </c>
      <c r="Y60" s="37" t="e">
        <f>#REF!</f>
        <v>#REF!</v>
      </c>
      <c r="Z60" s="37" t="e">
        <f>#REF!</f>
        <v>#REF!</v>
      </c>
      <c r="AA60" s="37" t="e">
        <f>#REF!</f>
        <v>#REF!</v>
      </c>
      <c r="AB60" s="37" t="e">
        <f>#REF!</f>
        <v>#REF!</v>
      </c>
      <c r="AC60" s="37" t="e">
        <f>#REF!</f>
        <v>#REF!</v>
      </c>
      <c r="AD60" s="37" t="e">
        <f>#REF!</f>
        <v>#REF!</v>
      </c>
      <c r="AE60" s="37" t="e">
        <f>#REF!</f>
        <v>#REF!</v>
      </c>
      <c r="AF60" s="37" t="e">
        <f>#REF!</f>
        <v>#REF!</v>
      </c>
      <c r="AG60" s="12" t="e">
        <f t="shared" si="25"/>
        <v>#REF!</v>
      </c>
      <c r="AH60" s="38" t="e">
        <f t="shared" si="22"/>
        <v>#REF!</v>
      </c>
    </row>
    <row r="61" spans="1:34" ht="20.100000000000001" hidden="1" customHeight="1">
      <c r="A61" s="15" t="s">
        <v>47</v>
      </c>
      <c r="B61" s="12"/>
      <c r="C61" s="12"/>
      <c r="D61" s="12"/>
      <c r="E61" s="36">
        <f t="shared" si="26"/>
        <v>0</v>
      </c>
      <c r="F61" s="37"/>
      <c r="G61" s="37" t="e">
        <f>#REF!</f>
        <v>#REF!</v>
      </c>
      <c r="H61" s="37" t="e">
        <f>#REF!</f>
        <v>#REF!</v>
      </c>
      <c r="I61" s="37" t="e">
        <f>#REF!</f>
        <v>#REF!</v>
      </c>
      <c r="J61" s="37" t="e">
        <f>#REF!</f>
        <v>#REF!</v>
      </c>
      <c r="K61" s="37" t="e">
        <f>#REF!</f>
        <v>#REF!</v>
      </c>
      <c r="L61" s="37" t="e">
        <f>#REF!</f>
        <v>#REF!</v>
      </c>
      <c r="M61" s="37" t="e">
        <f>#REF!</f>
        <v>#REF!</v>
      </c>
      <c r="N61" s="37" t="e">
        <f>#REF!</f>
        <v>#REF!</v>
      </c>
      <c r="O61" s="37" t="e">
        <f>#REF!</f>
        <v>#REF!</v>
      </c>
      <c r="P61" s="37" t="e">
        <f>#REF!</f>
        <v>#REF!</v>
      </c>
      <c r="Q61" s="37" t="e">
        <f>#REF!</f>
        <v>#REF!</v>
      </c>
      <c r="R61" s="33" t="e">
        <f t="shared" si="23"/>
        <v>#REF!</v>
      </c>
      <c r="S61" s="38" t="e">
        <f t="shared" si="24"/>
        <v>#REF!</v>
      </c>
      <c r="U61" s="37" t="e">
        <f>#REF!</f>
        <v>#REF!</v>
      </c>
      <c r="V61" s="37" t="e">
        <f>#REF!</f>
        <v>#REF!</v>
      </c>
      <c r="W61" s="37" t="e">
        <f>#REF!</f>
        <v>#REF!</v>
      </c>
      <c r="X61" s="37" t="e">
        <f>#REF!</f>
        <v>#REF!</v>
      </c>
      <c r="Y61" s="37" t="e">
        <f>#REF!</f>
        <v>#REF!</v>
      </c>
      <c r="Z61" s="37" t="e">
        <f>#REF!</f>
        <v>#REF!</v>
      </c>
      <c r="AA61" s="37" t="e">
        <f>#REF!</f>
        <v>#REF!</v>
      </c>
      <c r="AB61" s="37" t="e">
        <f>#REF!</f>
        <v>#REF!</v>
      </c>
      <c r="AC61" s="37" t="e">
        <f>#REF!</f>
        <v>#REF!</v>
      </c>
      <c r="AD61" s="37" t="e">
        <f>#REF!</f>
        <v>#REF!</v>
      </c>
      <c r="AE61" s="37" t="e">
        <f>#REF!</f>
        <v>#REF!</v>
      </c>
      <c r="AF61" s="37" t="e">
        <f>#REF!</f>
        <v>#REF!</v>
      </c>
      <c r="AG61" s="12" t="e">
        <f t="shared" si="25"/>
        <v>#REF!</v>
      </c>
      <c r="AH61" s="38" t="e">
        <f t="shared" si="22"/>
        <v>#REF!</v>
      </c>
    </row>
    <row r="62" spans="1:34" ht="20.100000000000001" hidden="1" customHeight="1">
      <c r="A62" s="15" t="s">
        <v>48</v>
      </c>
      <c r="B62" s="12"/>
      <c r="C62" s="12"/>
      <c r="D62" s="12"/>
      <c r="E62" s="36">
        <f t="shared" si="26"/>
        <v>0</v>
      </c>
      <c r="F62" s="37"/>
      <c r="G62" s="37" t="e">
        <f>#REF!</f>
        <v>#REF!</v>
      </c>
      <c r="H62" s="37" t="e">
        <f>#REF!</f>
        <v>#REF!</v>
      </c>
      <c r="I62" s="37" t="e">
        <f>#REF!</f>
        <v>#REF!</v>
      </c>
      <c r="J62" s="37" t="e">
        <f>#REF!</f>
        <v>#REF!</v>
      </c>
      <c r="K62" s="37" t="e">
        <f>#REF!</f>
        <v>#REF!</v>
      </c>
      <c r="L62" s="37" t="e">
        <f>#REF!</f>
        <v>#REF!</v>
      </c>
      <c r="M62" s="37" t="e">
        <f>#REF!</f>
        <v>#REF!</v>
      </c>
      <c r="N62" s="37" t="e">
        <f>#REF!</f>
        <v>#REF!</v>
      </c>
      <c r="O62" s="37" t="e">
        <f>#REF!</f>
        <v>#REF!</v>
      </c>
      <c r="P62" s="37" t="e">
        <f>#REF!</f>
        <v>#REF!</v>
      </c>
      <c r="Q62" s="37" t="e">
        <f>#REF!</f>
        <v>#REF!</v>
      </c>
      <c r="R62" s="33" t="e">
        <f t="shared" si="23"/>
        <v>#REF!</v>
      </c>
      <c r="S62" s="38" t="e">
        <f t="shared" si="24"/>
        <v>#REF!</v>
      </c>
      <c r="U62" s="37" t="e">
        <f>#REF!</f>
        <v>#REF!</v>
      </c>
      <c r="V62" s="37" t="e">
        <f>#REF!</f>
        <v>#REF!</v>
      </c>
      <c r="W62" s="37" t="e">
        <f>#REF!</f>
        <v>#REF!</v>
      </c>
      <c r="X62" s="37" t="e">
        <f>#REF!</f>
        <v>#REF!</v>
      </c>
      <c r="Y62" s="37" t="e">
        <f>#REF!</f>
        <v>#REF!</v>
      </c>
      <c r="Z62" s="37" t="e">
        <f>#REF!</f>
        <v>#REF!</v>
      </c>
      <c r="AA62" s="37" t="e">
        <f>#REF!</f>
        <v>#REF!</v>
      </c>
      <c r="AB62" s="37" t="e">
        <f>#REF!</f>
        <v>#REF!</v>
      </c>
      <c r="AC62" s="37" t="e">
        <f>#REF!</f>
        <v>#REF!</v>
      </c>
      <c r="AD62" s="37" t="e">
        <f>#REF!</f>
        <v>#REF!</v>
      </c>
      <c r="AE62" s="37" t="e">
        <f>#REF!</f>
        <v>#REF!</v>
      </c>
      <c r="AF62" s="37" t="e">
        <f>#REF!</f>
        <v>#REF!</v>
      </c>
      <c r="AG62" s="12" t="e">
        <f t="shared" si="25"/>
        <v>#REF!</v>
      </c>
      <c r="AH62" s="38" t="e">
        <f t="shared" si="22"/>
        <v>#REF!</v>
      </c>
    </row>
    <row r="63" spans="1:34" ht="20.100000000000001" hidden="1" customHeight="1">
      <c r="A63" s="15" t="s">
        <v>43</v>
      </c>
      <c r="B63" s="12"/>
      <c r="C63" s="12"/>
      <c r="D63" s="12"/>
      <c r="E63" s="36">
        <f t="shared" si="26"/>
        <v>0</v>
      </c>
      <c r="F63" s="37"/>
      <c r="G63" s="37" t="e">
        <f>#REF!</f>
        <v>#REF!</v>
      </c>
      <c r="H63" s="37" t="e">
        <f>#REF!</f>
        <v>#REF!</v>
      </c>
      <c r="I63" s="37" t="e">
        <f>#REF!</f>
        <v>#REF!</v>
      </c>
      <c r="J63" s="37" t="e">
        <f>#REF!</f>
        <v>#REF!</v>
      </c>
      <c r="K63" s="37" t="e">
        <f>#REF!</f>
        <v>#REF!</v>
      </c>
      <c r="L63" s="37" t="e">
        <f>#REF!</f>
        <v>#REF!</v>
      </c>
      <c r="M63" s="37" t="e">
        <f>#REF!</f>
        <v>#REF!</v>
      </c>
      <c r="N63" s="37" t="e">
        <f>#REF!</f>
        <v>#REF!</v>
      </c>
      <c r="O63" s="37" t="e">
        <f>#REF!</f>
        <v>#REF!</v>
      </c>
      <c r="P63" s="37" t="e">
        <f>#REF!</f>
        <v>#REF!</v>
      </c>
      <c r="Q63" s="37" t="e">
        <f>#REF!</f>
        <v>#REF!</v>
      </c>
      <c r="R63" s="33" t="e">
        <f t="shared" si="23"/>
        <v>#REF!</v>
      </c>
      <c r="S63" s="38" t="e">
        <f t="shared" si="24"/>
        <v>#REF!</v>
      </c>
      <c r="U63" s="37" t="e">
        <f>#REF!</f>
        <v>#REF!</v>
      </c>
      <c r="V63" s="37" t="e">
        <f>#REF!</f>
        <v>#REF!</v>
      </c>
      <c r="W63" s="37" t="e">
        <f>#REF!</f>
        <v>#REF!</v>
      </c>
      <c r="X63" s="37" t="e">
        <f>#REF!</f>
        <v>#REF!</v>
      </c>
      <c r="Y63" s="37" t="e">
        <f>#REF!</f>
        <v>#REF!</v>
      </c>
      <c r="Z63" s="37" t="e">
        <f>#REF!</f>
        <v>#REF!</v>
      </c>
      <c r="AA63" s="37" t="e">
        <f>#REF!</f>
        <v>#REF!</v>
      </c>
      <c r="AB63" s="37" t="e">
        <f>#REF!</f>
        <v>#REF!</v>
      </c>
      <c r="AC63" s="37" t="e">
        <f>#REF!</f>
        <v>#REF!</v>
      </c>
      <c r="AD63" s="37" t="e">
        <f>#REF!</f>
        <v>#REF!</v>
      </c>
      <c r="AE63" s="37" t="e">
        <f>#REF!</f>
        <v>#REF!</v>
      </c>
      <c r="AF63" s="37" t="e">
        <f>#REF!</f>
        <v>#REF!</v>
      </c>
      <c r="AG63" s="12" t="e">
        <f t="shared" si="25"/>
        <v>#REF!</v>
      </c>
      <c r="AH63" s="38" t="e">
        <f t="shared" si="22"/>
        <v>#REF!</v>
      </c>
    </row>
    <row r="64" spans="1:34" ht="20.100000000000001" hidden="1" customHeight="1">
      <c r="A64" s="15" t="s">
        <v>57</v>
      </c>
      <c r="B64" s="12"/>
      <c r="C64" s="12"/>
      <c r="D64" s="12"/>
      <c r="E64" s="36">
        <f t="shared" si="26"/>
        <v>0</v>
      </c>
      <c r="F64" s="37" t="e">
        <f>#REF!</f>
        <v>#REF!</v>
      </c>
      <c r="G64" s="37" t="e">
        <f>#REF!</f>
        <v>#REF!</v>
      </c>
      <c r="H64" s="37" t="e">
        <f>#REF!</f>
        <v>#REF!</v>
      </c>
      <c r="I64" s="37" t="e">
        <f>#REF!</f>
        <v>#REF!</v>
      </c>
      <c r="J64" s="37" t="e">
        <f>#REF!</f>
        <v>#REF!</v>
      </c>
      <c r="K64" s="37" t="e">
        <f>#REF!</f>
        <v>#REF!</v>
      </c>
      <c r="L64" s="37" t="e">
        <f>#REF!</f>
        <v>#REF!</v>
      </c>
      <c r="M64" s="37" t="e">
        <f>#REF!</f>
        <v>#REF!</v>
      </c>
      <c r="N64" s="37" t="e">
        <f>#REF!</f>
        <v>#REF!</v>
      </c>
      <c r="O64" s="37" t="e">
        <f>#REF!</f>
        <v>#REF!</v>
      </c>
      <c r="P64" s="37" t="e">
        <f>#REF!</f>
        <v>#REF!</v>
      </c>
      <c r="Q64" s="37" t="e">
        <f>#REF!</f>
        <v>#REF!</v>
      </c>
      <c r="R64" s="33" t="e">
        <f t="shared" si="23"/>
        <v>#REF!</v>
      </c>
      <c r="S64" s="38" t="e">
        <f t="shared" si="24"/>
        <v>#REF!</v>
      </c>
      <c r="U64" s="37" t="e">
        <f>#REF!</f>
        <v>#REF!</v>
      </c>
      <c r="V64" s="37" t="e">
        <f>#REF!</f>
        <v>#REF!</v>
      </c>
      <c r="W64" s="37" t="e">
        <f>#REF!</f>
        <v>#REF!</v>
      </c>
      <c r="X64" s="37" t="e">
        <f>#REF!</f>
        <v>#REF!</v>
      </c>
      <c r="Y64" s="37" t="e">
        <f>#REF!</f>
        <v>#REF!</v>
      </c>
      <c r="Z64" s="37" t="e">
        <f>#REF!</f>
        <v>#REF!</v>
      </c>
      <c r="AA64" s="37" t="e">
        <f>#REF!</f>
        <v>#REF!</v>
      </c>
      <c r="AB64" s="37" t="e">
        <f>#REF!</f>
        <v>#REF!</v>
      </c>
      <c r="AC64" s="37" t="e">
        <f>#REF!</f>
        <v>#REF!</v>
      </c>
      <c r="AD64" s="37" t="e">
        <f>#REF!</f>
        <v>#REF!</v>
      </c>
      <c r="AE64" s="37" t="e">
        <f>#REF!</f>
        <v>#REF!</v>
      </c>
      <c r="AF64" s="37" t="e">
        <f>#REF!</f>
        <v>#REF!</v>
      </c>
      <c r="AG64" s="12" t="e">
        <f t="shared" si="25"/>
        <v>#REF!</v>
      </c>
      <c r="AH64" s="38" t="e">
        <f t="shared" si="22"/>
        <v>#REF!</v>
      </c>
    </row>
    <row r="65" spans="1:34" ht="20.100000000000001" hidden="1" customHeight="1">
      <c r="A65" s="15" t="s">
        <v>58</v>
      </c>
      <c r="B65" s="12"/>
      <c r="C65" s="12"/>
      <c r="D65" s="12"/>
      <c r="E65" s="36">
        <f t="shared" si="26"/>
        <v>0</v>
      </c>
      <c r="F65" s="37" t="e">
        <f>#REF!</f>
        <v>#REF!</v>
      </c>
      <c r="G65" s="37" t="e">
        <f>#REF!</f>
        <v>#REF!</v>
      </c>
      <c r="H65" s="37" t="e">
        <f>#REF!</f>
        <v>#REF!</v>
      </c>
      <c r="I65" s="37" t="e">
        <f>#REF!</f>
        <v>#REF!</v>
      </c>
      <c r="J65" s="37" t="e">
        <f>#REF!</f>
        <v>#REF!</v>
      </c>
      <c r="K65" s="37" t="e">
        <f>#REF!</f>
        <v>#REF!</v>
      </c>
      <c r="L65" s="37" t="e">
        <f>#REF!</f>
        <v>#REF!</v>
      </c>
      <c r="M65" s="37" t="e">
        <f>#REF!</f>
        <v>#REF!</v>
      </c>
      <c r="N65" s="37" t="e">
        <f>#REF!</f>
        <v>#REF!</v>
      </c>
      <c r="O65" s="37" t="e">
        <f>#REF!</f>
        <v>#REF!</v>
      </c>
      <c r="P65" s="37" t="e">
        <f>#REF!</f>
        <v>#REF!</v>
      </c>
      <c r="Q65" s="37" t="e">
        <f>#REF!</f>
        <v>#REF!</v>
      </c>
      <c r="R65" s="33" t="e">
        <f t="shared" si="23"/>
        <v>#REF!</v>
      </c>
      <c r="S65" s="38" t="e">
        <f t="shared" si="24"/>
        <v>#REF!</v>
      </c>
      <c r="U65" s="37" t="e">
        <f>#REF!</f>
        <v>#REF!</v>
      </c>
      <c r="V65" s="37" t="e">
        <f>#REF!</f>
        <v>#REF!</v>
      </c>
      <c r="W65" s="37" t="e">
        <f>#REF!</f>
        <v>#REF!</v>
      </c>
      <c r="X65" s="37" t="e">
        <f>#REF!</f>
        <v>#REF!</v>
      </c>
      <c r="Y65" s="37" t="e">
        <f>#REF!</f>
        <v>#REF!</v>
      </c>
      <c r="Z65" s="37" t="e">
        <f>#REF!</f>
        <v>#REF!</v>
      </c>
      <c r="AA65" s="37" t="e">
        <f>#REF!</f>
        <v>#REF!</v>
      </c>
      <c r="AB65" s="37" t="e">
        <f>#REF!</f>
        <v>#REF!</v>
      </c>
      <c r="AC65" s="37" t="e">
        <f>#REF!</f>
        <v>#REF!</v>
      </c>
      <c r="AD65" s="37" t="e">
        <f>#REF!</f>
        <v>#REF!</v>
      </c>
      <c r="AE65" s="37" t="e">
        <f>#REF!</f>
        <v>#REF!</v>
      </c>
      <c r="AF65" s="37" t="e">
        <f>#REF!</f>
        <v>#REF!</v>
      </c>
      <c r="AG65" s="12" t="e">
        <f t="shared" si="25"/>
        <v>#REF!</v>
      </c>
      <c r="AH65" s="38" t="e">
        <f t="shared" si="22"/>
        <v>#REF!</v>
      </c>
    </row>
    <row r="66" spans="1:34" ht="20.100000000000001" hidden="1" customHeight="1">
      <c r="A66" s="15" t="s">
        <v>59</v>
      </c>
      <c r="B66" s="12"/>
      <c r="C66" s="12"/>
      <c r="D66" s="12"/>
      <c r="E66" s="36">
        <f t="shared" si="26"/>
        <v>0</v>
      </c>
      <c r="F66" s="37" t="e">
        <f>#REF!</f>
        <v>#REF!</v>
      </c>
      <c r="G66" s="37" t="e">
        <f>#REF!</f>
        <v>#REF!</v>
      </c>
      <c r="H66" s="37" t="e">
        <f>#REF!</f>
        <v>#REF!</v>
      </c>
      <c r="I66" s="37" t="e">
        <f>#REF!</f>
        <v>#REF!</v>
      </c>
      <c r="J66" s="37" t="e">
        <f>#REF!</f>
        <v>#REF!</v>
      </c>
      <c r="K66" s="37" t="e">
        <f>#REF!</f>
        <v>#REF!</v>
      </c>
      <c r="L66" s="37" t="e">
        <f>#REF!</f>
        <v>#REF!</v>
      </c>
      <c r="M66" s="37" t="e">
        <f>#REF!</f>
        <v>#REF!</v>
      </c>
      <c r="N66" s="37" t="e">
        <f>#REF!</f>
        <v>#REF!</v>
      </c>
      <c r="O66" s="37" t="e">
        <f>#REF!</f>
        <v>#REF!</v>
      </c>
      <c r="P66" s="37" t="e">
        <f>#REF!</f>
        <v>#REF!</v>
      </c>
      <c r="Q66" s="37" t="e">
        <f>#REF!</f>
        <v>#REF!</v>
      </c>
      <c r="R66" s="33" t="e">
        <f t="shared" si="23"/>
        <v>#REF!</v>
      </c>
      <c r="S66" s="38" t="e">
        <f t="shared" si="24"/>
        <v>#REF!</v>
      </c>
      <c r="U66" s="37" t="e">
        <f>#REF!</f>
        <v>#REF!</v>
      </c>
      <c r="V66" s="37" t="e">
        <f>#REF!</f>
        <v>#REF!</v>
      </c>
      <c r="W66" s="37" t="e">
        <f>#REF!</f>
        <v>#REF!</v>
      </c>
      <c r="X66" s="37" t="e">
        <f>#REF!</f>
        <v>#REF!</v>
      </c>
      <c r="Y66" s="37" t="e">
        <f>#REF!</f>
        <v>#REF!</v>
      </c>
      <c r="Z66" s="37" t="e">
        <f>#REF!</f>
        <v>#REF!</v>
      </c>
      <c r="AA66" s="37" t="e">
        <f>#REF!</f>
        <v>#REF!</v>
      </c>
      <c r="AB66" s="37" t="e">
        <f>#REF!</f>
        <v>#REF!</v>
      </c>
      <c r="AC66" s="37" t="e">
        <f>#REF!</f>
        <v>#REF!</v>
      </c>
      <c r="AD66" s="37" t="e">
        <f>#REF!</f>
        <v>#REF!</v>
      </c>
      <c r="AE66" s="37" t="e">
        <f>#REF!</f>
        <v>#REF!</v>
      </c>
      <c r="AF66" s="37" t="e">
        <f>#REF!</f>
        <v>#REF!</v>
      </c>
      <c r="AG66" s="12" t="e">
        <f t="shared" si="25"/>
        <v>#REF!</v>
      </c>
      <c r="AH66" s="38" t="e">
        <f t="shared" si="22"/>
        <v>#REF!</v>
      </c>
    </row>
    <row r="67" spans="1:34" ht="20.100000000000001" hidden="1" customHeight="1">
      <c r="A67" s="15" t="s">
        <v>60</v>
      </c>
      <c r="B67" s="12"/>
      <c r="C67" s="12"/>
      <c r="D67" s="12"/>
      <c r="E67" s="36">
        <f t="shared" si="26"/>
        <v>0</v>
      </c>
      <c r="F67" s="37" t="e">
        <f>#REF!</f>
        <v>#REF!</v>
      </c>
      <c r="G67" s="37" t="e">
        <f>#REF!</f>
        <v>#REF!</v>
      </c>
      <c r="H67" s="37" t="e">
        <f>#REF!</f>
        <v>#REF!</v>
      </c>
      <c r="I67" s="37" t="e">
        <f>#REF!</f>
        <v>#REF!</v>
      </c>
      <c r="J67" s="37" t="e">
        <f>#REF!</f>
        <v>#REF!</v>
      </c>
      <c r="K67" s="37" t="e">
        <f>#REF!</f>
        <v>#REF!</v>
      </c>
      <c r="L67" s="37" t="e">
        <f>#REF!</f>
        <v>#REF!</v>
      </c>
      <c r="M67" s="37" t="e">
        <f>#REF!</f>
        <v>#REF!</v>
      </c>
      <c r="N67" s="37" t="e">
        <f>#REF!</f>
        <v>#REF!</v>
      </c>
      <c r="O67" s="37" t="e">
        <f>#REF!</f>
        <v>#REF!</v>
      </c>
      <c r="P67" s="37" t="e">
        <f>#REF!</f>
        <v>#REF!</v>
      </c>
      <c r="Q67" s="37" t="e">
        <f>#REF!</f>
        <v>#REF!</v>
      </c>
      <c r="R67" s="33" t="e">
        <f t="shared" si="23"/>
        <v>#REF!</v>
      </c>
      <c r="S67" s="38" t="e">
        <f t="shared" si="24"/>
        <v>#REF!</v>
      </c>
      <c r="U67" s="37" t="e">
        <f>#REF!</f>
        <v>#REF!</v>
      </c>
      <c r="V67" s="37" t="e">
        <f>#REF!</f>
        <v>#REF!</v>
      </c>
      <c r="W67" s="37" t="e">
        <f>#REF!</f>
        <v>#REF!</v>
      </c>
      <c r="X67" s="37" t="e">
        <f>#REF!</f>
        <v>#REF!</v>
      </c>
      <c r="Y67" s="37" t="e">
        <f>#REF!</f>
        <v>#REF!</v>
      </c>
      <c r="Z67" s="37" t="e">
        <f>#REF!</f>
        <v>#REF!</v>
      </c>
      <c r="AA67" s="37" t="e">
        <f>#REF!</f>
        <v>#REF!</v>
      </c>
      <c r="AB67" s="37" t="e">
        <f>#REF!</f>
        <v>#REF!</v>
      </c>
      <c r="AC67" s="37" t="e">
        <f>#REF!</f>
        <v>#REF!</v>
      </c>
      <c r="AD67" s="37" t="e">
        <f>#REF!</f>
        <v>#REF!</v>
      </c>
      <c r="AE67" s="37" t="e">
        <f>#REF!</f>
        <v>#REF!</v>
      </c>
      <c r="AF67" s="37" t="e">
        <f>#REF!</f>
        <v>#REF!</v>
      </c>
      <c r="AG67" s="12" t="e">
        <f t="shared" si="25"/>
        <v>#REF!</v>
      </c>
      <c r="AH67" s="38" t="e">
        <f t="shared" si="22"/>
        <v>#REF!</v>
      </c>
    </row>
    <row r="68" spans="1:34" ht="20.100000000000001" hidden="1" customHeight="1">
      <c r="A68" s="15" t="s">
        <v>61</v>
      </c>
      <c r="B68" s="12"/>
      <c r="C68" s="12"/>
      <c r="D68" s="12"/>
      <c r="E68" s="36">
        <f t="shared" si="18"/>
        <v>0</v>
      </c>
      <c r="F68" s="37" t="e">
        <f>#REF!</f>
        <v>#REF!</v>
      </c>
      <c r="G68" s="37" t="e">
        <f>#REF!</f>
        <v>#REF!</v>
      </c>
      <c r="H68" s="37" t="e">
        <f>#REF!</f>
        <v>#REF!</v>
      </c>
      <c r="I68" s="37" t="e">
        <f>#REF!</f>
        <v>#REF!</v>
      </c>
      <c r="J68" s="37" t="e">
        <f>#REF!</f>
        <v>#REF!</v>
      </c>
      <c r="K68" s="37" t="e">
        <f>#REF!</f>
        <v>#REF!</v>
      </c>
      <c r="L68" s="37" t="e">
        <f>#REF!</f>
        <v>#REF!</v>
      </c>
      <c r="M68" s="37" t="e">
        <f>#REF!</f>
        <v>#REF!</v>
      </c>
      <c r="N68" s="37" t="e">
        <f>#REF!</f>
        <v>#REF!</v>
      </c>
      <c r="O68" s="37" t="e">
        <f>#REF!</f>
        <v>#REF!</v>
      </c>
      <c r="P68" s="37" t="e">
        <f>#REF!</f>
        <v>#REF!</v>
      </c>
      <c r="Q68" s="37" t="e">
        <f>#REF!</f>
        <v>#REF!</v>
      </c>
      <c r="R68" s="33" t="e">
        <f t="shared" si="23"/>
        <v>#REF!</v>
      </c>
      <c r="S68" s="38" t="e">
        <f t="shared" si="24"/>
        <v>#REF!</v>
      </c>
      <c r="U68" s="37" t="e">
        <f>#REF!</f>
        <v>#REF!</v>
      </c>
      <c r="V68" s="37" t="e">
        <f>#REF!</f>
        <v>#REF!</v>
      </c>
      <c r="W68" s="37" t="e">
        <f>#REF!</f>
        <v>#REF!</v>
      </c>
      <c r="X68" s="37" t="e">
        <f>#REF!</f>
        <v>#REF!</v>
      </c>
      <c r="Y68" s="37" t="e">
        <f>#REF!</f>
        <v>#REF!</v>
      </c>
      <c r="Z68" s="37" t="e">
        <f>#REF!</f>
        <v>#REF!</v>
      </c>
      <c r="AA68" s="37" t="e">
        <f>#REF!</f>
        <v>#REF!</v>
      </c>
      <c r="AB68" s="37" t="e">
        <f>#REF!</f>
        <v>#REF!</v>
      </c>
      <c r="AC68" s="37" t="e">
        <f>#REF!</f>
        <v>#REF!</v>
      </c>
      <c r="AD68" s="37" t="e">
        <f>#REF!</f>
        <v>#REF!</v>
      </c>
      <c r="AE68" s="37" t="e">
        <f>#REF!</f>
        <v>#REF!</v>
      </c>
      <c r="AF68" s="37" t="e">
        <f>#REF!</f>
        <v>#REF!</v>
      </c>
      <c r="AG68" s="12" t="e">
        <f t="shared" si="25"/>
        <v>#REF!</v>
      </c>
      <c r="AH68" s="38" t="e">
        <f t="shared" si="22"/>
        <v>#REF!</v>
      </c>
    </row>
    <row r="69" spans="1:34" ht="20.100000000000001" customHeight="1"/>
    <row r="70" spans="1:34" ht="20.100000000000001" customHeight="1">
      <c r="A70" s="40" t="s">
        <v>40</v>
      </c>
      <c r="B70" s="41" t="s">
        <v>21</v>
      </c>
      <c r="C70" s="42" t="s">
        <v>41</v>
      </c>
      <c r="D70" s="41">
        <v>2021</v>
      </c>
      <c r="E70" s="32" t="s">
        <v>22</v>
      </c>
      <c r="F70" s="33" t="s">
        <v>23</v>
      </c>
      <c r="G70" s="33" t="s">
        <v>25</v>
      </c>
      <c r="H70" s="33" t="s">
        <v>27</v>
      </c>
      <c r="I70" s="33" t="s">
        <v>29</v>
      </c>
      <c r="J70" s="33" t="s">
        <v>30</v>
      </c>
      <c r="K70" s="33" t="s">
        <v>32</v>
      </c>
      <c r="L70" s="33" t="s">
        <v>33</v>
      </c>
      <c r="M70" s="33" t="s">
        <v>34</v>
      </c>
      <c r="N70" s="33" t="s">
        <v>35</v>
      </c>
      <c r="O70" s="33" t="s">
        <v>2</v>
      </c>
      <c r="P70" s="33" t="s">
        <v>36</v>
      </c>
      <c r="Q70" s="33" t="s">
        <v>37</v>
      </c>
      <c r="R70" s="41" t="s">
        <v>39</v>
      </c>
      <c r="S70" s="34" t="s">
        <v>38</v>
      </c>
      <c r="U70" s="33" t="s">
        <v>23</v>
      </c>
      <c r="V70" s="33" t="s">
        <v>24</v>
      </c>
      <c r="W70" s="33" t="s">
        <v>26</v>
      </c>
      <c r="X70" s="33" t="s">
        <v>28</v>
      </c>
      <c r="Y70" s="33" t="s">
        <v>1</v>
      </c>
      <c r="Z70" s="33" t="s">
        <v>31</v>
      </c>
      <c r="AA70" s="33" t="s">
        <v>33</v>
      </c>
      <c r="AB70" s="33" t="s">
        <v>34</v>
      </c>
      <c r="AC70" s="33" t="s">
        <v>35</v>
      </c>
      <c r="AD70" s="33" t="s">
        <v>2</v>
      </c>
      <c r="AE70" s="33" t="s">
        <v>36</v>
      </c>
      <c r="AF70" s="33" t="s">
        <v>37</v>
      </c>
      <c r="AG70" s="41" t="s">
        <v>18</v>
      </c>
      <c r="AH70" s="34" t="s">
        <v>38</v>
      </c>
    </row>
    <row r="71" spans="1:34" ht="20.100000000000001" customHeight="1">
      <c r="A71" s="40"/>
      <c r="B71" s="41"/>
      <c r="C71" s="42"/>
      <c r="D71" s="41"/>
      <c r="E71" s="32"/>
      <c r="F71" s="33" t="s">
        <v>20</v>
      </c>
      <c r="G71" s="33" t="s">
        <v>20</v>
      </c>
      <c r="H71" s="33" t="s">
        <v>20</v>
      </c>
      <c r="I71" s="33" t="s">
        <v>20</v>
      </c>
      <c r="J71" s="33" t="s">
        <v>20</v>
      </c>
      <c r="K71" s="33" t="s">
        <v>20</v>
      </c>
      <c r="L71" s="33" t="s">
        <v>20</v>
      </c>
      <c r="M71" s="33" t="s">
        <v>20</v>
      </c>
      <c r="N71" s="33" t="s">
        <v>20</v>
      </c>
      <c r="O71" s="33" t="s">
        <v>20</v>
      </c>
      <c r="P71" s="33" t="s">
        <v>20</v>
      </c>
      <c r="Q71" s="33" t="s">
        <v>20</v>
      </c>
      <c r="R71" s="41"/>
      <c r="S71" s="34" t="s">
        <v>20</v>
      </c>
      <c r="U71" s="33" t="s">
        <v>18</v>
      </c>
      <c r="V71" s="33" t="s">
        <v>18</v>
      </c>
      <c r="W71" s="33" t="s">
        <v>18</v>
      </c>
      <c r="X71" s="33" t="s">
        <v>18</v>
      </c>
      <c r="Y71" s="33" t="s">
        <v>18</v>
      </c>
      <c r="Z71" s="33" t="s">
        <v>18</v>
      </c>
      <c r="AA71" s="33" t="s">
        <v>18</v>
      </c>
      <c r="AB71" s="33" t="s">
        <v>18</v>
      </c>
      <c r="AC71" s="33" t="s">
        <v>18</v>
      </c>
      <c r="AD71" s="33" t="s">
        <v>18</v>
      </c>
      <c r="AE71" s="33" t="s">
        <v>18</v>
      </c>
      <c r="AF71" s="33" t="s">
        <v>18</v>
      </c>
      <c r="AG71" s="41"/>
      <c r="AH71" s="34" t="s">
        <v>18</v>
      </c>
    </row>
    <row r="72" spans="1:34" ht="20.100000000000001" customHeight="1">
      <c r="A72" s="15" t="s">
        <v>65</v>
      </c>
      <c r="B72" s="12"/>
      <c r="C72" s="12"/>
      <c r="D72" s="12"/>
      <c r="E72" s="36">
        <f t="shared" ref="E72:E91" si="27">SUM(B72:D72)</f>
        <v>0</v>
      </c>
      <c r="F72" s="37" t="e">
        <f>#REF!</f>
        <v>#REF!</v>
      </c>
      <c r="G72" s="37" t="e">
        <f>#REF!</f>
        <v>#REF!</v>
      </c>
      <c r="H72" s="37" t="e">
        <f>#REF!</f>
        <v>#REF!</v>
      </c>
      <c r="I72" s="37" t="e">
        <f>#REF!</f>
        <v>#REF!</v>
      </c>
      <c r="J72" s="37" t="e">
        <f>#REF!</f>
        <v>#REF!</v>
      </c>
      <c r="K72" s="37" t="e">
        <f>#REF!</f>
        <v>#REF!</v>
      </c>
      <c r="L72" s="37" t="e">
        <f>#REF!</f>
        <v>#REF!</v>
      </c>
      <c r="M72" s="37" t="e">
        <f>#REF!</f>
        <v>#REF!</v>
      </c>
      <c r="N72" s="37" t="e">
        <f>#REF!</f>
        <v>#REF!</v>
      </c>
      <c r="O72" s="37" t="e">
        <f>#REF!</f>
        <v>#REF!</v>
      </c>
      <c r="P72" s="37" t="e">
        <f>#REF!</f>
        <v>#REF!</v>
      </c>
      <c r="Q72" s="37" t="e">
        <f>#REF!</f>
        <v>#REF!</v>
      </c>
      <c r="R72" s="33" t="e">
        <f t="shared" ref="R72" si="28">SUM(F72+G72+H72+I72+J72+K72+L72+M72+N72+O72+P72+Q72)</f>
        <v>#REF!</v>
      </c>
      <c r="S72" s="38" t="e">
        <f t="shared" ref="S72" si="29">SUM(E72-R72)</f>
        <v>#REF!</v>
      </c>
      <c r="U72" s="37" t="e">
        <f>#REF!</f>
        <v>#REF!</v>
      </c>
      <c r="V72" s="37" t="e">
        <f>#REF!</f>
        <v>#REF!</v>
      </c>
      <c r="W72" s="37" t="e">
        <f>#REF!</f>
        <v>#REF!</v>
      </c>
      <c r="X72" s="37" t="e">
        <f>#REF!</f>
        <v>#REF!</v>
      </c>
      <c r="Y72" s="37" t="e">
        <f>#REF!</f>
        <v>#REF!</v>
      </c>
      <c r="Z72" s="37" t="e">
        <f>#REF!</f>
        <v>#REF!</v>
      </c>
      <c r="AA72" s="37" t="e">
        <f>#REF!</f>
        <v>#REF!</v>
      </c>
      <c r="AB72" s="37" t="e">
        <f>#REF!</f>
        <v>#REF!</v>
      </c>
      <c r="AC72" s="37" t="e">
        <f>#REF!</f>
        <v>#REF!</v>
      </c>
      <c r="AD72" s="37" t="e">
        <f>#REF!</f>
        <v>#REF!</v>
      </c>
      <c r="AE72" s="37" t="e">
        <f>#REF!</f>
        <v>#REF!</v>
      </c>
      <c r="AF72" s="37" t="e">
        <f>#REF!</f>
        <v>#REF!</v>
      </c>
      <c r="AG72" s="12" t="e">
        <f t="shared" ref="AG72" si="30">SUM(U72+V72+W72+X72+Y72+Z72+AA72+AB72+AC72+AD72+AE72+AF72)</f>
        <v>#REF!</v>
      </c>
      <c r="AH72" s="38" t="e">
        <f t="shared" ref="AH72:AH91" si="31">SUM(16-AG72)</f>
        <v>#REF!</v>
      </c>
    </row>
    <row r="73" spans="1:34" ht="20.100000000000001" customHeight="1">
      <c r="A73" s="15" t="s">
        <v>83</v>
      </c>
      <c r="B73" s="12"/>
      <c r="C73" s="12"/>
      <c r="D73" s="12"/>
      <c r="E73" s="36">
        <f t="shared" si="27"/>
        <v>0</v>
      </c>
      <c r="F73" s="37" t="e">
        <f>#REF!</f>
        <v>#REF!</v>
      </c>
      <c r="G73" s="37" t="e">
        <f>#REF!</f>
        <v>#REF!</v>
      </c>
      <c r="H73" s="37" t="e">
        <f>#REF!</f>
        <v>#REF!</v>
      </c>
      <c r="I73" s="37" t="e">
        <f>#REF!</f>
        <v>#REF!</v>
      </c>
      <c r="J73" s="37" t="e">
        <f>#REF!</f>
        <v>#REF!</v>
      </c>
      <c r="K73" s="37" t="e">
        <f>#REF!</f>
        <v>#REF!</v>
      </c>
      <c r="L73" s="37" t="e">
        <f>#REF!</f>
        <v>#REF!</v>
      </c>
      <c r="M73" s="37" t="e">
        <f>#REF!</f>
        <v>#REF!</v>
      </c>
      <c r="N73" s="37" t="e">
        <f>#REF!</f>
        <v>#REF!</v>
      </c>
      <c r="O73" s="37" t="e">
        <f>#REF!</f>
        <v>#REF!</v>
      </c>
      <c r="P73" s="37" t="e">
        <f>#REF!</f>
        <v>#REF!</v>
      </c>
      <c r="Q73" s="37" t="e">
        <f>#REF!</f>
        <v>#REF!</v>
      </c>
      <c r="R73" s="33" t="e">
        <f t="shared" ref="R73:R91" si="32">SUM(F73+G73+H73+I73+J73+K73+L73+M73+N73+O73+P73+Q73)</f>
        <v>#REF!</v>
      </c>
      <c r="S73" s="38" t="e">
        <f t="shared" ref="S73:S91" si="33">SUM(E73-R73)</f>
        <v>#REF!</v>
      </c>
      <c r="U73" s="37" t="e">
        <f>#REF!</f>
        <v>#REF!</v>
      </c>
      <c r="V73" s="37" t="e">
        <f>#REF!</f>
        <v>#REF!</v>
      </c>
      <c r="W73" s="37" t="e">
        <f>#REF!</f>
        <v>#REF!</v>
      </c>
      <c r="X73" s="37" t="e">
        <f>#REF!</f>
        <v>#REF!</v>
      </c>
      <c r="Y73" s="37" t="e">
        <f>#REF!</f>
        <v>#REF!</v>
      </c>
      <c r="Z73" s="37" t="e">
        <f>#REF!</f>
        <v>#REF!</v>
      </c>
      <c r="AA73" s="37" t="e">
        <f>#REF!</f>
        <v>#REF!</v>
      </c>
      <c r="AB73" s="37" t="e">
        <f>#REF!</f>
        <v>#REF!</v>
      </c>
      <c r="AC73" s="37" t="e">
        <f>#REF!</f>
        <v>#REF!</v>
      </c>
      <c r="AD73" s="37" t="e">
        <f>#REF!</f>
        <v>#REF!</v>
      </c>
      <c r="AE73" s="37" t="e">
        <f>#REF!</f>
        <v>#REF!</v>
      </c>
      <c r="AF73" s="37" t="e">
        <f>#REF!</f>
        <v>#REF!</v>
      </c>
      <c r="AG73" s="12" t="e">
        <f t="shared" ref="AG73:AG91" si="34">SUM(U73+V73+W73+X73+Y73+Z73+AA73+AB73+AC73+AD73+AE73+AF73)</f>
        <v>#REF!</v>
      </c>
      <c r="AH73" s="38" t="e">
        <f t="shared" si="31"/>
        <v>#REF!</v>
      </c>
    </row>
    <row r="74" spans="1:34" ht="20.100000000000001" customHeight="1">
      <c r="A74" s="15" t="s">
        <v>84</v>
      </c>
      <c r="B74" s="12"/>
      <c r="C74" s="12"/>
      <c r="D74" s="12">
        <v>30</v>
      </c>
      <c r="E74" s="36">
        <f t="shared" si="27"/>
        <v>30</v>
      </c>
      <c r="F74" s="37" t="e">
        <f>#REF!</f>
        <v>#REF!</v>
      </c>
      <c r="G74" s="37" t="e">
        <f>#REF!</f>
        <v>#REF!</v>
      </c>
      <c r="H74" s="37" t="e">
        <f>#REF!</f>
        <v>#REF!</v>
      </c>
      <c r="I74" s="37" t="e">
        <f>#REF!</f>
        <v>#REF!</v>
      </c>
      <c r="J74" s="37" t="e">
        <f>#REF!</f>
        <v>#REF!</v>
      </c>
      <c r="K74" s="37" t="e">
        <f>#REF!</f>
        <v>#REF!</v>
      </c>
      <c r="L74" s="37" t="e">
        <f>#REF!</f>
        <v>#REF!</v>
      </c>
      <c r="M74" s="37" t="e">
        <f>#REF!</f>
        <v>#REF!</v>
      </c>
      <c r="N74" s="37" t="e">
        <f>#REF!</f>
        <v>#REF!</v>
      </c>
      <c r="O74" s="37" t="e">
        <f>#REF!</f>
        <v>#REF!</v>
      </c>
      <c r="P74" s="37" t="e">
        <f>#REF!</f>
        <v>#REF!</v>
      </c>
      <c r="Q74" s="37" t="e">
        <f>#REF!</f>
        <v>#REF!</v>
      </c>
      <c r="R74" s="33" t="e">
        <f t="shared" si="32"/>
        <v>#REF!</v>
      </c>
      <c r="S74" s="38" t="e">
        <f t="shared" si="33"/>
        <v>#REF!</v>
      </c>
      <c r="U74" s="37" t="e">
        <f>#REF!</f>
        <v>#REF!</v>
      </c>
      <c r="V74" s="37" t="e">
        <f>#REF!</f>
        <v>#REF!</v>
      </c>
      <c r="W74" s="37" t="e">
        <f>#REF!</f>
        <v>#REF!</v>
      </c>
      <c r="X74" s="37" t="e">
        <f>#REF!</f>
        <v>#REF!</v>
      </c>
      <c r="Y74" s="37" t="e">
        <f>#REF!</f>
        <v>#REF!</v>
      </c>
      <c r="Z74" s="37" t="e">
        <f>#REF!</f>
        <v>#REF!</v>
      </c>
      <c r="AA74" s="37" t="e">
        <f>#REF!</f>
        <v>#REF!</v>
      </c>
      <c r="AB74" s="37" t="e">
        <f>#REF!</f>
        <v>#REF!</v>
      </c>
      <c r="AC74" s="37" t="e">
        <f>#REF!</f>
        <v>#REF!</v>
      </c>
      <c r="AD74" s="37" t="e">
        <f>#REF!</f>
        <v>#REF!</v>
      </c>
      <c r="AE74" s="37" t="e">
        <f>#REF!</f>
        <v>#REF!</v>
      </c>
      <c r="AF74" s="37" t="e">
        <f>#REF!</f>
        <v>#REF!</v>
      </c>
      <c r="AG74" s="12" t="e">
        <f t="shared" si="34"/>
        <v>#REF!</v>
      </c>
      <c r="AH74" s="38" t="e">
        <f t="shared" si="31"/>
        <v>#REF!</v>
      </c>
    </row>
    <row r="75" spans="1:34" ht="20.100000000000001" customHeight="1">
      <c r="A75" s="15" t="s">
        <v>85</v>
      </c>
      <c r="B75" s="12"/>
      <c r="C75" s="12"/>
      <c r="D75" s="12">
        <v>30</v>
      </c>
      <c r="E75" s="36">
        <f t="shared" si="27"/>
        <v>30</v>
      </c>
      <c r="F75" s="37" t="e">
        <f>#REF!</f>
        <v>#REF!</v>
      </c>
      <c r="G75" s="37" t="e">
        <f>#REF!</f>
        <v>#REF!</v>
      </c>
      <c r="H75" s="37" t="e">
        <f>#REF!</f>
        <v>#REF!</v>
      </c>
      <c r="I75" s="37" t="e">
        <f>#REF!</f>
        <v>#REF!</v>
      </c>
      <c r="J75" s="37" t="e">
        <f>#REF!</f>
        <v>#REF!</v>
      </c>
      <c r="K75" s="37" t="e">
        <f>#REF!</f>
        <v>#REF!</v>
      </c>
      <c r="L75" s="37" t="e">
        <f>#REF!</f>
        <v>#REF!</v>
      </c>
      <c r="M75" s="37" t="e">
        <f>#REF!</f>
        <v>#REF!</v>
      </c>
      <c r="N75" s="37" t="e">
        <f>#REF!</f>
        <v>#REF!</v>
      </c>
      <c r="O75" s="37" t="e">
        <f>#REF!</f>
        <v>#REF!</v>
      </c>
      <c r="P75" s="37" t="e">
        <f>#REF!</f>
        <v>#REF!</v>
      </c>
      <c r="Q75" s="37" t="e">
        <f>#REF!</f>
        <v>#REF!</v>
      </c>
      <c r="R75" s="33" t="e">
        <f t="shared" si="32"/>
        <v>#REF!</v>
      </c>
      <c r="S75" s="38" t="e">
        <f t="shared" si="33"/>
        <v>#REF!</v>
      </c>
      <c r="U75" s="37" t="e">
        <f>#REF!</f>
        <v>#REF!</v>
      </c>
      <c r="V75" s="37" t="e">
        <f>#REF!</f>
        <v>#REF!</v>
      </c>
      <c r="W75" s="37" t="e">
        <f>#REF!</f>
        <v>#REF!</v>
      </c>
      <c r="X75" s="37" t="e">
        <f>#REF!</f>
        <v>#REF!</v>
      </c>
      <c r="Y75" s="37" t="e">
        <f>#REF!</f>
        <v>#REF!</v>
      </c>
      <c r="Z75" s="37" t="e">
        <f>#REF!</f>
        <v>#REF!</v>
      </c>
      <c r="AA75" s="37" t="e">
        <f>#REF!</f>
        <v>#REF!</v>
      </c>
      <c r="AB75" s="37" t="e">
        <f>#REF!</f>
        <v>#REF!</v>
      </c>
      <c r="AC75" s="37" t="e">
        <f>#REF!</f>
        <v>#REF!</v>
      </c>
      <c r="AD75" s="37" t="e">
        <f>#REF!</f>
        <v>#REF!</v>
      </c>
      <c r="AE75" s="37" t="e">
        <f>#REF!</f>
        <v>#REF!</v>
      </c>
      <c r="AF75" s="37" t="e">
        <f>#REF!</f>
        <v>#REF!</v>
      </c>
      <c r="AG75" s="12" t="e">
        <f t="shared" si="34"/>
        <v>#REF!</v>
      </c>
      <c r="AH75" s="38" t="e">
        <f t="shared" si="31"/>
        <v>#REF!</v>
      </c>
    </row>
    <row r="76" spans="1:34" ht="20.100000000000001" customHeight="1">
      <c r="A76" s="15" t="s">
        <v>86</v>
      </c>
      <c r="B76" s="12"/>
      <c r="C76" s="12"/>
      <c r="D76" s="12"/>
      <c r="E76" s="36">
        <f t="shared" si="27"/>
        <v>0</v>
      </c>
      <c r="F76" s="37" t="e">
        <f>#REF!</f>
        <v>#REF!</v>
      </c>
      <c r="G76" s="37" t="e">
        <f>#REF!</f>
        <v>#REF!</v>
      </c>
      <c r="H76" s="37" t="e">
        <f>#REF!</f>
        <v>#REF!</v>
      </c>
      <c r="I76" s="37" t="e">
        <f>#REF!</f>
        <v>#REF!</v>
      </c>
      <c r="J76" s="37" t="e">
        <f>#REF!</f>
        <v>#REF!</v>
      </c>
      <c r="K76" s="37" t="e">
        <f>#REF!</f>
        <v>#REF!</v>
      </c>
      <c r="L76" s="37" t="e">
        <f>#REF!</f>
        <v>#REF!</v>
      </c>
      <c r="M76" s="37" t="e">
        <f>#REF!</f>
        <v>#REF!</v>
      </c>
      <c r="N76" s="37" t="e">
        <f>#REF!</f>
        <v>#REF!</v>
      </c>
      <c r="O76" s="37" t="e">
        <f>#REF!</f>
        <v>#REF!</v>
      </c>
      <c r="P76" s="37" t="e">
        <f>#REF!</f>
        <v>#REF!</v>
      </c>
      <c r="Q76" s="37" t="e">
        <f>#REF!</f>
        <v>#REF!</v>
      </c>
      <c r="R76" s="33" t="e">
        <f t="shared" si="32"/>
        <v>#REF!</v>
      </c>
      <c r="S76" s="38" t="e">
        <f t="shared" si="33"/>
        <v>#REF!</v>
      </c>
      <c r="U76" s="37" t="e">
        <f>#REF!</f>
        <v>#REF!</v>
      </c>
      <c r="V76" s="37" t="e">
        <f>#REF!</f>
        <v>#REF!</v>
      </c>
      <c r="W76" s="37" t="e">
        <f>#REF!</f>
        <v>#REF!</v>
      </c>
      <c r="X76" s="37" t="e">
        <f>#REF!</f>
        <v>#REF!</v>
      </c>
      <c r="Y76" s="37" t="e">
        <f>#REF!</f>
        <v>#REF!</v>
      </c>
      <c r="Z76" s="37" t="e">
        <f>#REF!</f>
        <v>#REF!</v>
      </c>
      <c r="AA76" s="37" t="e">
        <f>#REF!</f>
        <v>#REF!</v>
      </c>
      <c r="AB76" s="37" t="e">
        <f>#REF!</f>
        <v>#REF!</v>
      </c>
      <c r="AC76" s="37" t="e">
        <f>#REF!</f>
        <v>#REF!</v>
      </c>
      <c r="AD76" s="37" t="e">
        <f>#REF!</f>
        <v>#REF!</v>
      </c>
      <c r="AE76" s="37" t="e">
        <f>#REF!</f>
        <v>#REF!</v>
      </c>
      <c r="AF76" s="37" t="e">
        <f>#REF!</f>
        <v>#REF!</v>
      </c>
      <c r="AG76" s="12" t="e">
        <f t="shared" si="34"/>
        <v>#REF!</v>
      </c>
      <c r="AH76" s="38" t="e">
        <f t="shared" si="31"/>
        <v>#REF!</v>
      </c>
    </row>
    <row r="77" spans="1:34" ht="20.100000000000001" customHeight="1">
      <c r="A77" s="15" t="s">
        <v>87</v>
      </c>
      <c r="B77" s="12"/>
      <c r="C77" s="12"/>
      <c r="D77" s="12"/>
      <c r="E77" s="36">
        <f t="shared" si="27"/>
        <v>0</v>
      </c>
      <c r="F77" s="37" t="e">
        <f>#REF!</f>
        <v>#REF!</v>
      </c>
      <c r="G77" s="37" t="e">
        <f>#REF!</f>
        <v>#REF!</v>
      </c>
      <c r="H77" s="37" t="e">
        <f>#REF!</f>
        <v>#REF!</v>
      </c>
      <c r="I77" s="37" t="e">
        <f>#REF!</f>
        <v>#REF!</v>
      </c>
      <c r="J77" s="37" t="e">
        <f>#REF!</f>
        <v>#REF!</v>
      </c>
      <c r="K77" s="37" t="e">
        <f>#REF!</f>
        <v>#REF!</v>
      </c>
      <c r="L77" s="37" t="e">
        <f>#REF!</f>
        <v>#REF!</v>
      </c>
      <c r="M77" s="37" t="e">
        <f>#REF!</f>
        <v>#REF!</v>
      </c>
      <c r="N77" s="37" t="e">
        <f>#REF!</f>
        <v>#REF!</v>
      </c>
      <c r="O77" s="37" t="e">
        <f>#REF!</f>
        <v>#REF!</v>
      </c>
      <c r="P77" s="37" t="e">
        <f>#REF!</f>
        <v>#REF!</v>
      </c>
      <c r="Q77" s="37" t="e">
        <f>#REF!</f>
        <v>#REF!</v>
      </c>
      <c r="R77" s="33" t="e">
        <f t="shared" si="32"/>
        <v>#REF!</v>
      </c>
      <c r="S77" s="38" t="e">
        <f t="shared" si="33"/>
        <v>#REF!</v>
      </c>
      <c r="U77" s="37" t="e">
        <f>#REF!</f>
        <v>#REF!</v>
      </c>
      <c r="V77" s="37" t="e">
        <f>#REF!</f>
        <v>#REF!</v>
      </c>
      <c r="W77" s="37" t="e">
        <f>#REF!</f>
        <v>#REF!</v>
      </c>
      <c r="X77" s="37" t="e">
        <f>#REF!</f>
        <v>#REF!</v>
      </c>
      <c r="Y77" s="37" t="e">
        <f>#REF!</f>
        <v>#REF!</v>
      </c>
      <c r="Z77" s="37" t="e">
        <f>#REF!</f>
        <v>#REF!</v>
      </c>
      <c r="AA77" s="37" t="e">
        <f>#REF!</f>
        <v>#REF!</v>
      </c>
      <c r="AB77" s="37" t="e">
        <f>#REF!</f>
        <v>#REF!</v>
      </c>
      <c r="AC77" s="37" t="e">
        <f>#REF!</f>
        <v>#REF!</v>
      </c>
      <c r="AD77" s="37" t="e">
        <f>#REF!</f>
        <v>#REF!</v>
      </c>
      <c r="AE77" s="37" t="e">
        <f>#REF!</f>
        <v>#REF!</v>
      </c>
      <c r="AF77" s="37" t="e">
        <f>#REF!</f>
        <v>#REF!</v>
      </c>
      <c r="AG77" s="12" t="e">
        <f t="shared" si="34"/>
        <v>#REF!</v>
      </c>
      <c r="AH77" s="38" t="e">
        <f t="shared" si="31"/>
        <v>#REF!</v>
      </c>
    </row>
    <row r="78" spans="1:34" ht="20.100000000000001" customHeight="1">
      <c r="A78" s="15" t="s">
        <v>88</v>
      </c>
      <c r="B78" s="12"/>
      <c r="C78" s="12"/>
      <c r="D78" s="12">
        <v>30</v>
      </c>
      <c r="E78" s="36">
        <f t="shared" si="27"/>
        <v>30</v>
      </c>
      <c r="F78" s="37" t="e">
        <f>#REF!</f>
        <v>#REF!</v>
      </c>
      <c r="G78" s="37" t="e">
        <f>#REF!</f>
        <v>#REF!</v>
      </c>
      <c r="H78" s="37" t="e">
        <f>#REF!</f>
        <v>#REF!</v>
      </c>
      <c r="I78" s="37" t="e">
        <f>#REF!</f>
        <v>#REF!</v>
      </c>
      <c r="J78" s="37" t="e">
        <f>#REF!</f>
        <v>#REF!</v>
      </c>
      <c r="K78" s="37" t="e">
        <f>#REF!</f>
        <v>#REF!</v>
      </c>
      <c r="L78" s="37" t="e">
        <f>#REF!</f>
        <v>#REF!</v>
      </c>
      <c r="M78" s="37" t="e">
        <f>#REF!</f>
        <v>#REF!</v>
      </c>
      <c r="N78" s="37" t="e">
        <f>#REF!</f>
        <v>#REF!</v>
      </c>
      <c r="O78" s="37" t="e">
        <f>#REF!</f>
        <v>#REF!</v>
      </c>
      <c r="P78" s="37" t="e">
        <f>#REF!</f>
        <v>#REF!</v>
      </c>
      <c r="Q78" s="37" t="e">
        <f>#REF!</f>
        <v>#REF!</v>
      </c>
      <c r="R78" s="33" t="e">
        <f t="shared" si="32"/>
        <v>#REF!</v>
      </c>
      <c r="S78" s="38" t="e">
        <f t="shared" si="33"/>
        <v>#REF!</v>
      </c>
      <c r="U78" s="37" t="e">
        <f>#REF!</f>
        <v>#REF!</v>
      </c>
      <c r="V78" s="37" t="e">
        <f>#REF!</f>
        <v>#REF!</v>
      </c>
      <c r="W78" s="37" t="e">
        <f>#REF!</f>
        <v>#REF!</v>
      </c>
      <c r="X78" s="37" t="e">
        <f>#REF!</f>
        <v>#REF!</v>
      </c>
      <c r="Y78" s="37" t="e">
        <f>#REF!</f>
        <v>#REF!</v>
      </c>
      <c r="Z78" s="37" t="e">
        <f>#REF!</f>
        <v>#REF!</v>
      </c>
      <c r="AA78" s="37" t="e">
        <f>#REF!</f>
        <v>#REF!</v>
      </c>
      <c r="AB78" s="37" t="e">
        <f>#REF!</f>
        <v>#REF!</v>
      </c>
      <c r="AC78" s="37" t="e">
        <f>#REF!</f>
        <v>#REF!</v>
      </c>
      <c r="AD78" s="37" t="e">
        <f>#REF!</f>
        <v>#REF!</v>
      </c>
      <c r="AE78" s="37" t="e">
        <f>#REF!</f>
        <v>#REF!</v>
      </c>
      <c r="AF78" s="37" t="e">
        <f>#REF!</f>
        <v>#REF!</v>
      </c>
      <c r="AG78" s="12" t="e">
        <f t="shared" si="34"/>
        <v>#REF!</v>
      </c>
      <c r="AH78" s="38" t="e">
        <f t="shared" si="31"/>
        <v>#REF!</v>
      </c>
    </row>
    <row r="79" spans="1:34" ht="20.100000000000001" hidden="1" customHeight="1">
      <c r="A79" s="15" t="s">
        <v>49</v>
      </c>
      <c r="B79" s="12"/>
      <c r="C79" s="12"/>
      <c r="D79" s="12"/>
      <c r="E79" s="36">
        <f t="shared" si="27"/>
        <v>0</v>
      </c>
      <c r="F79" s="37" t="e">
        <f>#REF!</f>
        <v>#REF!</v>
      </c>
      <c r="G79" s="37" t="e">
        <f>#REF!</f>
        <v>#REF!</v>
      </c>
      <c r="H79" s="37" t="e">
        <f>#REF!</f>
        <v>#REF!</v>
      </c>
      <c r="I79" s="37" t="e">
        <f>#REF!</f>
        <v>#REF!</v>
      </c>
      <c r="J79" s="37" t="e">
        <f>#REF!</f>
        <v>#REF!</v>
      </c>
      <c r="K79" s="37" t="e">
        <f>#REF!</f>
        <v>#REF!</v>
      </c>
      <c r="L79" s="37" t="e">
        <f>#REF!</f>
        <v>#REF!</v>
      </c>
      <c r="M79" s="37" t="e">
        <f>#REF!</f>
        <v>#REF!</v>
      </c>
      <c r="N79" s="37" t="e">
        <f>#REF!</f>
        <v>#REF!</v>
      </c>
      <c r="O79" s="37" t="e">
        <f>#REF!</f>
        <v>#REF!</v>
      </c>
      <c r="P79" s="37" t="e">
        <f>#REF!</f>
        <v>#REF!</v>
      </c>
      <c r="Q79" s="37" t="e">
        <f>#REF!</f>
        <v>#REF!</v>
      </c>
      <c r="R79" s="33" t="e">
        <f t="shared" si="32"/>
        <v>#REF!</v>
      </c>
      <c r="S79" s="38" t="e">
        <f t="shared" si="33"/>
        <v>#REF!</v>
      </c>
      <c r="U79" s="37" t="e">
        <f>#REF!</f>
        <v>#REF!</v>
      </c>
      <c r="V79" s="37" t="e">
        <f>#REF!</f>
        <v>#REF!</v>
      </c>
      <c r="W79" s="37" t="e">
        <f>#REF!</f>
        <v>#REF!</v>
      </c>
      <c r="X79" s="37" t="e">
        <f>#REF!</f>
        <v>#REF!</v>
      </c>
      <c r="Y79" s="37" t="e">
        <f>#REF!</f>
        <v>#REF!</v>
      </c>
      <c r="Z79" s="37" t="e">
        <f>#REF!</f>
        <v>#REF!</v>
      </c>
      <c r="AA79" s="37" t="e">
        <f>#REF!</f>
        <v>#REF!</v>
      </c>
      <c r="AB79" s="37" t="e">
        <f>#REF!</f>
        <v>#REF!</v>
      </c>
      <c r="AC79" s="37" t="e">
        <f>#REF!</f>
        <v>#REF!</v>
      </c>
      <c r="AD79" s="37" t="e">
        <f>#REF!</f>
        <v>#REF!</v>
      </c>
      <c r="AE79" s="37" t="e">
        <f>#REF!</f>
        <v>#REF!</v>
      </c>
      <c r="AF79" s="37" t="e">
        <f>#REF!</f>
        <v>#REF!</v>
      </c>
      <c r="AG79" s="12" t="e">
        <f t="shared" si="34"/>
        <v>#REF!</v>
      </c>
      <c r="AH79" s="38" t="e">
        <f t="shared" si="31"/>
        <v>#REF!</v>
      </c>
    </row>
    <row r="80" spans="1:34" ht="20.100000000000001" hidden="1" customHeight="1">
      <c r="A80" s="15" t="s">
        <v>50</v>
      </c>
      <c r="B80" s="12"/>
      <c r="C80" s="12"/>
      <c r="D80" s="12"/>
      <c r="E80" s="36">
        <f t="shared" ref="E80:E90" si="35">SUM(B80:D80)</f>
        <v>0</v>
      </c>
      <c r="F80" s="37" t="e">
        <f>#REF!</f>
        <v>#REF!</v>
      </c>
      <c r="G80" s="37" t="e">
        <f>#REF!</f>
        <v>#REF!</v>
      </c>
      <c r="H80" s="37" t="e">
        <f>#REF!</f>
        <v>#REF!</v>
      </c>
      <c r="I80" s="37" t="e">
        <f>#REF!</f>
        <v>#REF!</v>
      </c>
      <c r="J80" s="37" t="e">
        <f>#REF!</f>
        <v>#REF!</v>
      </c>
      <c r="K80" s="37" t="e">
        <f>#REF!</f>
        <v>#REF!</v>
      </c>
      <c r="L80" s="37" t="e">
        <f>#REF!</f>
        <v>#REF!</v>
      </c>
      <c r="M80" s="37" t="e">
        <f>#REF!</f>
        <v>#REF!</v>
      </c>
      <c r="N80" s="37" t="e">
        <f>#REF!</f>
        <v>#REF!</v>
      </c>
      <c r="O80" s="37" t="e">
        <f>#REF!</f>
        <v>#REF!</v>
      </c>
      <c r="P80" s="37" t="e">
        <f>#REF!</f>
        <v>#REF!</v>
      </c>
      <c r="Q80" s="37" t="e">
        <f>#REF!</f>
        <v>#REF!</v>
      </c>
      <c r="R80" s="33" t="e">
        <f t="shared" si="32"/>
        <v>#REF!</v>
      </c>
      <c r="S80" s="38" t="e">
        <f t="shared" si="33"/>
        <v>#REF!</v>
      </c>
      <c r="U80" s="37" t="e">
        <f>#REF!</f>
        <v>#REF!</v>
      </c>
      <c r="V80" s="37" t="e">
        <f>#REF!</f>
        <v>#REF!</v>
      </c>
      <c r="W80" s="37" t="e">
        <f>#REF!</f>
        <v>#REF!</v>
      </c>
      <c r="X80" s="37" t="e">
        <f>#REF!</f>
        <v>#REF!</v>
      </c>
      <c r="Y80" s="37" t="e">
        <f>#REF!</f>
        <v>#REF!</v>
      </c>
      <c r="Z80" s="37" t="e">
        <f>#REF!</f>
        <v>#REF!</v>
      </c>
      <c r="AA80" s="37" t="e">
        <f>#REF!</f>
        <v>#REF!</v>
      </c>
      <c r="AB80" s="37" t="e">
        <f>#REF!</f>
        <v>#REF!</v>
      </c>
      <c r="AC80" s="37" t="e">
        <f>#REF!</f>
        <v>#REF!</v>
      </c>
      <c r="AD80" s="37" t="e">
        <f>#REF!</f>
        <v>#REF!</v>
      </c>
      <c r="AE80" s="37" t="e">
        <f>#REF!</f>
        <v>#REF!</v>
      </c>
      <c r="AF80" s="37" t="e">
        <f>#REF!</f>
        <v>#REF!</v>
      </c>
      <c r="AG80" s="12" t="e">
        <f t="shared" si="34"/>
        <v>#REF!</v>
      </c>
      <c r="AH80" s="38" t="e">
        <f t="shared" si="31"/>
        <v>#REF!</v>
      </c>
    </row>
    <row r="81" spans="1:34" ht="20.100000000000001" hidden="1" customHeight="1">
      <c r="A81" s="15" t="s">
        <v>44</v>
      </c>
      <c r="B81" s="12"/>
      <c r="C81" s="12"/>
      <c r="D81" s="12"/>
      <c r="E81" s="36">
        <f t="shared" si="35"/>
        <v>0</v>
      </c>
      <c r="F81" s="37" t="e">
        <f>#REF!</f>
        <v>#REF!</v>
      </c>
      <c r="G81" s="37" t="e">
        <f>#REF!</f>
        <v>#REF!</v>
      </c>
      <c r="H81" s="37" t="e">
        <f>#REF!</f>
        <v>#REF!</v>
      </c>
      <c r="I81" s="37" t="e">
        <f>#REF!</f>
        <v>#REF!</v>
      </c>
      <c r="J81" s="37" t="e">
        <f>#REF!</f>
        <v>#REF!</v>
      </c>
      <c r="K81" s="37" t="e">
        <f>#REF!</f>
        <v>#REF!</v>
      </c>
      <c r="L81" s="37" t="e">
        <f>#REF!</f>
        <v>#REF!</v>
      </c>
      <c r="M81" s="37" t="e">
        <f>#REF!</f>
        <v>#REF!</v>
      </c>
      <c r="N81" s="37" t="e">
        <f>#REF!</f>
        <v>#REF!</v>
      </c>
      <c r="O81" s="37" t="e">
        <f>#REF!</f>
        <v>#REF!</v>
      </c>
      <c r="P81" s="37" t="e">
        <f>#REF!</f>
        <v>#REF!</v>
      </c>
      <c r="Q81" s="37" t="e">
        <f>#REF!</f>
        <v>#REF!</v>
      </c>
      <c r="R81" s="33" t="e">
        <f t="shared" si="32"/>
        <v>#REF!</v>
      </c>
      <c r="S81" s="38" t="e">
        <f t="shared" si="33"/>
        <v>#REF!</v>
      </c>
      <c r="U81" s="37" t="e">
        <f>#REF!</f>
        <v>#REF!</v>
      </c>
      <c r="V81" s="37" t="e">
        <f>#REF!</f>
        <v>#REF!</v>
      </c>
      <c r="W81" s="37" t="e">
        <f>#REF!</f>
        <v>#REF!</v>
      </c>
      <c r="X81" s="37" t="e">
        <f>#REF!</f>
        <v>#REF!</v>
      </c>
      <c r="Y81" s="37" t="e">
        <f>#REF!</f>
        <v>#REF!</v>
      </c>
      <c r="Z81" s="37" t="e">
        <f>#REF!</f>
        <v>#REF!</v>
      </c>
      <c r="AA81" s="37" t="e">
        <f>#REF!</f>
        <v>#REF!</v>
      </c>
      <c r="AB81" s="37" t="e">
        <f>#REF!</f>
        <v>#REF!</v>
      </c>
      <c r="AC81" s="37" t="e">
        <f>#REF!</f>
        <v>#REF!</v>
      </c>
      <c r="AD81" s="37" t="e">
        <f>#REF!</f>
        <v>#REF!</v>
      </c>
      <c r="AE81" s="37" t="e">
        <f>#REF!</f>
        <v>#REF!</v>
      </c>
      <c r="AF81" s="37" t="e">
        <f>#REF!</f>
        <v>#REF!</v>
      </c>
      <c r="AG81" s="12" t="e">
        <f t="shared" si="34"/>
        <v>#REF!</v>
      </c>
      <c r="AH81" s="38" t="e">
        <f t="shared" si="31"/>
        <v>#REF!</v>
      </c>
    </row>
    <row r="82" spans="1:34" ht="20.100000000000001" hidden="1" customHeight="1">
      <c r="A82" s="15" t="s">
        <v>45</v>
      </c>
      <c r="B82" s="12"/>
      <c r="C82" s="12"/>
      <c r="D82" s="12"/>
      <c r="E82" s="36">
        <f t="shared" si="35"/>
        <v>0</v>
      </c>
      <c r="F82" s="37" t="e">
        <f>#REF!</f>
        <v>#REF!</v>
      </c>
      <c r="G82" s="37" t="e">
        <f>#REF!</f>
        <v>#REF!</v>
      </c>
      <c r="H82" s="37" t="e">
        <f>#REF!</f>
        <v>#REF!</v>
      </c>
      <c r="I82" s="37" t="e">
        <f>#REF!</f>
        <v>#REF!</v>
      </c>
      <c r="J82" s="37" t="e">
        <f>#REF!</f>
        <v>#REF!</v>
      </c>
      <c r="K82" s="37" t="e">
        <f>#REF!</f>
        <v>#REF!</v>
      </c>
      <c r="L82" s="37" t="e">
        <f>#REF!</f>
        <v>#REF!</v>
      </c>
      <c r="M82" s="37" t="e">
        <f>#REF!</f>
        <v>#REF!</v>
      </c>
      <c r="N82" s="37" t="e">
        <f>#REF!</f>
        <v>#REF!</v>
      </c>
      <c r="O82" s="37" t="e">
        <f>#REF!</f>
        <v>#REF!</v>
      </c>
      <c r="P82" s="37" t="e">
        <f>#REF!</f>
        <v>#REF!</v>
      </c>
      <c r="Q82" s="37" t="e">
        <f>#REF!</f>
        <v>#REF!</v>
      </c>
      <c r="R82" s="33" t="e">
        <f t="shared" si="32"/>
        <v>#REF!</v>
      </c>
      <c r="S82" s="38" t="e">
        <f t="shared" si="33"/>
        <v>#REF!</v>
      </c>
      <c r="U82" s="37" t="e">
        <f>#REF!</f>
        <v>#REF!</v>
      </c>
      <c r="V82" s="37" t="e">
        <f>#REF!</f>
        <v>#REF!</v>
      </c>
      <c r="W82" s="37" t="e">
        <f>#REF!</f>
        <v>#REF!</v>
      </c>
      <c r="X82" s="37" t="e">
        <f>#REF!</f>
        <v>#REF!</v>
      </c>
      <c r="Y82" s="37" t="e">
        <f>#REF!</f>
        <v>#REF!</v>
      </c>
      <c r="Z82" s="37" t="e">
        <f>#REF!</f>
        <v>#REF!</v>
      </c>
      <c r="AA82" s="37" t="e">
        <f>#REF!</f>
        <v>#REF!</v>
      </c>
      <c r="AB82" s="37" t="e">
        <f>#REF!</f>
        <v>#REF!</v>
      </c>
      <c r="AC82" s="37" t="e">
        <f>#REF!</f>
        <v>#REF!</v>
      </c>
      <c r="AD82" s="37" t="e">
        <f>#REF!</f>
        <v>#REF!</v>
      </c>
      <c r="AE82" s="37" t="e">
        <f>#REF!</f>
        <v>#REF!</v>
      </c>
      <c r="AF82" s="37" t="e">
        <f>#REF!</f>
        <v>#REF!</v>
      </c>
      <c r="AG82" s="12" t="e">
        <f t="shared" si="34"/>
        <v>#REF!</v>
      </c>
      <c r="AH82" s="38" t="e">
        <f t="shared" si="31"/>
        <v>#REF!</v>
      </c>
    </row>
    <row r="83" spans="1:34" ht="20.100000000000001" hidden="1" customHeight="1">
      <c r="A83" s="15" t="s">
        <v>46</v>
      </c>
      <c r="B83" s="12"/>
      <c r="C83" s="12"/>
      <c r="D83" s="12"/>
      <c r="E83" s="36">
        <f t="shared" si="35"/>
        <v>0</v>
      </c>
      <c r="F83" s="37" t="e">
        <f>#REF!</f>
        <v>#REF!</v>
      </c>
      <c r="G83" s="37" t="e">
        <f>#REF!</f>
        <v>#REF!</v>
      </c>
      <c r="H83" s="37" t="e">
        <f>#REF!</f>
        <v>#REF!</v>
      </c>
      <c r="I83" s="37" t="e">
        <f>#REF!</f>
        <v>#REF!</v>
      </c>
      <c r="J83" s="37" t="e">
        <f>#REF!</f>
        <v>#REF!</v>
      </c>
      <c r="K83" s="37" t="e">
        <f>#REF!</f>
        <v>#REF!</v>
      </c>
      <c r="L83" s="37" t="e">
        <f>#REF!</f>
        <v>#REF!</v>
      </c>
      <c r="M83" s="37" t="e">
        <f>#REF!</f>
        <v>#REF!</v>
      </c>
      <c r="N83" s="37" t="e">
        <f>#REF!</f>
        <v>#REF!</v>
      </c>
      <c r="O83" s="37" t="e">
        <f>#REF!</f>
        <v>#REF!</v>
      </c>
      <c r="P83" s="37" t="e">
        <f>#REF!</f>
        <v>#REF!</v>
      </c>
      <c r="Q83" s="37" t="e">
        <f>#REF!</f>
        <v>#REF!</v>
      </c>
      <c r="R83" s="33" t="e">
        <f t="shared" si="32"/>
        <v>#REF!</v>
      </c>
      <c r="S83" s="38" t="e">
        <f t="shared" si="33"/>
        <v>#REF!</v>
      </c>
      <c r="U83" s="37" t="e">
        <f>#REF!</f>
        <v>#REF!</v>
      </c>
      <c r="V83" s="37" t="e">
        <f>#REF!</f>
        <v>#REF!</v>
      </c>
      <c r="W83" s="37" t="e">
        <f>#REF!</f>
        <v>#REF!</v>
      </c>
      <c r="X83" s="37" t="e">
        <f>#REF!</f>
        <v>#REF!</v>
      </c>
      <c r="Y83" s="37" t="e">
        <f>#REF!</f>
        <v>#REF!</v>
      </c>
      <c r="Z83" s="37" t="e">
        <f>#REF!</f>
        <v>#REF!</v>
      </c>
      <c r="AA83" s="37" t="e">
        <f>#REF!</f>
        <v>#REF!</v>
      </c>
      <c r="AB83" s="37" t="e">
        <f>#REF!</f>
        <v>#REF!</v>
      </c>
      <c r="AC83" s="37" t="e">
        <f>#REF!</f>
        <v>#REF!</v>
      </c>
      <c r="AD83" s="37" t="e">
        <f>#REF!</f>
        <v>#REF!</v>
      </c>
      <c r="AE83" s="37" t="e">
        <f>#REF!</f>
        <v>#REF!</v>
      </c>
      <c r="AF83" s="37" t="e">
        <f>#REF!</f>
        <v>#REF!</v>
      </c>
      <c r="AG83" s="12" t="e">
        <f t="shared" si="34"/>
        <v>#REF!</v>
      </c>
      <c r="AH83" s="38" t="e">
        <f t="shared" si="31"/>
        <v>#REF!</v>
      </c>
    </row>
    <row r="84" spans="1:34" ht="20.100000000000001" hidden="1" customHeight="1">
      <c r="A84" s="15" t="s">
        <v>47</v>
      </c>
      <c r="B84" s="12"/>
      <c r="C84" s="12"/>
      <c r="D84" s="12"/>
      <c r="E84" s="36">
        <f t="shared" si="35"/>
        <v>0</v>
      </c>
      <c r="F84" s="37" t="e">
        <f>#REF!</f>
        <v>#REF!</v>
      </c>
      <c r="G84" s="37" t="e">
        <f>#REF!</f>
        <v>#REF!</v>
      </c>
      <c r="H84" s="37" t="e">
        <f>#REF!</f>
        <v>#REF!</v>
      </c>
      <c r="I84" s="37" t="e">
        <f>#REF!</f>
        <v>#REF!</v>
      </c>
      <c r="J84" s="37" t="e">
        <f>#REF!</f>
        <v>#REF!</v>
      </c>
      <c r="K84" s="37" t="e">
        <f>#REF!</f>
        <v>#REF!</v>
      </c>
      <c r="L84" s="37" t="e">
        <f>#REF!</f>
        <v>#REF!</v>
      </c>
      <c r="M84" s="37" t="e">
        <f>#REF!</f>
        <v>#REF!</v>
      </c>
      <c r="N84" s="37" t="e">
        <f>#REF!</f>
        <v>#REF!</v>
      </c>
      <c r="O84" s="37" t="e">
        <f>#REF!</f>
        <v>#REF!</v>
      </c>
      <c r="P84" s="37" t="e">
        <f>#REF!</f>
        <v>#REF!</v>
      </c>
      <c r="Q84" s="37" t="e">
        <f>#REF!</f>
        <v>#REF!</v>
      </c>
      <c r="R84" s="33" t="e">
        <f t="shared" si="32"/>
        <v>#REF!</v>
      </c>
      <c r="S84" s="38" t="e">
        <f t="shared" si="33"/>
        <v>#REF!</v>
      </c>
      <c r="U84" s="37" t="e">
        <f>#REF!</f>
        <v>#REF!</v>
      </c>
      <c r="V84" s="37" t="e">
        <f>#REF!</f>
        <v>#REF!</v>
      </c>
      <c r="W84" s="37" t="e">
        <f>#REF!</f>
        <v>#REF!</v>
      </c>
      <c r="X84" s="37" t="e">
        <f>#REF!</f>
        <v>#REF!</v>
      </c>
      <c r="Y84" s="37" t="e">
        <f>#REF!</f>
        <v>#REF!</v>
      </c>
      <c r="Z84" s="37" t="e">
        <f>#REF!</f>
        <v>#REF!</v>
      </c>
      <c r="AA84" s="37" t="e">
        <f>#REF!</f>
        <v>#REF!</v>
      </c>
      <c r="AB84" s="37" t="e">
        <f>#REF!</f>
        <v>#REF!</v>
      </c>
      <c r="AC84" s="37" t="e">
        <f>#REF!</f>
        <v>#REF!</v>
      </c>
      <c r="AD84" s="37" t="e">
        <f>#REF!</f>
        <v>#REF!</v>
      </c>
      <c r="AE84" s="37" t="e">
        <f>#REF!</f>
        <v>#REF!</v>
      </c>
      <c r="AF84" s="37" t="e">
        <f>#REF!</f>
        <v>#REF!</v>
      </c>
      <c r="AG84" s="12" t="e">
        <f t="shared" si="34"/>
        <v>#REF!</v>
      </c>
      <c r="AH84" s="38" t="e">
        <f t="shared" si="31"/>
        <v>#REF!</v>
      </c>
    </row>
    <row r="85" spans="1:34" ht="20.100000000000001" hidden="1" customHeight="1">
      <c r="A85" s="15" t="s">
        <v>48</v>
      </c>
      <c r="B85" s="12"/>
      <c r="C85" s="12"/>
      <c r="D85" s="12"/>
      <c r="E85" s="36">
        <f t="shared" si="35"/>
        <v>0</v>
      </c>
      <c r="F85" s="37" t="e">
        <f>#REF!</f>
        <v>#REF!</v>
      </c>
      <c r="G85" s="37" t="e">
        <f>#REF!</f>
        <v>#REF!</v>
      </c>
      <c r="H85" s="37" t="e">
        <f>#REF!</f>
        <v>#REF!</v>
      </c>
      <c r="I85" s="37" t="e">
        <f>#REF!</f>
        <v>#REF!</v>
      </c>
      <c r="J85" s="37" t="e">
        <f>#REF!</f>
        <v>#REF!</v>
      </c>
      <c r="K85" s="37" t="e">
        <f>#REF!</f>
        <v>#REF!</v>
      </c>
      <c r="L85" s="37" t="e">
        <f>#REF!</f>
        <v>#REF!</v>
      </c>
      <c r="M85" s="37" t="e">
        <f>#REF!</f>
        <v>#REF!</v>
      </c>
      <c r="N85" s="37" t="e">
        <f>#REF!</f>
        <v>#REF!</v>
      </c>
      <c r="O85" s="37" t="e">
        <f>#REF!</f>
        <v>#REF!</v>
      </c>
      <c r="P85" s="37" t="e">
        <f>#REF!</f>
        <v>#REF!</v>
      </c>
      <c r="Q85" s="37" t="e">
        <f>#REF!</f>
        <v>#REF!</v>
      </c>
      <c r="R85" s="33" t="e">
        <f t="shared" si="32"/>
        <v>#REF!</v>
      </c>
      <c r="S85" s="38" t="e">
        <f t="shared" si="33"/>
        <v>#REF!</v>
      </c>
      <c r="U85" s="37" t="e">
        <f>#REF!</f>
        <v>#REF!</v>
      </c>
      <c r="V85" s="37" t="e">
        <f>#REF!</f>
        <v>#REF!</v>
      </c>
      <c r="W85" s="37" t="e">
        <f>#REF!</f>
        <v>#REF!</v>
      </c>
      <c r="X85" s="37" t="e">
        <f>#REF!</f>
        <v>#REF!</v>
      </c>
      <c r="Y85" s="37" t="e">
        <f>#REF!</f>
        <v>#REF!</v>
      </c>
      <c r="Z85" s="37" t="e">
        <f>#REF!</f>
        <v>#REF!</v>
      </c>
      <c r="AA85" s="37" t="e">
        <f>#REF!</f>
        <v>#REF!</v>
      </c>
      <c r="AB85" s="37" t="e">
        <f>#REF!</f>
        <v>#REF!</v>
      </c>
      <c r="AC85" s="37" t="e">
        <f>#REF!</f>
        <v>#REF!</v>
      </c>
      <c r="AD85" s="37" t="e">
        <f>#REF!</f>
        <v>#REF!</v>
      </c>
      <c r="AE85" s="37" t="e">
        <f>#REF!</f>
        <v>#REF!</v>
      </c>
      <c r="AF85" s="37" t="e">
        <f>#REF!</f>
        <v>#REF!</v>
      </c>
      <c r="AG85" s="12" t="e">
        <f t="shared" si="34"/>
        <v>#REF!</v>
      </c>
      <c r="AH85" s="38" t="e">
        <f t="shared" si="31"/>
        <v>#REF!</v>
      </c>
    </row>
    <row r="86" spans="1:34" ht="20.100000000000001" hidden="1" customHeight="1">
      <c r="A86" s="15" t="s">
        <v>43</v>
      </c>
      <c r="B86" s="12"/>
      <c r="C86" s="12"/>
      <c r="D86" s="12"/>
      <c r="E86" s="36">
        <f t="shared" si="35"/>
        <v>0</v>
      </c>
      <c r="F86" s="37" t="e">
        <f>#REF!</f>
        <v>#REF!</v>
      </c>
      <c r="G86" s="37" t="e">
        <f>#REF!</f>
        <v>#REF!</v>
      </c>
      <c r="H86" s="37" t="e">
        <f>#REF!</f>
        <v>#REF!</v>
      </c>
      <c r="I86" s="37" t="e">
        <f>#REF!</f>
        <v>#REF!</v>
      </c>
      <c r="J86" s="37" t="e">
        <f>#REF!</f>
        <v>#REF!</v>
      </c>
      <c r="K86" s="37" t="e">
        <f>#REF!</f>
        <v>#REF!</v>
      </c>
      <c r="L86" s="37" t="e">
        <f>#REF!</f>
        <v>#REF!</v>
      </c>
      <c r="M86" s="37" t="e">
        <f>#REF!</f>
        <v>#REF!</v>
      </c>
      <c r="N86" s="37" t="e">
        <f>#REF!</f>
        <v>#REF!</v>
      </c>
      <c r="O86" s="37" t="e">
        <f>#REF!</f>
        <v>#REF!</v>
      </c>
      <c r="P86" s="37" t="e">
        <f>#REF!</f>
        <v>#REF!</v>
      </c>
      <c r="Q86" s="37" t="e">
        <f>#REF!</f>
        <v>#REF!</v>
      </c>
      <c r="R86" s="33" t="e">
        <f t="shared" si="32"/>
        <v>#REF!</v>
      </c>
      <c r="S86" s="38" t="e">
        <f t="shared" si="33"/>
        <v>#REF!</v>
      </c>
      <c r="U86" s="37" t="e">
        <f>#REF!</f>
        <v>#REF!</v>
      </c>
      <c r="V86" s="37" t="e">
        <f>#REF!</f>
        <v>#REF!</v>
      </c>
      <c r="W86" s="37" t="e">
        <f>#REF!</f>
        <v>#REF!</v>
      </c>
      <c r="X86" s="37" t="e">
        <f>#REF!</f>
        <v>#REF!</v>
      </c>
      <c r="Y86" s="37" t="e">
        <f>#REF!</f>
        <v>#REF!</v>
      </c>
      <c r="Z86" s="37" t="e">
        <f>#REF!</f>
        <v>#REF!</v>
      </c>
      <c r="AA86" s="37" t="e">
        <f>#REF!</f>
        <v>#REF!</v>
      </c>
      <c r="AB86" s="37" t="e">
        <f>#REF!</f>
        <v>#REF!</v>
      </c>
      <c r="AC86" s="37" t="e">
        <f>#REF!</f>
        <v>#REF!</v>
      </c>
      <c r="AD86" s="37" t="e">
        <f>#REF!</f>
        <v>#REF!</v>
      </c>
      <c r="AE86" s="37" t="e">
        <f>#REF!</f>
        <v>#REF!</v>
      </c>
      <c r="AF86" s="37" t="e">
        <f>#REF!</f>
        <v>#REF!</v>
      </c>
      <c r="AG86" s="12" t="e">
        <f t="shared" si="34"/>
        <v>#REF!</v>
      </c>
      <c r="AH86" s="38" t="e">
        <f t="shared" si="31"/>
        <v>#REF!</v>
      </c>
    </row>
    <row r="87" spans="1:34" ht="20.100000000000001" hidden="1" customHeight="1">
      <c r="A87" s="15" t="s">
        <v>57</v>
      </c>
      <c r="B87" s="12"/>
      <c r="C87" s="12"/>
      <c r="D87" s="12"/>
      <c r="E87" s="36">
        <f t="shared" si="35"/>
        <v>0</v>
      </c>
      <c r="F87" s="37" t="e">
        <f>#REF!</f>
        <v>#REF!</v>
      </c>
      <c r="G87" s="37" t="e">
        <f>#REF!</f>
        <v>#REF!</v>
      </c>
      <c r="H87" s="37" t="e">
        <f>#REF!</f>
        <v>#REF!</v>
      </c>
      <c r="I87" s="37" t="e">
        <f>#REF!</f>
        <v>#REF!</v>
      </c>
      <c r="J87" s="37" t="e">
        <f>#REF!</f>
        <v>#REF!</v>
      </c>
      <c r="K87" s="37" t="e">
        <f>#REF!</f>
        <v>#REF!</v>
      </c>
      <c r="L87" s="37" t="e">
        <f>#REF!</f>
        <v>#REF!</v>
      </c>
      <c r="M87" s="37" t="e">
        <f>#REF!</f>
        <v>#REF!</v>
      </c>
      <c r="N87" s="37" t="e">
        <f>#REF!</f>
        <v>#REF!</v>
      </c>
      <c r="O87" s="37" t="e">
        <f>#REF!</f>
        <v>#REF!</v>
      </c>
      <c r="P87" s="37" t="e">
        <f>#REF!</f>
        <v>#REF!</v>
      </c>
      <c r="Q87" s="37" t="e">
        <f>#REF!</f>
        <v>#REF!</v>
      </c>
      <c r="R87" s="33" t="e">
        <f t="shared" si="32"/>
        <v>#REF!</v>
      </c>
      <c r="S87" s="38" t="e">
        <f t="shared" si="33"/>
        <v>#REF!</v>
      </c>
      <c r="U87" s="37" t="e">
        <f>#REF!</f>
        <v>#REF!</v>
      </c>
      <c r="V87" s="37" t="e">
        <f>#REF!</f>
        <v>#REF!</v>
      </c>
      <c r="W87" s="37" t="e">
        <f>#REF!</f>
        <v>#REF!</v>
      </c>
      <c r="X87" s="37" t="e">
        <f>#REF!</f>
        <v>#REF!</v>
      </c>
      <c r="Y87" s="37" t="e">
        <f>#REF!</f>
        <v>#REF!</v>
      </c>
      <c r="Z87" s="37" t="e">
        <f>#REF!</f>
        <v>#REF!</v>
      </c>
      <c r="AA87" s="37" t="e">
        <f>#REF!</f>
        <v>#REF!</v>
      </c>
      <c r="AB87" s="37" t="e">
        <f>#REF!</f>
        <v>#REF!</v>
      </c>
      <c r="AC87" s="37" t="e">
        <f>#REF!</f>
        <v>#REF!</v>
      </c>
      <c r="AD87" s="37" t="e">
        <f>#REF!</f>
        <v>#REF!</v>
      </c>
      <c r="AE87" s="37" t="e">
        <f>#REF!</f>
        <v>#REF!</v>
      </c>
      <c r="AF87" s="37" t="e">
        <f>#REF!</f>
        <v>#REF!</v>
      </c>
      <c r="AG87" s="12" t="e">
        <f t="shared" si="34"/>
        <v>#REF!</v>
      </c>
      <c r="AH87" s="38" t="e">
        <f t="shared" si="31"/>
        <v>#REF!</v>
      </c>
    </row>
    <row r="88" spans="1:34" ht="20.100000000000001" hidden="1" customHeight="1">
      <c r="A88" s="15" t="s">
        <v>58</v>
      </c>
      <c r="B88" s="12"/>
      <c r="C88" s="12"/>
      <c r="D88" s="12"/>
      <c r="E88" s="36">
        <f t="shared" si="35"/>
        <v>0</v>
      </c>
      <c r="F88" s="37" t="e">
        <f>#REF!</f>
        <v>#REF!</v>
      </c>
      <c r="G88" s="37" t="e">
        <f>#REF!</f>
        <v>#REF!</v>
      </c>
      <c r="H88" s="37" t="e">
        <f>#REF!</f>
        <v>#REF!</v>
      </c>
      <c r="I88" s="37" t="e">
        <f>#REF!</f>
        <v>#REF!</v>
      </c>
      <c r="J88" s="37" t="e">
        <f>#REF!</f>
        <v>#REF!</v>
      </c>
      <c r="K88" s="37" t="e">
        <f>#REF!</f>
        <v>#REF!</v>
      </c>
      <c r="L88" s="37" t="e">
        <f>#REF!</f>
        <v>#REF!</v>
      </c>
      <c r="M88" s="37" t="e">
        <f>#REF!</f>
        <v>#REF!</v>
      </c>
      <c r="N88" s="37" t="e">
        <f>#REF!</f>
        <v>#REF!</v>
      </c>
      <c r="O88" s="37" t="e">
        <f>#REF!</f>
        <v>#REF!</v>
      </c>
      <c r="P88" s="37" t="e">
        <f>#REF!</f>
        <v>#REF!</v>
      </c>
      <c r="Q88" s="37" t="e">
        <f>#REF!</f>
        <v>#REF!</v>
      </c>
      <c r="R88" s="33" t="e">
        <f t="shared" si="32"/>
        <v>#REF!</v>
      </c>
      <c r="S88" s="38" t="e">
        <f t="shared" si="33"/>
        <v>#REF!</v>
      </c>
      <c r="U88" s="37" t="e">
        <f>#REF!</f>
        <v>#REF!</v>
      </c>
      <c r="V88" s="37" t="e">
        <f>#REF!</f>
        <v>#REF!</v>
      </c>
      <c r="W88" s="37" t="e">
        <f>#REF!</f>
        <v>#REF!</v>
      </c>
      <c r="X88" s="37" t="e">
        <f>#REF!</f>
        <v>#REF!</v>
      </c>
      <c r="Y88" s="37" t="e">
        <f>#REF!</f>
        <v>#REF!</v>
      </c>
      <c r="Z88" s="37" t="e">
        <f>#REF!</f>
        <v>#REF!</v>
      </c>
      <c r="AA88" s="37" t="e">
        <f>#REF!</f>
        <v>#REF!</v>
      </c>
      <c r="AB88" s="37" t="e">
        <f>#REF!</f>
        <v>#REF!</v>
      </c>
      <c r="AC88" s="37" t="e">
        <f>#REF!</f>
        <v>#REF!</v>
      </c>
      <c r="AD88" s="37" t="e">
        <f>#REF!</f>
        <v>#REF!</v>
      </c>
      <c r="AE88" s="37" t="e">
        <f>#REF!</f>
        <v>#REF!</v>
      </c>
      <c r="AF88" s="37" t="e">
        <f>#REF!</f>
        <v>#REF!</v>
      </c>
      <c r="AG88" s="12" t="e">
        <f t="shared" si="34"/>
        <v>#REF!</v>
      </c>
      <c r="AH88" s="38" t="e">
        <f t="shared" si="31"/>
        <v>#REF!</v>
      </c>
    </row>
    <row r="89" spans="1:34" ht="20.100000000000001" hidden="1" customHeight="1">
      <c r="A89" s="15" t="s">
        <v>59</v>
      </c>
      <c r="B89" s="12"/>
      <c r="C89" s="12"/>
      <c r="D89" s="12"/>
      <c r="E89" s="36">
        <f t="shared" si="35"/>
        <v>0</v>
      </c>
      <c r="F89" s="37" t="e">
        <f>#REF!</f>
        <v>#REF!</v>
      </c>
      <c r="G89" s="37" t="e">
        <f>#REF!</f>
        <v>#REF!</v>
      </c>
      <c r="H89" s="37" t="e">
        <f>#REF!</f>
        <v>#REF!</v>
      </c>
      <c r="I89" s="37" t="e">
        <f>#REF!</f>
        <v>#REF!</v>
      </c>
      <c r="J89" s="37" t="e">
        <f>#REF!</f>
        <v>#REF!</v>
      </c>
      <c r="K89" s="37" t="e">
        <f>#REF!</f>
        <v>#REF!</v>
      </c>
      <c r="L89" s="37" t="e">
        <f>#REF!</f>
        <v>#REF!</v>
      </c>
      <c r="M89" s="37" t="e">
        <f>#REF!</f>
        <v>#REF!</v>
      </c>
      <c r="N89" s="37" t="e">
        <f>#REF!</f>
        <v>#REF!</v>
      </c>
      <c r="O89" s="37" t="e">
        <f>#REF!</f>
        <v>#REF!</v>
      </c>
      <c r="P89" s="37" t="e">
        <f>#REF!</f>
        <v>#REF!</v>
      </c>
      <c r="Q89" s="37" t="e">
        <f>#REF!</f>
        <v>#REF!</v>
      </c>
      <c r="R89" s="33" t="e">
        <f t="shared" si="32"/>
        <v>#REF!</v>
      </c>
      <c r="S89" s="38" t="e">
        <f t="shared" si="33"/>
        <v>#REF!</v>
      </c>
      <c r="U89" s="37" t="e">
        <f>#REF!</f>
        <v>#REF!</v>
      </c>
      <c r="V89" s="37" t="e">
        <f>#REF!</f>
        <v>#REF!</v>
      </c>
      <c r="W89" s="37" t="e">
        <f>#REF!</f>
        <v>#REF!</v>
      </c>
      <c r="X89" s="37" t="e">
        <f>#REF!</f>
        <v>#REF!</v>
      </c>
      <c r="Y89" s="37" t="e">
        <f>#REF!</f>
        <v>#REF!</v>
      </c>
      <c r="Z89" s="37" t="e">
        <f>#REF!</f>
        <v>#REF!</v>
      </c>
      <c r="AA89" s="37" t="e">
        <f>#REF!</f>
        <v>#REF!</v>
      </c>
      <c r="AB89" s="37" t="e">
        <f>#REF!</f>
        <v>#REF!</v>
      </c>
      <c r="AC89" s="37" t="e">
        <f>#REF!</f>
        <v>#REF!</v>
      </c>
      <c r="AD89" s="37" t="e">
        <f>#REF!</f>
        <v>#REF!</v>
      </c>
      <c r="AE89" s="37" t="e">
        <f>#REF!</f>
        <v>#REF!</v>
      </c>
      <c r="AF89" s="37" t="e">
        <f>#REF!</f>
        <v>#REF!</v>
      </c>
      <c r="AG89" s="12" t="e">
        <f t="shared" si="34"/>
        <v>#REF!</v>
      </c>
      <c r="AH89" s="38" t="e">
        <f t="shared" si="31"/>
        <v>#REF!</v>
      </c>
    </row>
    <row r="90" spans="1:34" ht="20.100000000000001" hidden="1" customHeight="1">
      <c r="A90" s="15" t="s">
        <v>60</v>
      </c>
      <c r="B90" s="12"/>
      <c r="C90" s="12"/>
      <c r="D90" s="12"/>
      <c r="E90" s="36">
        <f t="shared" si="35"/>
        <v>0</v>
      </c>
      <c r="F90" s="37" t="e">
        <f>#REF!</f>
        <v>#REF!</v>
      </c>
      <c r="G90" s="37" t="e">
        <f>#REF!</f>
        <v>#REF!</v>
      </c>
      <c r="H90" s="37" t="e">
        <f>#REF!</f>
        <v>#REF!</v>
      </c>
      <c r="I90" s="37" t="e">
        <f>#REF!</f>
        <v>#REF!</v>
      </c>
      <c r="J90" s="37" t="e">
        <f>#REF!</f>
        <v>#REF!</v>
      </c>
      <c r="K90" s="37" t="e">
        <f>#REF!</f>
        <v>#REF!</v>
      </c>
      <c r="L90" s="37" t="e">
        <f>#REF!</f>
        <v>#REF!</v>
      </c>
      <c r="M90" s="37" t="e">
        <f>#REF!</f>
        <v>#REF!</v>
      </c>
      <c r="N90" s="37" t="e">
        <f>#REF!</f>
        <v>#REF!</v>
      </c>
      <c r="O90" s="37" t="e">
        <f>#REF!</f>
        <v>#REF!</v>
      </c>
      <c r="P90" s="37" t="e">
        <f>#REF!</f>
        <v>#REF!</v>
      </c>
      <c r="Q90" s="37" t="e">
        <f>#REF!</f>
        <v>#REF!</v>
      </c>
      <c r="R90" s="33" t="e">
        <f t="shared" si="32"/>
        <v>#REF!</v>
      </c>
      <c r="S90" s="38" t="e">
        <f t="shared" si="33"/>
        <v>#REF!</v>
      </c>
      <c r="U90" s="37" t="e">
        <f>#REF!</f>
        <v>#REF!</v>
      </c>
      <c r="V90" s="37" t="e">
        <f>#REF!</f>
        <v>#REF!</v>
      </c>
      <c r="W90" s="37" t="e">
        <f>#REF!</f>
        <v>#REF!</v>
      </c>
      <c r="X90" s="37" t="e">
        <f>#REF!</f>
        <v>#REF!</v>
      </c>
      <c r="Y90" s="37" t="e">
        <f>#REF!</f>
        <v>#REF!</v>
      </c>
      <c r="Z90" s="37" t="e">
        <f>#REF!</f>
        <v>#REF!</v>
      </c>
      <c r="AA90" s="37" t="e">
        <f>#REF!</f>
        <v>#REF!</v>
      </c>
      <c r="AB90" s="37" t="e">
        <f>#REF!</f>
        <v>#REF!</v>
      </c>
      <c r="AC90" s="37" t="e">
        <f>#REF!</f>
        <v>#REF!</v>
      </c>
      <c r="AD90" s="37" t="e">
        <f>#REF!</f>
        <v>#REF!</v>
      </c>
      <c r="AE90" s="37" t="e">
        <f>#REF!</f>
        <v>#REF!</v>
      </c>
      <c r="AF90" s="37" t="e">
        <f>#REF!</f>
        <v>#REF!</v>
      </c>
      <c r="AG90" s="12" t="e">
        <f t="shared" si="34"/>
        <v>#REF!</v>
      </c>
      <c r="AH90" s="38" t="e">
        <f t="shared" si="31"/>
        <v>#REF!</v>
      </c>
    </row>
    <row r="91" spans="1:34" ht="20.100000000000001" hidden="1" customHeight="1">
      <c r="A91" s="15" t="s">
        <v>61</v>
      </c>
      <c r="B91" s="12"/>
      <c r="C91" s="12"/>
      <c r="D91" s="12"/>
      <c r="E91" s="36">
        <f t="shared" si="27"/>
        <v>0</v>
      </c>
      <c r="F91" s="37" t="e">
        <f>#REF!</f>
        <v>#REF!</v>
      </c>
      <c r="G91" s="37" t="e">
        <f>#REF!</f>
        <v>#REF!</v>
      </c>
      <c r="H91" s="37" t="e">
        <f>#REF!</f>
        <v>#REF!</v>
      </c>
      <c r="I91" s="37" t="e">
        <f>#REF!</f>
        <v>#REF!</v>
      </c>
      <c r="J91" s="37" t="e">
        <f>#REF!</f>
        <v>#REF!</v>
      </c>
      <c r="K91" s="37" t="e">
        <f>#REF!</f>
        <v>#REF!</v>
      </c>
      <c r="L91" s="37" t="e">
        <f>#REF!</f>
        <v>#REF!</v>
      </c>
      <c r="M91" s="37" t="e">
        <f>#REF!</f>
        <v>#REF!</v>
      </c>
      <c r="N91" s="37" t="e">
        <f>#REF!</f>
        <v>#REF!</v>
      </c>
      <c r="O91" s="37" t="e">
        <f>#REF!</f>
        <v>#REF!</v>
      </c>
      <c r="P91" s="37" t="e">
        <f>#REF!</f>
        <v>#REF!</v>
      </c>
      <c r="Q91" s="37" t="e">
        <f>#REF!</f>
        <v>#REF!</v>
      </c>
      <c r="R91" s="33" t="e">
        <f t="shared" si="32"/>
        <v>#REF!</v>
      </c>
      <c r="S91" s="38" t="e">
        <f t="shared" si="33"/>
        <v>#REF!</v>
      </c>
      <c r="U91" s="37" t="e">
        <f>#REF!</f>
        <v>#REF!</v>
      </c>
      <c r="V91" s="37" t="e">
        <f>#REF!</f>
        <v>#REF!</v>
      </c>
      <c r="W91" s="37" t="e">
        <f>#REF!</f>
        <v>#REF!</v>
      </c>
      <c r="X91" s="37" t="e">
        <f>#REF!</f>
        <v>#REF!</v>
      </c>
      <c r="Y91" s="37" t="e">
        <f>#REF!</f>
        <v>#REF!</v>
      </c>
      <c r="Z91" s="37" t="e">
        <f>#REF!</f>
        <v>#REF!</v>
      </c>
      <c r="AA91" s="37" t="e">
        <f>#REF!</f>
        <v>#REF!</v>
      </c>
      <c r="AB91" s="37" t="e">
        <f>#REF!</f>
        <v>#REF!</v>
      </c>
      <c r="AC91" s="37" t="e">
        <f>#REF!</f>
        <v>#REF!</v>
      </c>
      <c r="AD91" s="37" t="e">
        <f>#REF!</f>
        <v>#REF!</v>
      </c>
      <c r="AE91" s="37" t="e">
        <f>#REF!</f>
        <v>#REF!</v>
      </c>
      <c r="AF91" s="37" t="e">
        <f>#REF!</f>
        <v>#REF!</v>
      </c>
      <c r="AG91" s="12" t="e">
        <f t="shared" si="34"/>
        <v>#REF!</v>
      </c>
      <c r="AH91" s="38" t="e">
        <f t="shared" si="31"/>
        <v>#REF!</v>
      </c>
    </row>
    <row r="93" spans="1:34" ht="20.100000000000001" customHeight="1">
      <c r="A93" s="40" t="s">
        <v>40</v>
      </c>
      <c r="B93" s="41" t="s">
        <v>21</v>
      </c>
      <c r="C93" s="42" t="s">
        <v>41</v>
      </c>
      <c r="D93" s="41">
        <v>2021</v>
      </c>
      <c r="E93" s="32" t="s">
        <v>22</v>
      </c>
      <c r="F93" s="33" t="s">
        <v>23</v>
      </c>
      <c r="G93" s="33" t="s">
        <v>25</v>
      </c>
      <c r="H93" s="33" t="s">
        <v>27</v>
      </c>
      <c r="I93" s="33" t="s">
        <v>29</v>
      </c>
      <c r="J93" s="33" t="s">
        <v>30</v>
      </c>
      <c r="K93" s="33" t="s">
        <v>32</v>
      </c>
      <c r="L93" s="33" t="s">
        <v>33</v>
      </c>
      <c r="M93" s="33" t="s">
        <v>34</v>
      </c>
      <c r="N93" s="33" t="s">
        <v>35</v>
      </c>
      <c r="O93" s="33" t="s">
        <v>2</v>
      </c>
      <c r="P93" s="33" t="s">
        <v>36</v>
      </c>
      <c r="Q93" s="33" t="s">
        <v>37</v>
      </c>
      <c r="R93" s="41" t="s">
        <v>39</v>
      </c>
      <c r="S93" s="34" t="s">
        <v>38</v>
      </c>
    </row>
    <row r="94" spans="1:34" ht="20.100000000000001" customHeight="1">
      <c r="A94" s="40"/>
      <c r="B94" s="41"/>
      <c r="C94" s="42"/>
      <c r="D94" s="41"/>
      <c r="E94" s="32"/>
      <c r="F94" s="33" t="s">
        <v>20</v>
      </c>
      <c r="G94" s="33" t="s">
        <v>20</v>
      </c>
      <c r="H94" s="33" t="s">
        <v>20</v>
      </c>
      <c r="I94" s="33" t="s">
        <v>20</v>
      </c>
      <c r="J94" s="33" t="s">
        <v>20</v>
      </c>
      <c r="K94" s="33" t="s">
        <v>20</v>
      </c>
      <c r="L94" s="33" t="s">
        <v>20</v>
      </c>
      <c r="M94" s="33" t="s">
        <v>20</v>
      </c>
      <c r="N94" s="33" t="s">
        <v>20</v>
      </c>
      <c r="O94" s="33" t="s">
        <v>20</v>
      </c>
      <c r="P94" s="33" t="s">
        <v>20</v>
      </c>
      <c r="Q94" s="33" t="s">
        <v>20</v>
      </c>
      <c r="R94" s="41"/>
      <c r="S94" s="34" t="s">
        <v>20</v>
      </c>
    </row>
    <row r="95" spans="1:34" ht="20.100000000000001" customHeight="1">
      <c r="A95" s="15" t="s">
        <v>90</v>
      </c>
      <c r="B95" s="12"/>
      <c r="C95" s="12"/>
      <c r="D95" s="12">
        <v>30</v>
      </c>
      <c r="E95" s="36">
        <f t="shared" ref="E95" si="36">SUM(B95:D95)</f>
        <v>30</v>
      </c>
      <c r="F95" s="37" t="e">
        <f>#REF!</f>
        <v>#REF!</v>
      </c>
      <c r="G95" s="37" t="e">
        <f>#REF!</f>
        <v>#REF!</v>
      </c>
      <c r="H95" s="37" t="e">
        <f>#REF!</f>
        <v>#REF!</v>
      </c>
      <c r="I95" s="37" t="e">
        <f>#REF!</f>
        <v>#REF!</v>
      </c>
      <c r="J95" s="37" t="e">
        <f>#REF!</f>
        <v>#REF!</v>
      </c>
      <c r="K95" s="37" t="e">
        <f>#REF!</f>
        <v>#REF!</v>
      </c>
      <c r="L95" s="37" t="e">
        <f>#REF!</f>
        <v>#REF!</v>
      </c>
      <c r="M95" s="37" t="e">
        <f>#REF!</f>
        <v>#REF!</v>
      </c>
      <c r="N95" s="37" t="e">
        <f>#REF!</f>
        <v>#REF!</v>
      </c>
      <c r="O95" s="37" t="e">
        <f>#REF!</f>
        <v>#REF!</v>
      </c>
      <c r="P95" s="37" t="e">
        <f>#REF!</f>
        <v>#REF!</v>
      </c>
      <c r="Q95" s="37" t="e">
        <f>#REF!</f>
        <v>#REF!</v>
      </c>
      <c r="R95" s="33" t="e">
        <f t="shared" ref="R95" si="37">SUM(F95+G95+H95+I95+J95+K95+L95+M95+N95+O95+P95+Q95)</f>
        <v>#REF!</v>
      </c>
      <c r="S95" s="38" t="e">
        <f t="shared" ref="S95" si="38">SUM(E95-R95)</f>
        <v>#REF!</v>
      </c>
    </row>
    <row r="96" spans="1:34" ht="20.100000000000001" customHeight="1">
      <c r="A96" s="15" t="s">
        <v>91</v>
      </c>
      <c r="B96" s="12"/>
      <c r="C96" s="12"/>
      <c r="D96" s="12">
        <v>30</v>
      </c>
      <c r="E96" s="36">
        <f t="shared" ref="E96:E114" si="39">SUM(B96:D96)</f>
        <v>30</v>
      </c>
      <c r="F96" s="37" t="e">
        <f>#REF!</f>
        <v>#REF!</v>
      </c>
      <c r="G96" s="37" t="e">
        <f>#REF!</f>
        <v>#REF!</v>
      </c>
      <c r="H96" s="37" t="e">
        <f>#REF!</f>
        <v>#REF!</v>
      </c>
      <c r="I96" s="37" t="e">
        <f>#REF!</f>
        <v>#REF!</v>
      </c>
      <c r="J96" s="37" t="e">
        <f>#REF!</f>
        <v>#REF!</v>
      </c>
      <c r="K96" s="37" t="e">
        <f>#REF!</f>
        <v>#REF!</v>
      </c>
      <c r="L96" s="37" t="e">
        <f>#REF!</f>
        <v>#REF!</v>
      </c>
      <c r="M96" s="37" t="e">
        <f>#REF!</f>
        <v>#REF!</v>
      </c>
      <c r="N96" s="37" t="e">
        <f>#REF!</f>
        <v>#REF!</v>
      </c>
      <c r="O96" s="37" t="e">
        <f>#REF!</f>
        <v>#REF!</v>
      </c>
      <c r="P96" s="37" t="e">
        <f>#REF!</f>
        <v>#REF!</v>
      </c>
      <c r="Q96" s="37" t="e">
        <f>#REF!</f>
        <v>#REF!</v>
      </c>
      <c r="R96" s="33" t="e">
        <f t="shared" ref="R96:R114" si="40">SUM(F96+G96+H96+I96+J96+K96+L96+M96+N96+O96+P96+Q96)</f>
        <v>#REF!</v>
      </c>
      <c r="S96" s="38" t="e">
        <f t="shared" ref="S96:S114" si="41">SUM(E96-R96)</f>
        <v>#REF!</v>
      </c>
    </row>
    <row r="97" spans="1:19" ht="20.100000000000001" customHeight="1">
      <c r="A97" s="15" t="s">
        <v>93</v>
      </c>
      <c r="B97" s="12"/>
      <c r="C97" s="12"/>
      <c r="D97" s="12"/>
      <c r="E97" s="36">
        <f t="shared" si="39"/>
        <v>0</v>
      </c>
      <c r="F97" s="37" t="e">
        <f>#REF!</f>
        <v>#REF!</v>
      </c>
      <c r="G97" s="37" t="e">
        <f>#REF!</f>
        <v>#REF!</v>
      </c>
      <c r="H97" s="37" t="e">
        <f>#REF!</f>
        <v>#REF!</v>
      </c>
      <c r="I97" s="37" t="e">
        <f>#REF!</f>
        <v>#REF!</v>
      </c>
      <c r="J97" s="37" t="e">
        <f>#REF!</f>
        <v>#REF!</v>
      </c>
      <c r="K97" s="37" t="e">
        <f>#REF!</f>
        <v>#REF!</v>
      </c>
      <c r="L97" s="37" t="e">
        <f>#REF!</f>
        <v>#REF!</v>
      </c>
      <c r="M97" s="37" t="e">
        <f>#REF!</f>
        <v>#REF!</v>
      </c>
      <c r="N97" s="37" t="e">
        <f>#REF!</f>
        <v>#REF!</v>
      </c>
      <c r="O97" s="37" t="e">
        <f>#REF!</f>
        <v>#REF!</v>
      </c>
      <c r="P97" s="37" t="e">
        <f>#REF!</f>
        <v>#REF!</v>
      </c>
      <c r="Q97" s="37" t="e">
        <f>#REF!</f>
        <v>#REF!</v>
      </c>
      <c r="R97" s="33" t="e">
        <f t="shared" si="40"/>
        <v>#REF!</v>
      </c>
      <c r="S97" s="38" t="e">
        <f t="shared" si="41"/>
        <v>#REF!</v>
      </c>
    </row>
    <row r="98" spans="1:19" ht="20.100000000000001" customHeight="1">
      <c r="A98" s="15" t="s">
        <v>98</v>
      </c>
      <c r="B98" s="12"/>
      <c r="C98" s="12"/>
      <c r="D98" s="12"/>
      <c r="E98" s="36">
        <f t="shared" si="39"/>
        <v>0</v>
      </c>
      <c r="F98" s="37" t="e">
        <f>#REF!</f>
        <v>#REF!</v>
      </c>
      <c r="G98" s="37" t="e">
        <f>#REF!</f>
        <v>#REF!</v>
      </c>
      <c r="H98" s="37" t="e">
        <f>#REF!</f>
        <v>#REF!</v>
      </c>
      <c r="I98" s="37" t="e">
        <f>#REF!</f>
        <v>#REF!</v>
      </c>
      <c r="J98" s="37" t="e">
        <f>#REF!</f>
        <v>#REF!</v>
      </c>
      <c r="K98" s="37" t="e">
        <f>#REF!</f>
        <v>#REF!</v>
      </c>
      <c r="L98" s="37" t="e">
        <f>#REF!</f>
        <v>#REF!</v>
      </c>
      <c r="M98" s="37" t="e">
        <f>#REF!</f>
        <v>#REF!</v>
      </c>
      <c r="N98" s="37" t="e">
        <f>#REF!</f>
        <v>#REF!</v>
      </c>
      <c r="O98" s="37" t="e">
        <f>#REF!</f>
        <v>#REF!</v>
      </c>
      <c r="P98" s="37" t="e">
        <f>#REF!</f>
        <v>#REF!</v>
      </c>
      <c r="Q98" s="37" t="e">
        <f>#REF!</f>
        <v>#REF!</v>
      </c>
      <c r="R98" s="33" t="e">
        <f t="shared" si="40"/>
        <v>#REF!</v>
      </c>
      <c r="S98" s="38" t="e">
        <f t="shared" si="41"/>
        <v>#REF!</v>
      </c>
    </row>
    <row r="99" spans="1:19" ht="20.100000000000001" customHeight="1">
      <c r="A99" s="15" t="s">
        <v>94</v>
      </c>
      <c r="B99" s="12"/>
      <c r="C99" s="12"/>
      <c r="D99" s="12">
        <v>30</v>
      </c>
      <c r="E99" s="36">
        <f t="shared" si="39"/>
        <v>30</v>
      </c>
      <c r="F99" s="37" t="e">
        <f>#REF!</f>
        <v>#REF!</v>
      </c>
      <c r="G99" s="37" t="e">
        <f>#REF!</f>
        <v>#REF!</v>
      </c>
      <c r="H99" s="37" t="e">
        <f>#REF!</f>
        <v>#REF!</v>
      </c>
      <c r="I99" s="37" t="e">
        <f>#REF!</f>
        <v>#REF!</v>
      </c>
      <c r="J99" s="37" t="e">
        <f>#REF!</f>
        <v>#REF!</v>
      </c>
      <c r="K99" s="37" t="e">
        <f>#REF!</f>
        <v>#REF!</v>
      </c>
      <c r="L99" s="37" t="e">
        <f>#REF!</f>
        <v>#REF!</v>
      </c>
      <c r="M99" s="37" t="e">
        <f>#REF!</f>
        <v>#REF!</v>
      </c>
      <c r="N99" s="37" t="e">
        <f>#REF!</f>
        <v>#REF!</v>
      </c>
      <c r="O99" s="37" t="e">
        <f>#REF!</f>
        <v>#REF!</v>
      </c>
      <c r="P99" s="37" t="e">
        <f>#REF!</f>
        <v>#REF!</v>
      </c>
      <c r="Q99" s="37" t="e">
        <f>#REF!</f>
        <v>#REF!</v>
      </c>
      <c r="R99" s="33" t="e">
        <f t="shared" si="40"/>
        <v>#REF!</v>
      </c>
      <c r="S99" s="38" t="e">
        <f t="shared" si="41"/>
        <v>#REF!</v>
      </c>
    </row>
    <row r="100" spans="1:19" ht="20.100000000000001" customHeight="1">
      <c r="A100" s="15" t="s">
        <v>99</v>
      </c>
      <c r="B100" s="12"/>
      <c r="C100" s="12"/>
      <c r="D100" s="12"/>
      <c r="E100" s="36">
        <f t="shared" si="39"/>
        <v>0</v>
      </c>
      <c r="F100" s="37" t="e">
        <f>#REF!</f>
        <v>#REF!</v>
      </c>
      <c r="G100" s="37" t="e">
        <f>#REF!</f>
        <v>#REF!</v>
      </c>
      <c r="H100" s="37" t="e">
        <f>#REF!</f>
        <v>#REF!</v>
      </c>
      <c r="I100" s="37" t="e">
        <f>#REF!</f>
        <v>#REF!</v>
      </c>
      <c r="J100" s="37" t="e">
        <f>#REF!</f>
        <v>#REF!</v>
      </c>
      <c r="K100" s="37" t="e">
        <f>#REF!</f>
        <v>#REF!</v>
      </c>
      <c r="L100" s="37" t="e">
        <f>#REF!</f>
        <v>#REF!</v>
      </c>
      <c r="M100" s="37" t="e">
        <f>#REF!</f>
        <v>#REF!</v>
      </c>
      <c r="N100" s="37" t="e">
        <f>#REF!</f>
        <v>#REF!</v>
      </c>
      <c r="O100" s="37" t="e">
        <f>#REF!</f>
        <v>#REF!</v>
      </c>
      <c r="P100" s="37" t="e">
        <f>#REF!</f>
        <v>#REF!</v>
      </c>
      <c r="Q100" s="37" t="e">
        <f>#REF!</f>
        <v>#REF!</v>
      </c>
      <c r="R100" s="33" t="e">
        <f t="shared" si="40"/>
        <v>#REF!</v>
      </c>
      <c r="S100" s="38" t="e">
        <f t="shared" si="41"/>
        <v>#REF!</v>
      </c>
    </row>
    <row r="101" spans="1:19" ht="20.100000000000001" customHeight="1">
      <c r="A101" s="15" t="s">
        <v>92</v>
      </c>
      <c r="B101" s="12"/>
      <c r="C101" s="12"/>
      <c r="D101" s="12">
        <v>30</v>
      </c>
      <c r="E101" s="36">
        <f t="shared" si="39"/>
        <v>30</v>
      </c>
      <c r="F101" s="37" t="e">
        <f>#REF!</f>
        <v>#REF!</v>
      </c>
      <c r="G101" s="37" t="e">
        <f>#REF!</f>
        <v>#REF!</v>
      </c>
      <c r="H101" s="37" t="e">
        <f>#REF!</f>
        <v>#REF!</v>
      </c>
      <c r="I101" s="37" t="e">
        <f>#REF!</f>
        <v>#REF!</v>
      </c>
      <c r="J101" s="37" t="e">
        <f>#REF!</f>
        <v>#REF!</v>
      </c>
      <c r="K101" s="37" t="e">
        <f>#REF!</f>
        <v>#REF!</v>
      </c>
      <c r="L101" s="37" t="e">
        <f>#REF!</f>
        <v>#REF!</v>
      </c>
      <c r="M101" s="37" t="e">
        <f>#REF!</f>
        <v>#REF!</v>
      </c>
      <c r="N101" s="37" t="e">
        <f>#REF!</f>
        <v>#REF!</v>
      </c>
      <c r="O101" s="37" t="e">
        <f>#REF!</f>
        <v>#REF!</v>
      </c>
      <c r="P101" s="37" t="e">
        <f>#REF!</f>
        <v>#REF!</v>
      </c>
      <c r="Q101" s="37" t="e">
        <f>#REF!</f>
        <v>#REF!</v>
      </c>
      <c r="R101" s="33" t="e">
        <f t="shared" si="40"/>
        <v>#REF!</v>
      </c>
      <c r="S101" s="38" t="e">
        <f t="shared" si="41"/>
        <v>#REF!</v>
      </c>
    </row>
    <row r="102" spans="1:19" ht="20.100000000000001" customHeight="1">
      <c r="A102" s="15" t="s">
        <v>95</v>
      </c>
      <c r="B102" s="12"/>
      <c r="C102" s="12"/>
      <c r="D102" s="12">
        <v>30</v>
      </c>
      <c r="E102" s="36">
        <f t="shared" si="39"/>
        <v>30</v>
      </c>
      <c r="F102" s="37" t="e">
        <f>#REF!</f>
        <v>#REF!</v>
      </c>
      <c r="G102" s="37" t="e">
        <f>#REF!</f>
        <v>#REF!</v>
      </c>
      <c r="H102" s="37" t="e">
        <f>#REF!</f>
        <v>#REF!</v>
      </c>
      <c r="I102" s="37" t="e">
        <f>#REF!</f>
        <v>#REF!</v>
      </c>
      <c r="J102" s="37" t="e">
        <f>#REF!</f>
        <v>#REF!</v>
      </c>
      <c r="K102" s="37" t="e">
        <f>#REF!</f>
        <v>#REF!</v>
      </c>
      <c r="L102" s="37" t="e">
        <f>#REF!</f>
        <v>#REF!</v>
      </c>
      <c r="M102" s="37" t="e">
        <f>#REF!</f>
        <v>#REF!</v>
      </c>
      <c r="N102" s="37" t="e">
        <f>#REF!</f>
        <v>#REF!</v>
      </c>
      <c r="O102" s="37" t="e">
        <f>#REF!</f>
        <v>#REF!</v>
      </c>
      <c r="P102" s="37" t="e">
        <f>#REF!</f>
        <v>#REF!</v>
      </c>
      <c r="Q102" s="37" t="e">
        <f>#REF!</f>
        <v>#REF!</v>
      </c>
      <c r="R102" s="33" t="e">
        <f t="shared" si="40"/>
        <v>#REF!</v>
      </c>
      <c r="S102" s="38" t="e">
        <f t="shared" si="41"/>
        <v>#REF!</v>
      </c>
    </row>
    <row r="103" spans="1:19" ht="20.100000000000001" customHeight="1">
      <c r="A103" s="15" t="s">
        <v>96</v>
      </c>
      <c r="B103" s="12"/>
      <c r="C103" s="12"/>
      <c r="D103" s="12"/>
      <c r="E103" s="36">
        <f t="shared" si="39"/>
        <v>0</v>
      </c>
      <c r="F103" s="37" t="e">
        <f>#REF!</f>
        <v>#REF!</v>
      </c>
      <c r="G103" s="37" t="e">
        <f>#REF!</f>
        <v>#REF!</v>
      </c>
      <c r="H103" s="37" t="e">
        <f>#REF!</f>
        <v>#REF!</v>
      </c>
      <c r="I103" s="37" t="e">
        <f>#REF!</f>
        <v>#REF!</v>
      </c>
      <c r="J103" s="37" t="e">
        <f>#REF!</f>
        <v>#REF!</v>
      </c>
      <c r="K103" s="37" t="e">
        <f>#REF!</f>
        <v>#REF!</v>
      </c>
      <c r="L103" s="37" t="e">
        <f>#REF!</f>
        <v>#REF!</v>
      </c>
      <c r="M103" s="37" t="e">
        <f>#REF!</f>
        <v>#REF!</v>
      </c>
      <c r="N103" s="37" t="e">
        <f>#REF!</f>
        <v>#REF!</v>
      </c>
      <c r="O103" s="37" t="e">
        <f>#REF!</f>
        <v>#REF!</v>
      </c>
      <c r="P103" s="37" t="e">
        <f>#REF!</f>
        <v>#REF!</v>
      </c>
      <c r="Q103" s="37" t="e">
        <f>#REF!</f>
        <v>#REF!</v>
      </c>
      <c r="R103" s="33" t="e">
        <f t="shared" si="40"/>
        <v>#REF!</v>
      </c>
      <c r="S103" s="38" t="e">
        <f t="shared" si="41"/>
        <v>#REF!</v>
      </c>
    </row>
    <row r="104" spans="1:19" ht="20.100000000000001" hidden="1" customHeight="1">
      <c r="A104" s="15" t="s">
        <v>44</v>
      </c>
      <c r="B104" s="12"/>
      <c r="C104" s="12"/>
      <c r="D104" s="12"/>
      <c r="E104" s="36">
        <f t="shared" si="39"/>
        <v>0</v>
      </c>
      <c r="F104" s="37" t="e">
        <f>#REF!</f>
        <v>#REF!</v>
      </c>
      <c r="G104" s="37" t="e">
        <f>#REF!</f>
        <v>#REF!</v>
      </c>
      <c r="H104" s="37" t="e">
        <f>#REF!</f>
        <v>#REF!</v>
      </c>
      <c r="I104" s="37" t="e">
        <f>#REF!</f>
        <v>#REF!</v>
      </c>
      <c r="J104" s="37" t="e">
        <f>#REF!</f>
        <v>#REF!</v>
      </c>
      <c r="K104" s="37" t="e">
        <f>#REF!</f>
        <v>#REF!</v>
      </c>
      <c r="L104" s="37" t="e">
        <f>#REF!</f>
        <v>#REF!</v>
      </c>
      <c r="M104" s="37" t="e">
        <f>#REF!</f>
        <v>#REF!</v>
      </c>
      <c r="N104" s="37" t="e">
        <f>#REF!</f>
        <v>#REF!</v>
      </c>
      <c r="O104" s="37" t="e">
        <f>#REF!</f>
        <v>#REF!</v>
      </c>
      <c r="P104" s="37" t="e">
        <f>#REF!</f>
        <v>#REF!</v>
      </c>
      <c r="Q104" s="37" t="e">
        <f>#REF!</f>
        <v>#REF!</v>
      </c>
      <c r="R104" s="33" t="e">
        <f t="shared" si="40"/>
        <v>#REF!</v>
      </c>
      <c r="S104" s="38" t="e">
        <f t="shared" si="41"/>
        <v>#REF!</v>
      </c>
    </row>
    <row r="105" spans="1:19" ht="20.100000000000001" hidden="1" customHeight="1">
      <c r="A105" s="15" t="s">
        <v>45</v>
      </c>
      <c r="B105" s="12"/>
      <c r="C105" s="12"/>
      <c r="D105" s="12"/>
      <c r="E105" s="36">
        <f t="shared" si="39"/>
        <v>0</v>
      </c>
      <c r="F105" s="37" t="e">
        <f>#REF!</f>
        <v>#REF!</v>
      </c>
      <c r="G105" s="37" t="e">
        <f>#REF!</f>
        <v>#REF!</v>
      </c>
      <c r="H105" s="37" t="e">
        <f>#REF!</f>
        <v>#REF!</v>
      </c>
      <c r="I105" s="37" t="e">
        <f>#REF!</f>
        <v>#REF!</v>
      </c>
      <c r="J105" s="37" t="e">
        <f>#REF!</f>
        <v>#REF!</v>
      </c>
      <c r="K105" s="37" t="e">
        <f>#REF!</f>
        <v>#REF!</v>
      </c>
      <c r="L105" s="37" t="e">
        <f>#REF!</f>
        <v>#REF!</v>
      </c>
      <c r="M105" s="37" t="e">
        <f>#REF!</f>
        <v>#REF!</v>
      </c>
      <c r="N105" s="37" t="e">
        <f>#REF!</f>
        <v>#REF!</v>
      </c>
      <c r="O105" s="37" t="e">
        <f>#REF!</f>
        <v>#REF!</v>
      </c>
      <c r="P105" s="37" t="e">
        <f>#REF!</f>
        <v>#REF!</v>
      </c>
      <c r="Q105" s="37" t="e">
        <f>#REF!</f>
        <v>#REF!</v>
      </c>
      <c r="R105" s="33" t="e">
        <f t="shared" si="40"/>
        <v>#REF!</v>
      </c>
      <c r="S105" s="38" t="e">
        <f t="shared" si="41"/>
        <v>#REF!</v>
      </c>
    </row>
    <row r="106" spans="1:19" ht="20.100000000000001" hidden="1" customHeight="1">
      <c r="A106" s="15" t="s">
        <v>46</v>
      </c>
      <c r="B106" s="12"/>
      <c r="C106" s="12"/>
      <c r="D106" s="12"/>
      <c r="E106" s="36">
        <f t="shared" si="39"/>
        <v>0</v>
      </c>
      <c r="F106" s="37" t="e">
        <f>#REF!</f>
        <v>#REF!</v>
      </c>
      <c r="G106" s="37" t="e">
        <f>#REF!</f>
        <v>#REF!</v>
      </c>
      <c r="H106" s="37" t="e">
        <f>#REF!</f>
        <v>#REF!</v>
      </c>
      <c r="I106" s="37" t="e">
        <f>#REF!</f>
        <v>#REF!</v>
      </c>
      <c r="J106" s="37" t="e">
        <f>#REF!</f>
        <v>#REF!</v>
      </c>
      <c r="K106" s="37" t="e">
        <f>#REF!</f>
        <v>#REF!</v>
      </c>
      <c r="L106" s="37" t="e">
        <f>#REF!</f>
        <v>#REF!</v>
      </c>
      <c r="M106" s="37" t="e">
        <f>#REF!</f>
        <v>#REF!</v>
      </c>
      <c r="N106" s="37" t="e">
        <f>#REF!</f>
        <v>#REF!</v>
      </c>
      <c r="O106" s="37" t="e">
        <f>#REF!</f>
        <v>#REF!</v>
      </c>
      <c r="P106" s="37" t="e">
        <f>#REF!</f>
        <v>#REF!</v>
      </c>
      <c r="Q106" s="37" t="e">
        <f>#REF!</f>
        <v>#REF!</v>
      </c>
      <c r="R106" s="33" t="e">
        <f t="shared" si="40"/>
        <v>#REF!</v>
      </c>
      <c r="S106" s="38" t="e">
        <f t="shared" si="41"/>
        <v>#REF!</v>
      </c>
    </row>
    <row r="107" spans="1:19" ht="20.100000000000001" hidden="1" customHeight="1">
      <c r="A107" s="15" t="s">
        <v>47</v>
      </c>
      <c r="B107" s="12"/>
      <c r="C107" s="12"/>
      <c r="D107" s="12"/>
      <c r="E107" s="36">
        <f t="shared" si="39"/>
        <v>0</v>
      </c>
      <c r="F107" s="37" t="e">
        <f>#REF!</f>
        <v>#REF!</v>
      </c>
      <c r="G107" s="37" t="e">
        <f>#REF!</f>
        <v>#REF!</v>
      </c>
      <c r="H107" s="37" t="e">
        <f>#REF!</f>
        <v>#REF!</v>
      </c>
      <c r="I107" s="37" t="e">
        <f>#REF!</f>
        <v>#REF!</v>
      </c>
      <c r="J107" s="37" t="e">
        <f>#REF!</f>
        <v>#REF!</v>
      </c>
      <c r="K107" s="37" t="e">
        <f>#REF!</f>
        <v>#REF!</v>
      </c>
      <c r="L107" s="37" t="e">
        <f>#REF!</f>
        <v>#REF!</v>
      </c>
      <c r="M107" s="37" t="e">
        <f>#REF!</f>
        <v>#REF!</v>
      </c>
      <c r="N107" s="37" t="e">
        <f>#REF!</f>
        <v>#REF!</v>
      </c>
      <c r="O107" s="37" t="e">
        <f>#REF!</f>
        <v>#REF!</v>
      </c>
      <c r="P107" s="37" t="e">
        <f>#REF!</f>
        <v>#REF!</v>
      </c>
      <c r="Q107" s="37" t="e">
        <f>#REF!</f>
        <v>#REF!</v>
      </c>
      <c r="R107" s="33" t="e">
        <f t="shared" si="40"/>
        <v>#REF!</v>
      </c>
      <c r="S107" s="38" t="e">
        <f t="shared" si="41"/>
        <v>#REF!</v>
      </c>
    </row>
    <row r="108" spans="1:19" ht="20.100000000000001" hidden="1" customHeight="1">
      <c r="A108" s="15" t="s">
        <v>48</v>
      </c>
      <c r="B108" s="12"/>
      <c r="C108" s="12"/>
      <c r="D108" s="12"/>
      <c r="E108" s="36">
        <f t="shared" si="39"/>
        <v>0</v>
      </c>
      <c r="F108" s="37" t="e">
        <f>#REF!</f>
        <v>#REF!</v>
      </c>
      <c r="G108" s="37" t="e">
        <f>#REF!</f>
        <v>#REF!</v>
      </c>
      <c r="H108" s="37" t="e">
        <f>#REF!</f>
        <v>#REF!</v>
      </c>
      <c r="I108" s="37" t="e">
        <f>#REF!</f>
        <v>#REF!</v>
      </c>
      <c r="J108" s="37" t="e">
        <f>#REF!</f>
        <v>#REF!</v>
      </c>
      <c r="K108" s="37" t="e">
        <f>#REF!</f>
        <v>#REF!</v>
      </c>
      <c r="L108" s="37" t="e">
        <f>#REF!</f>
        <v>#REF!</v>
      </c>
      <c r="M108" s="37" t="e">
        <f>#REF!</f>
        <v>#REF!</v>
      </c>
      <c r="N108" s="37" t="e">
        <f>#REF!</f>
        <v>#REF!</v>
      </c>
      <c r="O108" s="37" t="e">
        <f>#REF!</f>
        <v>#REF!</v>
      </c>
      <c r="P108" s="37" t="e">
        <f>#REF!</f>
        <v>#REF!</v>
      </c>
      <c r="Q108" s="37" t="e">
        <f>#REF!</f>
        <v>#REF!</v>
      </c>
      <c r="R108" s="33" t="e">
        <f t="shared" si="40"/>
        <v>#REF!</v>
      </c>
      <c r="S108" s="38" t="e">
        <f t="shared" si="41"/>
        <v>#REF!</v>
      </c>
    </row>
    <row r="109" spans="1:19" ht="20.100000000000001" hidden="1" customHeight="1">
      <c r="A109" s="15" t="s">
        <v>43</v>
      </c>
      <c r="B109" s="12"/>
      <c r="C109" s="12"/>
      <c r="D109" s="12"/>
      <c r="E109" s="36">
        <f t="shared" si="39"/>
        <v>0</v>
      </c>
      <c r="F109" s="37" t="e">
        <f>#REF!</f>
        <v>#REF!</v>
      </c>
      <c r="G109" s="37" t="e">
        <f>#REF!</f>
        <v>#REF!</v>
      </c>
      <c r="H109" s="37" t="e">
        <f>#REF!</f>
        <v>#REF!</v>
      </c>
      <c r="I109" s="37" t="e">
        <f>#REF!</f>
        <v>#REF!</v>
      </c>
      <c r="J109" s="37" t="e">
        <f>#REF!</f>
        <v>#REF!</v>
      </c>
      <c r="K109" s="37" t="e">
        <f>#REF!</f>
        <v>#REF!</v>
      </c>
      <c r="L109" s="37" t="e">
        <f>#REF!</f>
        <v>#REF!</v>
      </c>
      <c r="M109" s="37" t="e">
        <f>#REF!</f>
        <v>#REF!</v>
      </c>
      <c r="N109" s="37" t="e">
        <f>#REF!</f>
        <v>#REF!</v>
      </c>
      <c r="O109" s="37" t="e">
        <f>#REF!</f>
        <v>#REF!</v>
      </c>
      <c r="P109" s="37" t="e">
        <f>#REF!</f>
        <v>#REF!</v>
      </c>
      <c r="Q109" s="37" t="e">
        <f>#REF!</f>
        <v>#REF!</v>
      </c>
      <c r="R109" s="33" t="e">
        <f t="shared" si="40"/>
        <v>#REF!</v>
      </c>
      <c r="S109" s="38" t="e">
        <f t="shared" si="41"/>
        <v>#REF!</v>
      </c>
    </row>
    <row r="110" spans="1:19" ht="20.100000000000001" hidden="1" customHeight="1">
      <c r="A110" s="15" t="s">
        <v>57</v>
      </c>
      <c r="B110" s="12"/>
      <c r="C110" s="12"/>
      <c r="D110" s="12"/>
      <c r="E110" s="36">
        <f t="shared" si="39"/>
        <v>0</v>
      </c>
      <c r="F110" s="37" t="e">
        <f>#REF!</f>
        <v>#REF!</v>
      </c>
      <c r="G110" s="37" t="e">
        <f>#REF!</f>
        <v>#REF!</v>
      </c>
      <c r="H110" s="37" t="e">
        <f>#REF!</f>
        <v>#REF!</v>
      </c>
      <c r="I110" s="37" t="e">
        <f>#REF!</f>
        <v>#REF!</v>
      </c>
      <c r="J110" s="37" t="e">
        <f>#REF!</f>
        <v>#REF!</v>
      </c>
      <c r="K110" s="37" t="e">
        <f>#REF!</f>
        <v>#REF!</v>
      </c>
      <c r="L110" s="37" t="e">
        <f>#REF!</f>
        <v>#REF!</v>
      </c>
      <c r="M110" s="37" t="e">
        <f>#REF!</f>
        <v>#REF!</v>
      </c>
      <c r="N110" s="37" t="e">
        <f>#REF!</f>
        <v>#REF!</v>
      </c>
      <c r="O110" s="37" t="e">
        <f>#REF!</f>
        <v>#REF!</v>
      </c>
      <c r="P110" s="37" t="e">
        <f>#REF!</f>
        <v>#REF!</v>
      </c>
      <c r="Q110" s="37" t="e">
        <f>#REF!</f>
        <v>#REF!</v>
      </c>
      <c r="R110" s="33" t="e">
        <f t="shared" si="40"/>
        <v>#REF!</v>
      </c>
      <c r="S110" s="38" t="e">
        <f t="shared" si="41"/>
        <v>#REF!</v>
      </c>
    </row>
    <row r="111" spans="1:19" ht="20.100000000000001" hidden="1" customHeight="1">
      <c r="A111" s="15" t="s">
        <v>58</v>
      </c>
      <c r="B111" s="12"/>
      <c r="C111" s="12"/>
      <c r="D111" s="12"/>
      <c r="E111" s="36">
        <f t="shared" si="39"/>
        <v>0</v>
      </c>
      <c r="F111" s="37" t="e">
        <f>#REF!</f>
        <v>#REF!</v>
      </c>
      <c r="G111" s="37" t="e">
        <f>#REF!</f>
        <v>#REF!</v>
      </c>
      <c r="H111" s="37" t="e">
        <f>#REF!</f>
        <v>#REF!</v>
      </c>
      <c r="I111" s="37" t="e">
        <f>#REF!</f>
        <v>#REF!</v>
      </c>
      <c r="J111" s="37" t="e">
        <f>#REF!</f>
        <v>#REF!</v>
      </c>
      <c r="K111" s="37" t="e">
        <f>#REF!</f>
        <v>#REF!</v>
      </c>
      <c r="L111" s="37" t="e">
        <f>#REF!</f>
        <v>#REF!</v>
      </c>
      <c r="M111" s="37" t="e">
        <f>#REF!</f>
        <v>#REF!</v>
      </c>
      <c r="N111" s="37" t="e">
        <f>#REF!</f>
        <v>#REF!</v>
      </c>
      <c r="O111" s="37" t="e">
        <f>#REF!</f>
        <v>#REF!</v>
      </c>
      <c r="P111" s="37" t="e">
        <f>#REF!</f>
        <v>#REF!</v>
      </c>
      <c r="Q111" s="37" t="e">
        <f>#REF!</f>
        <v>#REF!</v>
      </c>
      <c r="R111" s="33" t="e">
        <f t="shared" si="40"/>
        <v>#REF!</v>
      </c>
      <c r="S111" s="38" t="e">
        <f t="shared" si="41"/>
        <v>#REF!</v>
      </c>
    </row>
    <row r="112" spans="1:19" ht="20.100000000000001" hidden="1" customHeight="1">
      <c r="A112" s="15" t="s">
        <v>59</v>
      </c>
      <c r="B112" s="12"/>
      <c r="C112" s="12"/>
      <c r="D112" s="12"/>
      <c r="E112" s="36">
        <f t="shared" si="39"/>
        <v>0</v>
      </c>
      <c r="F112" s="37" t="e">
        <f>#REF!</f>
        <v>#REF!</v>
      </c>
      <c r="G112" s="37" t="e">
        <f>#REF!</f>
        <v>#REF!</v>
      </c>
      <c r="H112" s="37" t="e">
        <f>#REF!</f>
        <v>#REF!</v>
      </c>
      <c r="I112" s="37" t="e">
        <f>#REF!</f>
        <v>#REF!</v>
      </c>
      <c r="J112" s="37" t="e">
        <f>#REF!</f>
        <v>#REF!</v>
      </c>
      <c r="K112" s="37" t="e">
        <f>#REF!</f>
        <v>#REF!</v>
      </c>
      <c r="L112" s="37" t="e">
        <f>#REF!</f>
        <v>#REF!</v>
      </c>
      <c r="M112" s="37" t="e">
        <f>#REF!</f>
        <v>#REF!</v>
      </c>
      <c r="N112" s="37" t="e">
        <f>#REF!</f>
        <v>#REF!</v>
      </c>
      <c r="O112" s="37" t="e">
        <f>#REF!</f>
        <v>#REF!</v>
      </c>
      <c r="P112" s="37" t="e">
        <f>#REF!</f>
        <v>#REF!</v>
      </c>
      <c r="Q112" s="37" t="e">
        <f>#REF!</f>
        <v>#REF!</v>
      </c>
      <c r="R112" s="33" t="e">
        <f t="shared" si="40"/>
        <v>#REF!</v>
      </c>
      <c r="S112" s="38" t="e">
        <f t="shared" si="41"/>
        <v>#REF!</v>
      </c>
    </row>
    <row r="113" spans="1:19" ht="20.100000000000001" hidden="1" customHeight="1">
      <c r="A113" s="15" t="s">
        <v>60</v>
      </c>
      <c r="B113" s="12"/>
      <c r="C113" s="12"/>
      <c r="D113" s="12"/>
      <c r="E113" s="36">
        <f t="shared" si="39"/>
        <v>0</v>
      </c>
      <c r="F113" s="37" t="e">
        <f>#REF!</f>
        <v>#REF!</v>
      </c>
      <c r="G113" s="37" t="e">
        <f>#REF!</f>
        <v>#REF!</v>
      </c>
      <c r="H113" s="37" t="e">
        <f>#REF!</f>
        <v>#REF!</v>
      </c>
      <c r="I113" s="37" t="e">
        <f>#REF!</f>
        <v>#REF!</v>
      </c>
      <c r="J113" s="37" t="e">
        <f>#REF!</f>
        <v>#REF!</v>
      </c>
      <c r="K113" s="37" t="e">
        <f>#REF!</f>
        <v>#REF!</v>
      </c>
      <c r="L113" s="37" t="e">
        <f>#REF!</f>
        <v>#REF!</v>
      </c>
      <c r="M113" s="37" t="e">
        <f>#REF!</f>
        <v>#REF!</v>
      </c>
      <c r="N113" s="37" t="e">
        <f>#REF!</f>
        <v>#REF!</v>
      </c>
      <c r="O113" s="37" t="e">
        <f>#REF!</f>
        <v>#REF!</v>
      </c>
      <c r="P113" s="37" t="e">
        <f>#REF!</f>
        <v>#REF!</v>
      </c>
      <c r="Q113" s="37" t="e">
        <f>#REF!</f>
        <v>#REF!</v>
      </c>
      <c r="R113" s="33" t="e">
        <f t="shared" si="40"/>
        <v>#REF!</v>
      </c>
      <c r="S113" s="38" t="e">
        <f t="shared" si="41"/>
        <v>#REF!</v>
      </c>
    </row>
    <row r="114" spans="1:19" ht="20.100000000000001" hidden="1" customHeight="1">
      <c r="A114" s="15" t="s">
        <v>61</v>
      </c>
      <c r="B114" s="12"/>
      <c r="C114" s="12"/>
      <c r="D114" s="12"/>
      <c r="E114" s="36">
        <f t="shared" si="39"/>
        <v>0</v>
      </c>
      <c r="F114" s="37" t="e">
        <f>#REF!</f>
        <v>#REF!</v>
      </c>
      <c r="G114" s="37" t="e">
        <f>#REF!</f>
        <v>#REF!</v>
      </c>
      <c r="H114" s="37" t="e">
        <f>#REF!</f>
        <v>#REF!</v>
      </c>
      <c r="I114" s="37" t="e">
        <f>#REF!</f>
        <v>#REF!</v>
      </c>
      <c r="J114" s="37" t="e">
        <f>#REF!</f>
        <v>#REF!</v>
      </c>
      <c r="K114" s="37" t="e">
        <f>#REF!</f>
        <v>#REF!</v>
      </c>
      <c r="L114" s="37" t="e">
        <f>#REF!</f>
        <v>#REF!</v>
      </c>
      <c r="M114" s="37" t="e">
        <f>#REF!</f>
        <v>#REF!</v>
      </c>
      <c r="N114" s="37" t="e">
        <f>#REF!</f>
        <v>#REF!</v>
      </c>
      <c r="O114" s="37" t="e">
        <f>#REF!</f>
        <v>#REF!</v>
      </c>
      <c r="P114" s="37" t="e">
        <f>#REF!</f>
        <v>#REF!</v>
      </c>
      <c r="Q114" s="37" t="e">
        <f>#REF!</f>
        <v>#REF!</v>
      </c>
      <c r="R114" s="33" t="e">
        <f t="shared" si="40"/>
        <v>#REF!</v>
      </c>
      <c r="S114" s="38" t="e">
        <f t="shared" si="41"/>
        <v>#REF!</v>
      </c>
    </row>
  </sheetData>
  <sheetProtection password="DD6F" sheet="1" objects="1" scenarios="1"/>
  <mergeCells count="29">
    <mergeCell ref="AG70:AG71"/>
    <mergeCell ref="AG1:AG2"/>
    <mergeCell ref="R1:R2"/>
    <mergeCell ref="AG47:AG48"/>
    <mergeCell ref="R47:R48"/>
    <mergeCell ref="AG24:AG25"/>
    <mergeCell ref="R24:R25"/>
    <mergeCell ref="D70:D71"/>
    <mergeCell ref="R70:R71"/>
    <mergeCell ref="A47:A48"/>
    <mergeCell ref="B47:B48"/>
    <mergeCell ref="C47:C48"/>
    <mergeCell ref="D47:D48"/>
    <mergeCell ref="A70:A71"/>
    <mergeCell ref="B70:B71"/>
    <mergeCell ref="C70:C71"/>
    <mergeCell ref="A24:A25"/>
    <mergeCell ref="B24:B25"/>
    <mergeCell ref="D24:D25"/>
    <mergeCell ref="A1:A2"/>
    <mergeCell ref="B1:B2"/>
    <mergeCell ref="C1:C2"/>
    <mergeCell ref="D1:D2"/>
    <mergeCell ref="C24:C25"/>
    <mergeCell ref="A93:A94"/>
    <mergeCell ref="B93:B94"/>
    <mergeCell ref="C93:C94"/>
    <mergeCell ref="D93:D94"/>
    <mergeCell ref="R93:R94"/>
  </mergeCells>
  <phoneticPr fontId="0" type="noConversion"/>
  <printOptions horizontalCentered="1" verticalCentered="1"/>
  <pageMargins left="0.39370078740157483" right="0.39370078740157483" top="0.24" bottom="0.3" header="0.17" footer="0.3"/>
  <pageSetup paperSize="9" orientation="landscape" horizontalDpi="4294967292" r:id="rId1"/>
  <headerFooter alignWithMargins="0">
    <oddFooter>&amp;R&amp;F</oddFooter>
  </headerFooter>
  <rowBreaks count="1" manualBreakCount="1">
    <brk id="45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287"/>
  <sheetViews>
    <sheetView showGridLines="0" tabSelected="1" workbookViewId="0">
      <selection activeCell="B9" sqref="B9:E9"/>
    </sheetView>
  </sheetViews>
  <sheetFormatPr defaultColWidth="12" defaultRowHeight="12.75"/>
  <cols>
    <col min="1" max="1" width="18.85546875" style="17" customWidth="1"/>
    <col min="2" max="2" width="4" style="23" customWidth="1"/>
    <col min="3" max="8" width="3.140625" style="23" customWidth="1"/>
    <col min="9" max="9" width="3" style="23" customWidth="1"/>
    <col min="10" max="31" width="3.140625" style="23" customWidth="1"/>
    <col min="32" max="32" width="3.85546875" style="23" customWidth="1"/>
    <col min="33" max="33" width="3.42578125" style="17" customWidth="1"/>
    <col min="34" max="35" width="6.85546875" style="23" hidden="1" customWidth="1"/>
    <col min="36" max="42" width="3.42578125" style="17" customWidth="1"/>
    <col min="43" max="16384" width="12" style="17"/>
  </cols>
  <sheetData>
    <row r="1" spans="1:35" s="21" customFormat="1" ht="20.100000000000001" customHeight="1">
      <c r="A1" s="43" t="s">
        <v>0</v>
      </c>
      <c r="B1" s="19">
        <v>1</v>
      </c>
      <c r="C1" s="20">
        <v>2</v>
      </c>
      <c r="D1" s="20">
        <v>3</v>
      </c>
      <c r="E1" s="20">
        <v>4</v>
      </c>
      <c r="F1" s="20">
        <v>5</v>
      </c>
      <c r="G1" s="20">
        <v>6</v>
      </c>
      <c r="H1" s="20">
        <v>7</v>
      </c>
      <c r="I1" s="20">
        <v>8</v>
      </c>
      <c r="J1" s="20">
        <v>9</v>
      </c>
      <c r="K1" s="20">
        <v>10</v>
      </c>
      <c r="L1" s="20">
        <v>11</v>
      </c>
      <c r="M1" s="20">
        <v>12</v>
      </c>
      <c r="N1" s="20">
        <v>13</v>
      </c>
      <c r="O1" s="20">
        <v>14</v>
      </c>
      <c r="P1" s="20">
        <v>15</v>
      </c>
      <c r="Q1" s="20">
        <v>16</v>
      </c>
      <c r="R1" s="20">
        <v>17</v>
      </c>
      <c r="S1" s="20">
        <v>18</v>
      </c>
      <c r="T1" s="20">
        <v>19</v>
      </c>
      <c r="U1" s="20">
        <v>20</v>
      </c>
      <c r="V1" s="20">
        <v>21</v>
      </c>
      <c r="W1" s="20">
        <v>22</v>
      </c>
      <c r="X1" s="20">
        <v>23</v>
      </c>
      <c r="Y1" s="20">
        <v>24</v>
      </c>
      <c r="Z1" s="20">
        <v>25</v>
      </c>
      <c r="AA1" s="20">
        <v>26</v>
      </c>
      <c r="AB1" s="20">
        <v>27</v>
      </c>
      <c r="AC1" s="20">
        <v>28</v>
      </c>
      <c r="AD1" s="20">
        <v>29</v>
      </c>
      <c r="AE1" s="20">
        <v>30</v>
      </c>
      <c r="AF1" s="20">
        <v>31</v>
      </c>
      <c r="AH1" s="43" t="s">
        <v>18</v>
      </c>
      <c r="AI1" s="43" t="s">
        <v>19</v>
      </c>
    </row>
    <row r="2" spans="1:35" ht="20.100000000000001" customHeight="1">
      <c r="A2" s="43"/>
      <c r="B2" s="22" t="str">
        <f>'2021'!B4</f>
        <v>P</v>
      </c>
      <c r="C2" s="22" t="str">
        <f>'2021'!C4</f>
        <v>Szo</v>
      </c>
      <c r="D2" s="22" t="str">
        <f>'2021'!D4</f>
        <v>V</v>
      </c>
      <c r="E2" s="22" t="str">
        <f>'2021'!E4</f>
        <v>H</v>
      </c>
      <c r="F2" s="22" t="str">
        <f>'2021'!F4</f>
        <v>K</v>
      </c>
      <c r="G2" s="22" t="str">
        <f>'2021'!G4</f>
        <v>Sze</v>
      </c>
      <c r="H2" s="22" t="str">
        <f>'2021'!H4</f>
        <v>Cs</v>
      </c>
      <c r="I2" s="22" t="str">
        <f>'2021'!I4</f>
        <v>P</v>
      </c>
      <c r="J2" s="22" t="str">
        <f>'2021'!J4</f>
        <v>Szo</v>
      </c>
      <c r="K2" s="22" t="str">
        <f>'2021'!K4</f>
        <v>V</v>
      </c>
      <c r="L2" s="22" t="str">
        <f>'2021'!L4</f>
        <v>H</v>
      </c>
      <c r="M2" s="22" t="str">
        <f>'2021'!M4</f>
        <v>K</v>
      </c>
      <c r="N2" s="22" t="str">
        <f>'2021'!N4</f>
        <v>Sze</v>
      </c>
      <c r="O2" s="22" t="str">
        <f>'2021'!O4</f>
        <v>Cs</v>
      </c>
      <c r="P2" s="22" t="str">
        <f>'2021'!P4</f>
        <v>P</v>
      </c>
      <c r="Q2" s="22" t="str">
        <f>'2021'!Q4</f>
        <v>Szo</v>
      </c>
      <c r="R2" s="22" t="str">
        <f>'2021'!R4</f>
        <v>V</v>
      </c>
      <c r="S2" s="22" t="str">
        <f>'2021'!S4</f>
        <v>H</v>
      </c>
      <c r="T2" s="22" t="str">
        <f>'2021'!T4</f>
        <v>K</v>
      </c>
      <c r="U2" s="22" t="str">
        <f>'2021'!U4</f>
        <v>Sze</v>
      </c>
      <c r="V2" s="22" t="str">
        <f>'2021'!V4</f>
        <v>Cs</v>
      </c>
      <c r="W2" s="22" t="str">
        <f>'2021'!W4</f>
        <v>P</v>
      </c>
      <c r="X2" s="22" t="str">
        <f>'2021'!X4</f>
        <v>Szo</v>
      </c>
      <c r="Y2" s="22" t="str">
        <f>'2021'!Y4</f>
        <v>V</v>
      </c>
      <c r="Z2" s="22" t="str">
        <f>'2021'!Z4</f>
        <v>H</v>
      </c>
      <c r="AA2" s="22" t="str">
        <f>'2021'!AA4</f>
        <v>K</v>
      </c>
      <c r="AB2" s="22" t="str">
        <f>'2021'!AB4</f>
        <v>Sze</v>
      </c>
      <c r="AC2" s="22" t="str">
        <f>'2021'!AC4</f>
        <v>Cs</v>
      </c>
      <c r="AD2" s="22" t="str">
        <f>'2021'!AD4</f>
        <v>P</v>
      </c>
      <c r="AE2" s="22" t="str">
        <f>'2021'!AE4</f>
        <v>Szo</v>
      </c>
      <c r="AF2" s="22" t="str">
        <f>'2021'!AF4</f>
        <v>V</v>
      </c>
      <c r="AH2" s="45"/>
      <c r="AI2" s="45"/>
    </row>
    <row r="3" spans="1:35" ht="20.100000000000001" customHeight="1">
      <c r="A3" s="43"/>
      <c r="B3" s="22">
        <f>'2021'!B5</f>
        <v>2</v>
      </c>
      <c r="C3" s="22">
        <f>'2021'!C5</f>
        <v>2</v>
      </c>
      <c r="D3" s="22">
        <f>'2021'!D5</f>
        <v>2</v>
      </c>
      <c r="E3" s="22">
        <f>'2021'!E5</f>
        <v>2</v>
      </c>
      <c r="F3" s="22" t="str">
        <f>'2021'!F5</f>
        <v>X</v>
      </c>
      <c r="G3" s="22" t="s">
        <v>2</v>
      </c>
      <c r="H3" s="22">
        <f>'2021'!H5</f>
        <v>1</v>
      </c>
      <c r="I3" s="22">
        <f>'2021'!I5</f>
        <v>1</v>
      </c>
      <c r="J3" s="22">
        <f>'2021'!J5</f>
        <v>1</v>
      </c>
      <c r="K3" s="22">
        <f>'2021'!K5</f>
        <v>1</v>
      </c>
      <c r="L3" s="22">
        <f>'2021'!L5</f>
        <v>1</v>
      </c>
      <c r="M3" s="22">
        <f>'2021'!M5</f>
        <v>1</v>
      </c>
      <c r="N3" s="22" t="str">
        <f>'2021'!N5</f>
        <v>X</v>
      </c>
      <c r="O3" s="22" t="str">
        <f>'2021'!O5</f>
        <v>X</v>
      </c>
      <c r="P3" s="22">
        <f>'2021'!P5</f>
        <v>3</v>
      </c>
      <c r="Q3" s="22">
        <f>'2021'!Q5</f>
        <v>3</v>
      </c>
      <c r="R3" s="22">
        <f>'2021'!R5</f>
        <v>3</v>
      </c>
      <c r="S3" s="22">
        <f>'2021'!S5</f>
        <v>3</v>
      </c>
      <c r="T3" s="22">
        <f>'2021'!T5</f>
        <v>3</v>
      </c>
      <c r="U3" s="22">
        <f>'2021'!U5</f>
        <v>3</v>
      </c>
      <c r="V3" s="22" t="str">
        <f>'2021'!V5</f>
        <v>X</v>
      </c>
      <c r="W3" s="22" t="str">
        <f>'2021'!W5</f>
        <v>X</v>
      </c>
      <c r="X3" s="22">
        <f>'2021'!X5</f>
        <v>2</v>
      </c>
      <c r="Y3" s="22">
        <f>'2021'!Y5</f>
        <v>2</v>
      </c>
      <c r="Z3" s="22">
        <f>'2021'!Z5</f>
        <v>2</v>
      </c>
      <c r="AA3" s="22">
        <f>'2021'!AA5</f>
        <v>2</v>
      </c>
      <c r="AB3" s="22">
        <f>'2021'!AB5</f>
        <v>2</v>
      </c>
      <c r="AC3" s="22">
        <f>'2021'!AC5</f>
        <v>2</v>
      </c>
      <c r="AD3" s="22" t="str">
        <f>'2021'!AD5</f>
        <v>X</v>
      </c>
      <c r="AE3" s="22" t="str">
        <f>'2021'!AE5</f>
        <v>X</v>
      </c>
      <c r="AF3" s="22">
        <f>'2021'!AF5</f>
        <v>1</v>
      </c>
      <c r="AH3" s="45"/>
      <c r="AI3" s="45"/>
    </row>
    <row r="4" spans="1:35" ht="20.100000000000001" customHeight="1">
      <c r="A4" s="15" t="str">
        <f>ÖSSZES!$A$3</f>
        <v>Csuka Lajos</v>
      </c>
      <c r="B4" s="11"/>
      <c r="C4" s="28"/>
      <c r="D4" s="28"/>
      <c r="E4" s="28"/>
      <c r="F4" s="28" t="s">
        <v>2</v>
      </c>
      <c r="G4" s="28" t="s">
        <v>2</v>
      </c>
      <c r="H4" s="28"/>
      <c r="I4" s="28"/>
      <c r="J4" s="28"/>
      <c r="K4" s="28"/>
      <c r="L4" s="28"/>
      <c r="M4" s="28"/>
      <c r="N4" s="28" t="s">
        <v>2</v>
      </c>
      <c r="O4" s="28" t="s">
        <v>2</v>
      </c>
      <c r="P4" s="28"/>
      <c r="Q4" s="28"/>
      <c r="R4" s="28"/>
      <c r="S4" s="28"/>
      <c r="T4" s="28"/>
      <c r="U4" s="28"/>
      <c r="V4" s="28" t="s">
        <v>2</v>
      </c>
      <c r="W4" s="28" t="s">
        <v>2</v>
      </c>
      <c r="X4" s="28"/>
      <c r="Y4" s="28"/>
      <c r="Z4" s="28"/>
      <c r="AA4" s="28"/>
      <c r="AB4" s="28"/>
      <c r="AC4" s="28"/>
      <c r="AD4" s="28" t="s">
        <v>2</v>
      </c>
      <c r="AE4" s="28" t="s">
        <v>2</v>
      </c>
      <c r="AF4" s="28"/>
      <c r="AH4" s="12">
        <f>1*COUNTIF(A4:AF4,"+")</f>
        <v>0</v>
      </c>
      <c r="AI4" s="12">
        <f t="shared" ref="AI4" si="0">1*COUNTIF(B4:AF4,"szf")</f>
        <v>0</v>
      </c>
    </row>
    <row r="5" spans="1:35" ht="20.100000000000001" customHeight="1">
      <c r="A5" s="15" t="str">
        <f>ÖSSZES!$A$4</f>
        <v>Batiz Attila</v>
      </c>
      <c r="B5" s="28"/>
      <c r="C5" s="28"/>
      <c r="D5" s="28"/>
      <c r="E5" s="28"/>
      <c r="F5" s="28" t="s">
        <v>2</v>
      </c>
      <c r="G5" s="28" t="s">
        <v>2</v>
      </c>
      <c r="H5" s="28"/>
      <c r="I5" s="28"/>
      <c r="J5" s="28"/>
      <c r="K5" s="28"/>
      <c r="L5" s="28"/>
      <c r="M5" s="28"/>
      <c r="N5" s="28" t="s">
        <v>2</v>
      </c>
      <c r="O5" s="28" t="s">
        <v>2</v>
      </c>
      <c r="P5" s="28"/>
      <c r="Q5" s="28"/>
      <c r="R5" s="28"/>
      <c r="S5" s="28"/>
      <c r="T5" s="28"/>
      <c r="U5" s="28"/>
      <c r="V5" s="28" t="s">
        <v>2</v>
      </c>
      <c r="W5" s="28" t="s">
        <v>2</v>
      </c>
      <c r="X5" s="28"/>
      <c r="Y5" s="28"/>
      <c r="Z5" s="28"/>
      <c r="AA5" s="28"/>
      <c r="AB5" s="28"/>
      <c r="AC5" s="28"/>
      <c r="AD5" s="28" t="s">
        <v>2</v>
      </c>
      <c r="AE5" s="28" t="s">
        <v>2</v>
      </c>
      <c r="AF5" s="28"/>
      <c r="AH5" s="12">
        <f t="shared" ref="AH5:AH23" si="1">1*COUNTIF(A5:AF5,"+")</f>
        <v>0</v>
      </c>
      <c r="AI5" s="12">
        <f t="shared" ref="AI5:AI23" si="2">1*COUNTIF(B5:AF5,"szf")</f>
        <v>0</v>
      </c>
    </row>
    <row r="6" spans="1:35" ht="20.100000000000001" customHeight="1">
      <c r="A6" s="15" t="str">
        <f>ÖSSZES!$A$5</f>
        <v>Füredi Antal</v>
      </c>
      <c r="B6" s="28"/>
      <c r="C6" s="28"/>
      <c r="D6" s="28"/>
      <c r="E6" s="28"/>
      <c r="F6" s="28" t="s">
        <v>2</v>
      </c>
      <c r="G6" s="28" t="s">
        <v>2</v>
      </c>
      <c r="H6" s="28"/>
      <c r="I6" s="28"/>
      <c r="J6" s="28"/>
      <c r="K6" s="28"/>
      <c r="L6" s="28"/>
      <c r="M6" s="28"/>
      <c r="N6" s="28" t="s">
        <v>2</v>
      </c>
      <c r="O6" s="28" t="s">
        <v>2</v>
      </c>
      <c r="P6" s="28"/>
      <c r="Q6" s="28"/>
      <c r="R6" s="28"/>
      <c r="S6" s="28"/>
      <c r="T6" s="28"/>
      <c r="U6" s="28"/>
      <c r="V6" s="28" t="s">
        <v>2</v>
      </c>
      <c r="W6" s="28" t="s">
        <v>2</v>
      </c>
      <c r="X6" s="28"/>
      <c r="Y6" s="28"/>
      <c r="Z6" s="28"/>
      <c r="AA6" s="28"/>
      <c r="AB6" s="28"/>
      <c r="AC6" s="28"/>
      <c r="AD6" s="28" t="s">
        <v>2</v>
      </c>
      <c r="AE6" s="28" t="s">
        <v>2</v>
      </c>
      <c r="AF6" s="28"/>
      <c r="AH6" s="12">
        <f t="shared" si="1"/>
        <v>0</v>
      </c>
      <c r="AI6" s="12">
        <f t="shared" si="2"/>
        <v>0</v>
      </c>
    </row>
    <row r="7" spans="1:35" ht="20.100000000000001" customHeight="1">
      <c r="A7" s="15" t="str">
        <f>ÖSSZES!$A$6</f>
        <v>Iványi István</v>
      </c>
      <c r="B7" s="28"/>
      <c r="C7" s="28"/>
      <c r="D7" s="28"/>
      <c r="E7" s="28"/>
      <c r="F7" s="28" t="s">
        <v>2</v>
      </c>
      <c r="G7" s="28" t="s">
        <v>2</v>
      </c>
      <c r="H7" s="28"/>
      <c r="I7" s="28"/>
      <c r="J7" s="28"/>
      <c r="K7" s="28"/>
      <c r="L7" s="28"/>
      <c r="M7" s="28"/>
      <c r="N7" s="28" t="s">
        <v>2</v>
      </c>
      <c r="O7" s="28" t="s">
        <v>2</v>
      </c>
      <c r="P7" s="28"/>
      <c r="Q7" s="28"/>
      <c r="R7" s="28"/>
      <c r="S7" s="28"/>
      <c r="T7" s="28"/>
      <c r="U7" s="28"/>
      <c r="V7" s="28" t="s">
        <v>2</v>
      </c>
      <c r="W7" s="28" t="s">
        <v>2</v>
      </c>
      <c r="X7" s="28"/>
      <c r="Y7" s="28"/>
      <c r="Z7" s="28"/>
      <c r="AA7" s="28"/>
      <c r="AB7" s="28"/>
      <c r="AC7" s="28"/>
      <c r="AD7" s="28" t="s">
        <v>2</v>
      </c>
      <c r="AE7" s="28" t="s">
        <v>2</v>
      </c>
      <c r="AF7" s="28"/>
      <c r="AH7" s="12">
        <f t="shared" si="1"/>
        <v>0</v>
      </c>
      <c r="AI7" s="12">
        <f t="shared" si="2"/>
        <v>0</v>
      </c>
    </row>
    <row r="8" spans="1:35" ht="20.100000000000001" customHeight="1">
      <c r="A8" s="15" t="str">
        <f>ÖSSZES!$A$7</f>
        <v>Katonka Tibor</v>
      </c>
      <c r="B8" s="28"/>
      <c r="C8" s="28"/>
      <c r="D8" s="28"/>
      <c r="E8" s="28"/>
      <c r="F8" s="28" t="s">
        <v>2</v>
      </c>
      <c r="G8" s="28" t="s">
        <v>2</v>
      </c>
      <c r="H8" s="28"/>
      <c r="I8" s="28"/>
      <c r="J8" s="28"/>
      <c r="K8" s="28"/>
      <c r="L8" s="28"/>
      <c r="M8" s="28"/>
      <c r="N8" s="28" t="s">
        <v>2</v>
      </c>
      <c r="O8" s="28" t="s">
        <v>2</v>
      </c>
      <c r="P8" s="28"/>
      <c r="Q8" s="28"/>
      <c r="R8" s="28"/>
      <c r="S8" s="28"/>
      <c r="T8" s="28"/>
      <c r="U8" s="28"/>
      <c r="V8" s="28" t="s">
        <v>2</v>
      </c>
      <c r="W8" s="28" t="s">
        <v>2</v>
      </c>
      <c r="X8" s="28"/>
      <c r="Y8" s="28"/>
      <c r="Z8" s="28"/>
      <c r="AA8" s="28"/>
      <c r="AB8" s="28"/>
      <c r="AC8" s="28"/>
      <c r="AD8" s="28" t="s">
        <v>2</v>
      </c>
      <c r="AE8" s="28" t="s">
        <v>2</v>
      </c>
      <c r="AF8" s="28"/>
      <c r="AH8" s="12">
        <f t="shared" si="1"/>
        <v>0</v>
      </c>
      <c r="AI8" s="12">
        <f t="shared" si="2"/>
        <v>0</v>
      </c>
    </row>
    <row r="9" spans="1:35" ht="20.100000000000001" customHeight="1">
      <c r="A9" s="15" t="str">
        <f>ÖSSZES!$A$8</f>
        <v>Mizsák Péter</v>
      </c>
      <c r="B9" s="28"/>
      <c r="C9" s="28"/>
      <c r="D9" s="28"/>
      <c r="E9" s="28"/>
      <c r="F9" s="28" t="s">
        <v>2</v>
      </c>
      <c r="G9" s="28" t="s">
        <v>2</v>
      </c>
      <c r="H9" s="28"/>
      <c r="I9" s="28"/>
      <c r="J9" s="28"/>
      <c r="K9" s="28"/>
      <c r="L9" s="28"/>
      <c r="M9" s="28"/>
      <c r="N9" s="28" t="s">
        <v>2</v>
      </c>
      <c r="O9" s="28" t="s">
        <v>2</v>
      </c>
      <c r="P9" s="28"/>
      <c r="Q9" s="28"/>
      <c r="R9" s="28"/>
      <c r="S9" s="28"/>
      <c r="T9" s="28"/>
      <c r="U9" s="28"/>
      <c r="V9" s="28" t="s">
        <v>2</v>
      </c>
      <c r="W9" s="28" t="s">
        <v>2</v>
      </c>
      <c r="X9" s="28"/>
      <c r="Y9" s="28"/>
      <c r="Z9" s="28"/>
      <c r="AA9" s="28"/>
      <c r="AB9" s="28"/>
      <c r="AC9" s="28"/>
      <c r="AD9" s="28" t="s">
        <v>2</v>
      </c>
      <c r="AE9" s="28" t="s">
        <v>2</v>
      </c>
      <c r="AF9" s="28"/>
      <c r="AH9" s="12">
        <f t="shared" si="1"/>
        <v>0</v>
      </c>
      <c r="AI9" s="12">
        <f t="shared" si="2"/>
        <v>0</v>
      </c>
    </row>
    <row r="10" spans="1:35" ht="20.100000000000001" customHeight="1">
      <c r="A10" s="15" t="str">
        <f>ÖSSZES!$A$9</f>
        <v>Vatamány Gergő</v>
      </c>
      <c r="B10" s="28"/>
      <c r="C10" s="28"/>
      <c r="D10" s="28"/>
      <c r="E10" s="28"/>
      <c r="F10" s="28" t="s">
        <v>2</v>
      </c>
      <c r="G10" s="28" t="s">
        <v>2</v>
      </c>
      <c r="H10" s="28"/>
      <c r="I10" s="28"/>
      <c r="J10" s="28"/>
      <c r="K10" s="28"/>
      <c r="L10" s="28"/>
      <c r="M10" s="28"/>
      <c r="N10" s="28" t="s">
        <v>2</v>
      </c>
      <c r="O10" s="28" t="s">
        <v>2</v>
      </c>
      <c r="P10" s="28"/>
      <c r="Q10" s="28"/>
      <c r="R10" s="28"/>
      <c r="S10" s="28"/>
      <c r="T10" s="28"/>
      <c r="U10" s="28"/>
      <c r="V10" s="28" t="s">
        <v>2</v>
      </c>
      <c r="W10" s="28" t="s">
        <v>2</v>
      </c>
      <c r="X10" s="28"/>
      <c r="Y10" s="28"/>
      <c r="Z10" s="28"/>
      <c r="AA10" s="28"/>
      <c r="AB10" s="28"/>
      <c r="AC10" s="28"/>
      <c r="AD10" s="28" t="s">
        <v>2</v>
      </c>
      <c r="AE10" s="28" t="s">
        <v>2</v>
      </c>
      <c r="AF10" s="28"/>
      <c r="AH10" s="12">
        <f t="shared" si="1"/>
        <v>0</v>
      </c>
      <c r="AI10" s="12">
        <f t="shared" si="2"/>
        <v>0</v>
      </c>
    </row>
    <row r="11" spans="1:35" ht="20.100000000000001" hidden="1" customHeight="1">
      <c r="A11" s="15" t="str">
        <f>ÖSSZES!$A$10</f>
        <v>Név8</v>
      </c>
      <c r="B11" s="28"/>
      <c r="C11" s="28"/>
      <c r="D11" s="28"/>
      <c r="E11" s="28"/>
      <c r="F11" s="28" t="s">
        <v>2</v>
      </c>
      <c r="G11" s="28" t="s">
        <v>2</v>
      </c>
      <c r="H11" s="28"/>
      <c r="I11" s="28"/>
      <c r="J11" s="28"/>
      <c r="K11" s="28"/>
      <c r="L11" s="28"/>
      <c r="M11" s="28"/>
      <c r="N11" s="28" t="s">
        <v>2</v>
      </c>
      <c r="O11" s="28" t="s">
        <v>2</v>
      </c>
      <c r="P11" s="28"/>
      <c r="Q11" s="28"/>
      <c r="R11" s="28"/>
      <c r="S11" s="28"/>
      <c r="T11" s="28"/>
      <c r="U11" s="28"/>
      <c r="V11" s="28" t="s">
        <v>2</v>
      </c>
      <c r="W11" s="28" t="s">
        <v>2</v>
      </c>
      <c r="X11" s="28"/>
      <c r="Y11" s="28"/>
      <c r="Z11" s="28"/>
      <c r="AA11" s="28"/>
      <c r="AB11" s="28"/>
      <c r="AC11" s="28"/>
      <c r="AD11" s="28" t="s">
        <v>2</v>
      </c>
      <c r="AE11" s="28" t="s">
        <v>2</v>
      </c>
      <c r="AF11" s="28"/>
      <c r="AH11" s="12">
        <f t="shared" si="1"/>
        <v>0</v>
      </c>
      <c r="AI11" s="12">
        <f t="shared" si="2"/>
        <v>0</v>
      </c>
    </row>
    <row r="12" spans="1:35" ht="20.100000000000001" hidden="1" customHeight="1">
      <c r="A12" s="15" t="str">
        <f>ÖSSZES!$A$11</f>
        <v>Név9</v>
      </c>
      <c r="B12" s="28"/>
      <c r="C12" s="28"/>
      <c r="D12" s="28"/>
      <c r="E12" s="28"/>
      <c r="F12" s="28" t="s">
        <v>2</v>
      </c>
      <c r="G12" s="28" t="s">
        <v>2</v>
      </c>
      <c r="H12" s="28"/>
      <c r="I12" s="28"/>
      <c r="J12" s="28"/>
      <c r="K12" s="28"/>
      <c r="L12" s="28"/>
      <c r="M12" s="28"/>
      <c r="N12" s="28" t="s">
        <v>2</v>
      </c>
      <c r="O12" s="28" t="s">
        <v>2</v>
      </c>
      <c r="P12" s="28"/>
      <c r="Q12" s="28"/>
      <c r="R12" s="28"/>
      <c r="S12" s="28"/>
      <c r="T12" s="28"/>
      <c r="U12" s="28"/>
      <c r="V12" s="28" t="s">
        <v>2</v>
      </c>
      <c r="W12" s="28" t="s">
        <v>2</v>
      </c>
      <c r="X12" s="28"/>
      <c r="Y12" s="28"/>
      <c r="Z12" s="28"/>
      <c r="AA12" s="28"/>
      <c r="AB12" s="28"/>
      <c r="AC12" s="28"/>
      <c r="AD12" s="28" t="s">
        <v>2</v>
      </c>
      <c r="AE12" s="28" t="s">
        <v>2</v>
      </c>
      <c r="AF12" s="28"/>
      <c r="AH12" s="12">
        <f t="shared" si="1"/>
        <v>0</v>
      </c>
      <c r="AI12" s="12">
        <f t="shared" si="2"/>
        <v>0</v>
      </c>
    </row>
    <row r="13" spans="1:35" ht="20.100000000000001" hidden="1" customHeight="1">
      <c r="A13" s="15" t="str">
        <f>ÖSSZES!$A$12</f>
        <v>Név10</v>
      </c>
      <c r="B13" s="28"/>
      <c r="C13" s="28"/>
      <c r="D13" s="28"/>
      <c r="E13" s="28"/>
      <c r="F13" s="28" t="s">
        <v>2</v>
      </c>
      <c r="G13" s="28" t="s">
        <v>2</v>
      </c>
      <c r="H13" s="28"/>
      <c r="I13" s="28"/>
      <c r="J13" s="28"/>
      <c r="K13" s="28"/>
      <c r="L13" s="28"/>
      <c r="M13" s="28"/>
      <c r="N13" s="28" t="s">
        <v>2</v>
      </c>
      <c r="O13" s="28" t="s">
        <v>2</v>
      </c>
      <c r="P13" s="28"/>
      <c r="Q13" s="28"/>
      <c r="R13" s="28"/>
      <c r="S13" s="28"/>
      <c r="T13" s="28"/>
      <c r="U13" s="28"/>
      <c r="V13" s="28" t="s">
        <v>2</v>
      </c>
      <c r="W13" s="28" t="s">
        <v>2</v>
      </c>
      <c r="X13" s="28"/>
      <c r="Y13" s="28"/>
      <c r="Z13" s="28"/>
      <c r="AA13" s="28"/>
      <c r="AB13" s="28"/>
      <c r="AC13" s="28"/>
      <c r="AD13" s="28" t="s">
        <v>2</v>
      </c>
      <c r="AE13" s="28" t="s">
        <v>2</v>
      </c>
      <c r="AF13" s="28"/>
      <c r="AH13" s="12">
        <f t="shared" si="1"/>
        <v>0</v>
      </c>
      <c r="AI13" s="12">
        <f t="shared" si="2"/>
        <v>0</v>
      </c>
    </row>
    <row r="14" spans="1:35" ht="20.100000000000001" hidden="1" customHeight="1">
      <c r="A14" s="15" t="str">
        <f>ÖSSZES!$A$13</f>
        <v>Név11</v>
      </c>
      <c r="B14" s="28"/>
      <c r="C14" s="28"/>
      <c r="D14" s="28"/>
      <c r="E14" s="28"/>
      <c r="F14" s="28" t="s">
        <v>2</v>
      </c>
      <c r="G14" s="28" t="s">
        <v>2</v>
      </c>
      <c r="H14" s="28"/>
      <c r="I14" s="28"/>
      <c r="J14" s="28"/>
      <c r="K14" s="28"/>
      <c r="L14" s="28"/>
      <c r="M14" s="28"/>
      <c r="N14" s="28" t="s">
        <v>2</v>
      </c>
      <c r="O14" s="28" t="s">
        <v>2</v>
      </c>
      <c r="P14" s="28"/>
      <c r="Q14" s="28"/>
      <c r="R14" s="28"/>
      <c r="S14" s="28"/>
      <c r="T14" s="28"/>
      <c r="U14" s="28"/>
      <c r="V14" s="28" t="s">
        <v>2</v>
      </c>
      <c r="W14" s="28" t="s">
        <v>2</v>
      </c>
      <c r="X14" s="28"/>
      <c r="Y14" s="28"/>
      <c r="Z14" s="28"/>
      <c r="AA14" s="28"/>
      <c r="AB14" s="28"/>
      <c r="AC14" s="28"/>
      <c r="AD14" s="28" t="s">
        <v>2</v>
      </c>
      <c r="AE14" s="28" t="s">
        <v>2</v>
      </c>
      <c r="AF14" s="28"/>
      <c r="AH14" s="12">
        <f t="shared" si="1"/>
        <v>0</v>
      </c>
      <c r="AI14" s="12">
        <f t="shared" si="2"/>
        <v>0</v>
      </c>
    </row>
    <row r="15" spans="1:35" ht="20.100000000000001" hidden="1" customHeight="1">
      <c r="A15" s="15" t="str">
        <f>ÖSSZES!$A$14</f>
        <v>Név12</v>
      </c>
      <c r="B15" s="28"/>
      <c r="C15" s="28"/>
      <c r="D15" s="28"/>
      <c r="E15" s="28"/>
      <c r="F15" s="28" t="s">
        <v>2</v>
      </c>
      <c r="G15" s="28" t="s">
        <v>2</v>
      </c>
      <c r="H15" s="28"/>
      <c r="I15" s="28"/>
      <c r="J15" s="28"/>
      <c r="K15" s="28"/>
      <c r="L15" s="28"/>
      <c r="M15" s="28"/>
      <c r="N15" s="28" t="s">
        <v>2</v>
      </c>
      <c r="O15" s="28" t="s">
        <v>2</v>
      </c>
      <c r="P15" s="28"/>
      <c r="Q15" s="28"/>
      <c r="R15" s="28"/>
      <c r="S15" s="28"/>
      <c r="T15" s="28"/>
      <c r="U15" s="28"/>
      <c r="V15" s="28" t="s">
        <v>2</v>
      </c>
      <c r="W15" s="28" t="s">
        <v>2</v>
      </c>
      <c r="X15" s="28"/>
      <c r="Y15" s="28"/>
      <c r="Z15" s="28"/>
      <c r="AA15" s="28"/>
      <c r="AB15" s="28"/>
      <c r="AC15" s="28"/>
      <c r="AD15" s="28" t="s">
        <v>2</v>
      </c>
      <c r="AE15" s="28" t="s">
        <v>2</v>
      </c>
      <c r="AF15" s="28"/>
      <c r="AH15" s="12">
        <f t="shared" si="1"/>
        <v>0</v>
      </c>
      <c r="AI15" s="12">
        <f t="shared" si="2"/>
        <v>0</v>
      </c>
    </row>
    <row r="16" spans="1:35" ht="20.100000000000001" hidden="1" customHeight="1">
      <c r="A16" s="15" t="str">
        <f>ÖSSZES!$A$15</f>
        <v>Név13</v>
      </c>
      <c r="B16" s="28"/>
      <c r="C16" s="28"/>
      <c r="D16" s="28"/>
      <c r="E16" s="28"/>
      <c r="F16" s="28" t="s">
        <v>2</v>
      </c>
      <c r="G16" s="28" t="s">
        <v>2</v>
      </c>
      <c r="H16" s="28"/>
      <c r="I16" s="28"/>
      <c r="J16" s="28"/>
      <c r="K16" s="28"/>
      <c r="L16" s="28"/>
      <c r="M16" s="28"/>
      <c r="N16" s="28" t="s">
        <v>2</v>
      </c>
      <c r="O16" s="28" t="s">
        <v>2</v>
      </c>
      <c r="P16" s="28"/>
      <c r="Q16" s="28"/>
      <c r="R16" s="28"/>
      <c r="S16" s="28"/>
      <c r="T16" s="28"/>
      <c r="U16" s="28"/>
      <c r="V16" s="28" t="s">
        <v>2</v>
      </c>
      <c r="W16" s="28" t="s">
        <v>2</v>
      </c>
      <c r="X16" s="28"/>
      <c r="Y16" s="28"/>
      <c r="Z16" s="28"/>
      <c r="AA16" s="28"/>
      <c r="AB16" s="28"/>
      <c r="AC16" s="28"/>
      <c r="AD16" s="28" t="s">
        <v>2</v>
      </c>
      <c r="AE16" s="28" t="s">
        <v>2</v>
      </c>
      <c r="AF16" s="28"/>
      <c r="AH16" s="12">
        <f t="shared" si="1"/>
        <v>0</v>
      </c>
      <c r="AI16" s="12">
        <f t="shared" si="2"/>
        <v>0</v>
      </c>
    </row>
    <row r="17" spans="1:35" ht="20.100000000000001" hidden="1" customHeight="1">
      <c r="A17" s="15" t="str">
        <f>ÖSSZES!$A$16</f>
        <v>Név14</v>
      </c>
      <c r="B17" s="28"/>
      <c r="C17" s="28"/>
      <c r="D17" s="28"/>
      <c r="E17" s="28"/>
      <c r="F17" s="28" t="s">
        <v>2</v>
      </c>
      <c r="G17" s="28" t="s">
        <v>2</v>
      </c>
      <c r="H17" s="28"/>
      <c r="I17" s="28"/>
      <c r="J17" s="28"/>
      <c r="K17" s="28"/>
      <c r="L17" s="28"/>
      <c r="M17" s="28"/>
      <c r="N17" s="28" t="s">
        <v>2</v>
      </c>
      <c r="O17" s="28" t="s">
        <v>2</v>
      </c>
      <c r="P17" s="28"/>
      <c r="Q17" s="28"/>
      <c r="R17" s="28"/>
      <c r="S17" s="28"/>
      <c r="T17" s="28"/>
      <c r="U17" s="28"/>
      <c r="V17" s="28" t="s">
        <v>2</v>
      </c>
      <c r="W17" s="28" t="s">
        <v>2</v>
      </c>
      <c r="X17" s="28"/>
      <c r="Y17" s="28"/>
      <c r="Z17" s="28"/>
      <c r="AA17" s="28"/>
      <c r="AB17" s="28"/>
      <c r="AC17" s="28"/>
      <c r="AD17" s="28" t="s">
        <v>2</v>
      </c>
      <c r="AE17" s="28" t="s">
        <v>2</v>
      </c>
      <c r="AF17" s="28"/>
      <c r="AH17" s="12">
        <f t="shared" si="1"/>
        <v>0</v>
      </c>
      <c r="AI17" s="12">
        <f t="shared" si="2"/>
        <v>0</v>
      </c>
    </row>
    <row r="18" spans="1:35" ht="20.100000000000001" hidden="1" customHeight="1">
      <c r="A18" s="15" t="str">
        <f>ÖSSZES!$A$17</f>
        <v>Név15</v>
      </c>
      <c r="B18" s="28"/>
      <c r="C18" s="28"/>
      <c r="D18" s="28"/>
      <c r="E18" s="28"/>
      <c r="F18" s="28" t="s">
        <v>2</v>
      </c>
      <c r="G18" s="28" t="s">
        <v>2</v>
      </c>
      <c r="H18" s="28"/>
      <c r="I18" s="28"/>
      <c r="J18" s="28"/>
      <c r="K18" s="28"/>
      <c r="L18" s="28"/>
      <c r="M18" s="28"/>
      <c r="N18" s="28" t="s">
        <v>2</v>
      </c>
      <c r="O18" s="28" t="s">
        <v>2</v>
      </c>
      <c r="P18" s="28"/>
      <c r="Q18" s="28"/>
      <c r="R18" s="28"/>
      <c r="S18" s="28"/>
      <c r="T18" s="28"/>
      <c r="U18" s="28"/>
      <c r="V18" s="28" t="s">
        <v>2</v>
      </c>
      <c r="W18" s="28" t="s">
        <v>2</v>
      </c>
      <c r="X18" s="28"/>
      <c r="Y18" s="28"/>
      <c r="Z18" s="28"/>
      <c r="AA18" s="28"/>
      <c r="AB18" s="28"/>
      <c r="AC18" s="28"/>
      <c r="AD18" s="28" t="s">
        <v>2</v>
      </c>
      <c r="AE18" s="28" t="s">
        <v>2</v>
      </c>
      <c r="AF18" s="28"/>
      <c r="AH18" s="12">
        <f t="shared" si="1"/>
        <v>0</v>
      </c>
      <c r="AI18" s="12">
        <f t="shared" si="2"/>
        <v>0</v>
      </c>
    </row>
    <row r="19" spans="1:35" ht="20.100000000000001" hidden="1" customHeight="1">
      <c r="A19" s="15" t="str">
        <f>ÖSSZES!$A$18</f>
        <v>Név16</v>
      </c>
      <c r="B19" s="28"/>
      <c r="C19" s="28"/>
      <c r="D19" s="28"/>
      <c r="E19" s="28"/>
      <c r="F19" s="28" t="s">
        <v>2</v>
      </c>
      <c r="G19" s="28" t="s">
        <v>2</v>
      </c>
      <c r="H19" s="28"/>
      <c r="I19" s="28"/>
      <c r="J19" s="28"/>
      <c r="K19" s="28"/>
      <c r="L19" s="28"/>
      <c r="M19" s="28"/>
      <c r="N19" s="28" t="s">
        <v>2</v>
      </c>
      <c r="O19" s="28" t="s">
        <v>2</v>
      </c>
      <c r="P19" s="28"/>
      <c r="Q19" s="28"/>
      <c r="R19" s="28"/>
      <c r="S19" s="28"/>
      <c r="T19" s="28"/>
      <c r="U19" s="28"/>
      <c r="V19" s="28" t="s">
        <v>2</v>
      </c>
      <c r="W19" s="28" t="s">
        <v>2</v>
      </c>
      <c r="X19" s="28"/>
      <c r="Y19" s="28"/>
      <c r="Z19" s="28"/>
      <c r="AA19" s="28"/>
      <c r="AB19" s="28"/>
      <c r="AC19" s="28"/>
      <c r="AD19" s="28" t="s">
        <v>2</v>
      </c>
      <c r="AE19" s="28" t="s">
        <v>2</v>
      </c>
      <c r="AF19" s="28"/>
      <c r="AH19" s="12">
        <f t="shared" si="1"/>
        <v>0</v>
      </c>
      <c r="AI19" s="12">
        <f t="shared" si="2"/>
        <v>0</v>
      </c>
    </row>
    <row r="20" spans="1:35" ht="20.100000000000001" hidden="1" customHeight="1">
      <c r="A20" s="15" t="str">
        <f>ÖSSZES!$A$19</f>
        <v>Név17</v>
      </c>
      <c r="B20" s="28"/>
      <c r="C20" s="28"/>
      <c r="D20" s="28"/>
      <c r="E20" s="28"/>
      <c r="F20" s="28" t="s">
        <v>2</v>
      </c>
      <c r="G20" s="28" t="s">
        <v>2</v>
      </c>
      <c r="H20" s="28"/>
      <c r="I20" s="28"/>
      <c r="J20" s="28"/>
      <c r="K20" s="28"/>
      <c r="L20" s="28"/>
      <c r="M20" s="28"/>
      <c r="N20" s="28" t="s">
        <v>2</v>
      </c>
      <c r="O20" s="28" t="s">
        <v>2</v>
      </c>
      <c r="P20" s="28"/>
      <c r="Q20" s="28"/>
      <c r="R20" s="28"/>
      <c r="S20" s="28"/>
      <c r="T20" s="28"/>
      <c r="U20" s="28"/>
      <c r="V20" s="28" t="s">
        <v>2</v>
      </c>
      <c r="W20" s="28" t="s">
        <v>2</v>
      </c>
      <c r="X20" s="28"/>
      <c r="Y20" s="28"/>
      <c r="Z20" s="28"/>
      <c r="AA20" s="28"/>
      <c r="AB20" s="28"/>
      <c r="AC20" s="28"/>
      <c r="AD20" s="28" t="s">
        <v>2</v>
      </c>
      <c r="AE20" s="28" t="s">
        <v>2</v>
      </c>
      <c r="AF20" s="28"/>
      <c r="AH20" s="12">
        <f t="shared" si="1"/>
        <v>0</v>
      </c>
      <c r="AI20" s="12">
        <f t="shared" si="2"/>
        <v>0</v>
      </c>
    </row>
    <row r="21" spans="1:35" ht="20.100000000000001" hidden="1" customHeight="1">
      <c r="A21" s="15" t="str">
        <f>ÖSSZES!$A$20</f>
        <v>Név18</v>
      </c>
      <c r="B21" s="28"/>
      <c r="C21" s="28"/>
      <c r="D21" s="28"/>
      <c r="E21" s="28"/>
      <c r="F21" s="28" t="s">
        <v>2</v>
      </c>
      <c r="G21" s="28" t="s">
        <v>2</v>
      </c>
      <c r="H21" s="28"/>
      <c r="I21" s="28"/>
      <c r="J21" s="28"/>
      <c r="K21" s="28"/>
      <c r="L21" s="28"/>
      <c r="M21" s="28"/>
      <c r="N21" s="28" t="s">
        <v>2</v>
      </c>
      <c r="O21" s="28" t="s">
        <v>2</v>
      </c>
      <c r="P21" s="28"/>
      <c r="Q21" s="28"/>
      <c r="R21" s="28"/>
      <c r="S21" s="28"/>
      <c r="T21" s="28"/>
      <c r="U21" s="28"/>
      <c r="V21" s="28" t="s">
        <v>2</v>
      </c>
      <c r="W21" s="28" t="s">
        <v>2</v>
      </c>
      <c r="X21" s="28"/>
      <c r="Y21" s="28"/>
      <c r="Z21" s="28"/>
      <c r="AA21" s="28"/>
      <c r="AB21" s="28"/>
      <c r="AC21" s="28"/>
      <c r="AD21" s="28" t="s">
        <v>2</v>
      </c>
      <c r="AE21" s="28" t="s">
        <v>2</v>
      </c>
      <c r="AF21" s="28"/>
      <c r="AH21" s="12">
        <f t="shared" si="1"/>
        <v>0</v>
      </c>
      <c r="AI21" s="12">
        <f t="shared" si="2"/>
        <v>0</v>
      </c>
    </row>
    <row r="22" spans="1:35" ht="20.100000000000001" hidden="1" customHeight="1">
      <c r="A22" s="15" t="str">
        <f>ÖSSZES!$A$21</f>
        <v>Név19</v>
      </c>
      <c r="B22" s="28"/>
      <c r="C22" s="28"/>
      <c r="D22" s="28"/>
      <c r="E22" s="28"/>
      <c r="F22" s="28" t="s">
        <v>2</v>
      </c>
      <c r="G22" s="28" t="s">
        <v>2</v>
      </c>
      <c r="H22" s="28"/>
      <c r="I22" s="28"/>
      <c r="J22" s="28"/>
      <c r="K22" s="28"/>
      <c r="L22" s="28"/>
      <c r="M22" s="28"/>
      <c r="N22" s="28" t="s">
        <v>2</v>
      </c>
      <c r="O22" s="28" t="s">
        <v>2</v>
      </c>
      <c r="P22" s="28"/>
      <c r="Q22" s="28"/>
      <c r="R22" s="28"/>
      <c r="S22" s="28"/>
      <c r="T22" s="28"/>
      <c r="U22" s="28"/>
      <c r="V22" s="28" t="s">
        <v>2</v>
      </c>
      <c r="W22" s="28" t="s">
        <v>2</v>
      </c>
      <c r="X22" s="28"/>
      <c r="Y22" s="28"/>
      <c r="Z22" s="28"/>
      <c r="AA22" s="28"/>
      <c r="AB22" s="28"/>
      <c r="AC22" s="28"/>
      <c r="AD22" s="28" t="s">
        <v>2</v>
      </c>
      <c r="AE22" s="28" t="s">
        <v>2</v>
      </c>
      <c r="AF22" s="28"/>
      <c r="AH22" s="12">
        <f t="shared" si="1"/>
        <v>0</v>
      </c>
      <c r="AI22" s="12">
        <f t="shared" si="2"/>
        <v>0</v>
      </c>
    </row>
    <row r="23" spans="1:35" ht="20.100000000000001" hidden="1" customHeight="1">
      <c r="A23" s="15" t="str">
        <f>ÖSSZES!$A$22</f>
        <v>Név20</v>
      </c>
      <c r="B23" s="28"/>
      <c r="C23" s="28"/>
      <c r="D23" s="28"/>
      <c r="E23" s="28"/>
      <c r="F23" s="28" t="s">
        <v>2</v>
      </c>
      <c r="G23" s="28" t="s">
        <v>2</v>
      </c>
      <c r="H23" s="28"/>
      <c r="I23" s="28"/>
      <c r="J23" s="28"/>
      <c r="K23" s="28"/>
      <c r="L23" s="28"/>
      <c r="M23" s="28"/>
      <c r="N23" s="28" t="s">
        <v>2</v>
      </c>
      <c r="O23" s="28" t="s">
        <v>2</v>
      </c>
      <c r="P23" s="28"/>
      <c r="Q23" s="28"/>
      <c r="R23" s="28"/>
      <c r="S23" s="28"/>
      <c r="T23" s="28"/>
      <c r="U23" s="28"/>
      <c r="V23" s="28" t="s">
        <v>2</v>
      </c>
      <c r="W23" s="28" t="s">
        <v>2</v>
      </c>
      <c r="X23" s="28"/>
      <c r="Y23" s="28"/>
      <c r="Z23" s="28"/>
      <c r="AA23" s="28"/>
      <c r="AB23" s="28"/>
      <c r="AC23" s="28"/>
      <c r="AD23" s="28" t="s">
        <v>2</v>
      </c>
      <c r="AE23" s="28" t="s">
        <v>2</v>
      </c>
      <c r="AF23" s="28"/>
      <c r="AH23" s="12">
        <f t="shared" si="1"/>
        <v>0</v>
      </c>
      <c r="AI23" s="12">
        <f t="shared" si="2"/>
        <v>0</v>
      </c>
    </row>
    <row r="24" spans="1:35" ht="20.100000000000001" customHeight="1"/>
    <row r="25" spans="1:35" s="21" customFormat="1" ht="20.100000000000001" customHeight="1">
      <c r="A25" s="43" t="s">
        <v>6</v>
      </c>
      <c r="B25" s="20">
        <v>1</v>
      </c>
      <c r="C25" s="20">
        <v>2</v>
      </c>
      <c r="D25" s="20">
        <v>3</v>
      </c>
      <c r="E25" s="20">
        <v>4</v>
      </c>
      <c r="F25" s="20">
        <v>5</v>
      </c>
      <c r="G25" s="20">
        <v>6</v>
      </c>
      <c r="H25" s="20">
        <v>7</v>
      </c>
      <c r="I25" s="20">
        <v>8</v>
      </c>
      <c r="J25" s="20">
        <v>9</v>
      </c>
      <c r="K25" s="20">
        <v>10</v>
      </c>
      <c r="L25" s="20">
        <v>11</v>
      </c>
      <c r="M25" s="20">
        <v>12</v>
      </c>
      <c r="N25" s="20">
        <v>13</v>
      </c>
      <c r="O25" s="20">
        <v>14</v>
      </c>
      <c r="P25" s="20">
        <v>15</v>
      </c>
      <c r="Q25" s="20">
        <v>16</v>
      </c>
      <c r="R25" s="20">
        <v>17</v>
      </c>
      <c r="S25" s="20">
        <v>18</v>
      </c>
      <c r="T25" s="20">
        <v>19</v>
      </c>
      <c r="U25" s="20">
        <v>20</v>
      </c>
      <c r="V25" s="20">
        <v>21</v>
      </c>
      <c r="W25" s="20">
        <v>22</v>
      </c>
      <c r="X25" s="20">
        <v>23</v>
      </c>
      <c r="Y25" s="20">
        <v>24</v>
      </c>
      <c r="Z25" s="20">
        <v>25</v>
      </c>
      <c r="AA25" s="20">
        <v>26</v>
      </c>
      <c r="AB25" s="20">
        <v>27</v>
      </c>
      <c r="AC25" s="20">
        <v>28</v>
      </c>
      <c r="AH25" s="43" t="s">
        <v>18</v>
      </c>
      <c r="AI25" s="43" t="s">
        <v>19</v>
      </c>
    </row>
    <row r="26" spans="1:35" ht="20.100000000000001" customHeight="1">
      <c r="A26" s="44"/>
      <c r="B26" s="22" t="str">
        <f>'2021'!B12</f>
        <v>H</v>
      </c>
      <c r="C26" s="22" t="str">
        <f>'2021'!C12</f>
        <v>K</v>
      </c>
      <c r="D26" s="22" t="str">
        <f>'2021'!D12</f>
        <v>Sze</v>
      </c>
      <c r="E26" s="22" t="str">
        <f>'2021'!E12</f>
        <v>Cs</v>
      </c>
      <c r="F26" s="22" t="str">
        <f>'2021'!F12</f>
        <v>P</v>
      </c>
      <c r="G26" s="22" t="str">
        <f>'2021'!G12</f>
        <v>Szo</v>
      </c>
      <c r="H26" s="22" t="str">
        <f>'2021'!H12</f>
        <v>V</v>
      </c>
      <c r="I26" s="22" t="str">
        <f>'2021'!I12</f>
        <v>H</v>
      </c>
      <c r="J26" s="22" t="str">
        <f>'2021'!J12</f>
        <v>K</v>
      </c>
      <c r="K26" s="22" t="str">
        <f>'2021'!K12</f>
        <v>Sze</v>
      </c>
      <c r="L26" s="22" t="str">
        <f>'2021'!L12</f>
        <v>Cs</v>
      </c>
      <c r="M26" s="22" t="str">
        <f>'2021'!M12</f>
        <v>P</v>
      </c>
      <c r="N26" s="22" t="str">
        <f>'2021'!N12</f>
        <v>Szo</v>
      </c>
      <c r="O26" s="22" t="str">
        <f>'2021'!O12</f>
        <v>V</v>
      </c>
      <c r="P26" s="22" t="str">
        <f>'2021'!P12</f>
        <v>H</v>
      </c>
      <c r="Q26" s="22" t="str">
        <f>'2021'!Q12</f>
        <v>K</v>
      </c>
      <c r="R26" s="22" t="str">
        <f>'2021'!R12</f>
        <v>Sze</v>
      </c>
      <c r="S26" s="22" t="str">
        <f>'2021'!S12</f>
        <v>Cs</v>
      </c>
      <c r="T26" s="22" t="str">
        <f>'2021'!T12</f>
        <v>P</v>
      </c>
      <c r="U26" s="22" t="str">
        <f>'2021'!U12</f>
        <v>Szo</v>
      </c>
      <c r="V26" s="22" t="str">
        <f>'2021'!V12</f>
        <v>V</v>
      </c>
      <c r="W26" s="22" t="str">
        <f>'2021'!W12</f>
        <v>H</v>
      </c>
      <c r="X26" s="22" t="str">
        <f>'2021'!X12</f>
        <v>K</v>
      </c>
      <c r="Y26" s="22" t="str">
        <f>'2021'!Y12</f>
        <v>Sze</v>
      </c>
      <c r="Z26" s="22" t="str">
        <f>'2021'!Z12</f>
        <v>Cs</v>
      </c>
      <c r="AA26" s="22" t="str">
        <f>'2021'!AA12</f>
        <v>P</v>
      </c>
      <c r="AB26" s="22" t="str">
        <f>'2021'!AB12</f>
        <v>Szo</v>
      </c>
      <c r="AC26" s="22" t="str">
        <f>'2021'!AC12</f>
        <v>V</v>
      </c>
      <c r="AD26" s="17"/>
      <c r="AE26" s="17"/>
      <c r="AF26" s="17"/>
      <c r="AH26" s="45"/>
      <c r="AI26" s="45"/>
    </row>
    <row r="27" spans="1:35" ht="20.100000000000001" customHeight="1">
      <c r="A27" s="45"/>
      <c r="B27" s="22">
        <f>'2021'!B13</f>
        <v>1</v>
      </c>
      <c r="C27" s="22">
        <f>'2021'!C13</f>
        <v>1</v>
      </c>
      <c r="D27" s="22">
        <f>'2021'!D13</f>
        <v>1</v>
      </c>
      <c r="E27" s="22">
        <f>'2021'!E13</f>
        <v>1</v>
      </c>
      <c r="F27" s="22">
        <f>'2021'!F13</f>
        <v>1</v>
      </c>
      <c r="G27" s="22" t="str">
        <f>'2021'!G13</f>
        <v>X</v>
      </c>
      <c r="H27" s="22" t="str">
        <f>'2021'!H13</f>
        <v>X</v>
      </c>
      <c r="I27" s="22">
        <f>'2021'!I13</f>
        <v>3</v>
      </c>
      <c r="J27" s="22">
        <f>'2021'!J13</f>
        <v>3</v>
      </c>
      <c r="K27" s="22">
        <f>'2021'!K13</f>
        <v>3</v>
      </c>
      <c r="L27" s="22">
        <f>'2021'!L13</f>
        <v>3</v>
      </c>
      <c r="M27" s="22">
        <f>'2021'!M13</f>
        <v>3</v>
      </c>
      <c r="N27" s="22">
        <f>'2021'!N13</f>
        <v>3</v>
      </c>
      <c r="O27" s="22" t="str">
        <f>'2021'!O13</f>
        <v>X</v>
      </c>
      <c r="P27" s="22" t="str">
        <f>'2021'!P13</f>
        <v>X</v>
      </c>
      <c r="Q27" s="22">
        <f>'2021'!Q13</f>
        <v>2</v>
      </c>
      <c r="R27" s="22">
        <f>'2021'!R13</f>
        <v>2</v>
      </c>
      <c r="S27" s="22">
        <f>'2021'!S13</f>
        <v>2</v>
      </c>
      <c r="T27" s="22">
        <f>'2021'!T13</f>
        <v>2</v>
      </c>
      <c r="U27" s="22">
        <f>'2021'!U13</f>
        <v>2</v>
      </c>
      <c r="V27" s="22">
        <f>'2021'!V13</f>
        <v>2</v>
      </c>
      <c r="W27" s="22" t="str">
        <f>'2021'!W13</f>
        <v>X</v>
      </c>
      <c r="X27" s="22" t="str">
        <f>'2021'!X13</f>
        <v>X</v>
      </c>
      <c r="Y27" s="22">
        <f>'2021'!Y13</f>
        <v>1</v>
      </c>
      <c r="Z27" s="22">
        <f>'2021'!Z13</f>
        <v>1</v>
      </c>
      <c r="AA27" s="22">
        <f>'2021'!AA13</f>
        <v>1</v>
      </c>
      <c r="AB27" s="22">
        <f>'2021'!AB13</f>
        <v>1</v>
      </c>
      <c r="AC27" s="22">
        <f>'2021'!AC13</f>
        <v>1</v>
      </c>
      <c r="AD27" s="17"/>
      <c r="AE27" s="17"/>
      <c r="AF27" s="17"/>
      <c r="AH27" s="45"/>
      <c r="AI27" s="45"/>
    </row>
    <row r="28" spans="1:35" ht="20.100000000000001" customHeight="1">
      <c r="A28" s="15" t="str">
        <f>ÖSSZES!$A$3</f>
        <v>Csuka Lajos</v>
      </c>
      <c r="B28" s="28"/>
      <c r="C28" s="28"/>
      <c r="D28" s="28"/>
      <c r="E28" s="28"/>
      <c r="F28" s="28"/>
      <c r="G28" s="28" t="s">
        <v>2</v>
      </c>
      <c r="H28" s="28" t="s">
        <v>2</v>
      </c>
      <c r="I28" s="28"/>
      <c r="J28" s="28"/>
      <c r="K28" s="28"/>
      <c r="L28" s="28"/>
      <c r="M28" s="28"/>
      <c r="N28" s="28"/>
      <c r="O28" s="28" t="s">
        <v>2</v>
      </c>
      <c r="P28" s="28" t="s">
        <v>2</v>
      </c>
      <c r="Q28" s="28"/>
      <c r="R28" s="28"/>
      <c r="S28" s="28"/>
      <c r="T28" s="28"/>
      <c r="U28" s="28"/>
      <c r="V28" s="28"/>
      <c r="W28" s="28" t="s">
        <v>2</v>
      </c>
      <c r="X28" s="28" t="s">
        <v>2</v>
      </c>
      <c r="Y28" s="28"/>
      <c r="Z28" s="28"/>
      <c r="AA28" s="28"/>
      <c r="AB28" s="28"/>
      <c r="AC28" s="28"/>
      <c r="AD28" s="24"/>
      <c r="AE28" s="24"/>
      <c r="AF28" s="24"/>
      <c r="AH28" s="12">
        <f>1*COUNTIF(A28:AF28,"+")</f>
        <v>0</v>
      </c>
      <c r="AI28" s="12">
        <f t="shared" ref="AI28" si="3">1*COUNTIF(B28:AF28,"szf")</f>
        <v>0</v>
      </c>
    </row>
    <row r="29" spans="1:35" ht="20.100000000000001" customHeight="1">
      <c r="A29" s="15" t="str">
        <f>ÖSSZES!$A$4</f>
        <v>Batiz Attila</v>
      </c>
      <c r="B29" s="28"/>
      <c r="C29" s="28"/>
      <c r="D29" s="28"/>
      <c r="E29" s="28"/>
      <c r="F29" s="28"/>
      <c r="G29" s="28" t="s">
        <v>2</v>
      </c>
      <c r="H29" s="28" t="s">
        <v>2</v>
      </c>
      <c r="I29" s="28"/>
      <c r="J29" s="28"/>
      <c r="K29" s="28"/>
      <c r="L29" s="28"/>
      <c r="M29" s="28"/>
      <c r="N29" s="28"/>
      <c r="O29" s="28" t="s">
        <v>2</v>
      </c>
      <c r="P29" s="28" t="s">
        <v>2</v>
      </c>
      <c r="Q29" s="28"/>
      <c r="R29" s="28"/>
      <c r="S29" s="28"/>
      <c r="T29" s="28"/>
      <c r="U29" s="28"/>
      <c r="V29" s="28"/>
      <c r="W29" s="28" t="s">
        <v>2</v>
      </c>
      <c r="X29" s="28" t="s">
        <v>2</v>
      </c>
      <c r="Y29" s="28"/>
      <c r="Z29" s="28"/>
      <c r="AA29" s="28"/>
      <c r="AB29" s="28"/>
      <c r="AC29" s="28"/>
      <c r="AD29" s="24"/>
      <c r="AE29" s="24"/>
      <c r="AF29" s="24"/>
      <c r="AH29" s="12">
        <f t="shared" ref="AH29:AH47" si="4">1*COUNTIF(A29:AF29,"+")</f>
        <v>0</v>
      </c>
      <c r="AI29" s="12">
        <f t="shared" ref="AI29:AI47" si="5">1*COUNTIF(B29:AF29,"szf")</f>
        <v>0</v>
      </c>
    </row>
    <row r="30" spans="1:35" ht="20.100000000000001" customHeight="1">
      <c r="A30" s="15" t="str">
        <f>ÖSSZES!$A$5</f>
        <v>Füredi Antal</v>
      </c>
      <c r="B30" s="28"/>
      <c r="C30" s="28"/>
      <c r="D30" s="28"/>
      <c r="E30" s="28"/>
      <c r="F30" s="28"/>
      <c r="G30" s="28" t="s">
        <v>2</v>
      </c>
      <c r="H30" s="28" t="s">
        <v>2</v>
      </c>
      <c r="I30" s="28"/>
      <c r="J30" s="28"/>
      <c r="K30" s="28"/>
      <c r="L30" s="28"/>
      <c r="M30" s="28"/>
      <c r="N30" s="28"/>
      <c r="O30" s="28" t="s">
        <v>2</v>
      </c>
      <c r="P30" s="28" t="s">
        <v>2</v>
      </c>
      <c r="Q30" s="28"/>
      <c r="R30" s="28"/>
      <c r="S30" s="28"/>
      <c r="T30" s="28"/>
      <c r="U30" s="28"/>
      <c r="V30" s="28"/>
      <c r="W30" s="28" t="s">
        <v>2</v>
      </c>
      <c r="X30" s="28" t="s">
        <v>2</v>
      </c>
      <c r="Y30" s="28"/>
      <c r="Z30" s="28"/>
      <c r="AA30" s="28"/>
      <c r="AB30" s="28"/>
      <c r="AC30" s="28"/>
      <c r="AD30" s="24"/>
      <c r="AE30" s="24"/>
      <c r="AF30" s="24"/>
      <c r="AH30" s="12">
        <f t="shared" si="4"/>
        <v>0</v>
      </c>
      <c r="AI30" s="12">
        <f t="shared" si="5"/>
        <v>0</v>
      </c>
    </row>
    <row r="31" spans="1:35" ht="20.100000000000001" customHeight="1">
      <c r="A31" s="15" t="str">
        <f>ÖSSZES!$A$6</f>
        <v>Iványi István</v>
      </c>
      <c r="B31" s="28"/>
      <c r="C31" s="28"/>
      <c r="D31" s="28"/>
      <c r="E31" s="28"/>
      <c r="F31" s="28"/>
      <c r="G31" s="28" t="s">
        <v>2</v>
      </c>
      <c r="H31" s="28" t="s">
        <v>2</v>
      </c>
      <c r="I31" s="28"/>
      <c r="J31" s="28"/>
      <c r="K31" s="28"/>
      <c r="L31" s="28"/>
      <c r="M31" s="28"/>
      <c r="N31" s="28"/>
      <c r="O31" s="28" t="s">
        <v>2</v>
      </c>
      <c r="P31" s="28" t="s">
        <v>2</v>
      </c>
      <c r="Q31" s="28"/>
      <c r="R31" s="28"/>
      <c r="S31" s="28"/>
      <c r="T31" s="28"/>
      <c r="U31" s="28"/>
      <c r="V31" s="28"/>
      <c r="W31" s="28" t="s">
        <v>2</v>
      </c>
      <c r="X31" s="28" t="s">
        <v>2</v>
      </c>
      <c r="Y31" s="28"/>
      <c r="Z31" s="28"/>
      <c r="AA31" s="28"/>
      <c r="AB31" s="28"/>
      <c r="AC31" s="28"/>
      <c r="AD31" s="24"/>
      <c r="AE31" s="24"/>
      <c r="AF31" s="24"/>
      <c r="AH31" s="12">
        <f t="shared" si="4"/>
        <v>0</v>
      </c>
      <c r="AI31" s="12">
        <f t="shared" si="5"/>
        <v>0</v>
      </c>
    </row>
    <row r="32" spans="1:35" ht="20.100000000000001" customHeight="1">
      <c r="A32" s="15" t="str">
        <f>ÖSSZES!$A$7</f>
        <v>Katonka Tibor</v>
      </c>
      <c r="B32" s="28"/>
      <c r="C32" s="28"/>
      <c r="D32" s="28"/>
      <c r="E32" s="28"/>
      <c r="F32" s="28"/>
      <c r="G32" s="28" t="s">
        <v>2</v>
      </c>
      <c r="H32" s="28" t="s">
        <v>2</v>
      </c>
      <c r="I32" s="28"/>
      <c r="J32" s="28"/>
      <c r="K32" s="28"/>
      <c r="L32" s="28"/>
      <c r="M32" s="28"/>
      <c r="N32" s="28"/>
      <c r="O32" s="28" t="s">
        <v>2</v>
      </c>
      <c r="P32" s="28" t="s">
        <v>2</v>
      </c>
      <c r="Q32" s="28"/>
      <c r="R32" s="28"/>
      <c r="S32" s="28"/>
      <c r="T32" s="28"/>
      <c r="U32" s="28"/>
      <c r="V32" s="28"/>
      <c r="W32" s="28" t="s">
        <v>2</v>
      </c>
      <c r="X32" s="28" t="s">
        <v>2</v>
      </c>
      <c r="Y32" s="28"/>
      <c r="Z32" s="28"/>
      <c r="AA32" s="28"/>
      <c r="AB32" s="28"/>
      <c r="AC32" s="28"/>
      <c r="AD32" s="24"/>
      <c r="AE32" s="24"/>
      <c r="AF32" s="24"/>
      <c r="AH32" s="12">
        <f t="shared" si="4"/>
        <v>0</v>
      </c>
      <c r="AI32" s="12">
        <f t="shared" si="5"/>
        <v>0</v>
      </c>
    </row>
    <row r="33" spans="1:35" ht="20.100000000000001" customHeight="1">
      <c r="A33" s="15" t="str">
        <f>ÖSSZES!$A$8</f>
        <v>Mizsák Péter</v>
      </c>
      <c r="B33" s="28"/>
      <c r="C33" s="28"/>
      <c r="D33" s="28"/>
      <c r="E33" s="28"/>
      <c r="F33" s="28"/>
      <c r="G33" s="28" t="s">
        <v>2</v>
      </c>
      <c r="H33" s="28" t="s">
        <v>2</v>
      </c>
      <c r="I33" s="28"/>
      <c r="J33" s="28"/>
      <c r="K33" s="28"/>
      <c r="L33" s="28"/>
      <c r="M33" s="28"/>
      <c r="N33" s="28"/>
      <c r="O33" s="28" t="s">
        <v>2</v>
      </c>
      <c r="P33" s="28" t="s">
        <v>2</v>
      </c>
      <c r="Q33" s="28"/>
      <c r="R33" s="28"/>
      <c r="S33" s="28"/>
      <c r="T33" s="28"/>
      <c r="U33" s="28"/>
      <c r="V33" s="28"/>
      <c r="W33" s="28" t="s">
        <v>2</v>
      </c>
      <c r="X33" s="28" t="s">
        <v>2</v>
      </c>
      <c r="Y33" s="28"/>
      <c r="Z33" s="28"/>
      <c r="AA33" s="28"/>
      <c r="AB33" s="28"/>
      <c r="AC33" s="28"/>
      <c r="AD33" s="24"/>
      <c r="AE33" s="24"/>
      <c r="AF33" s="24"/>
      <c r="AH33" s="12">
        <f t="shared" si="4"/>
        <v>0</v>
      </c>
      <c r="AI33" s="12">
        <f t="shared" si="5"/>
        <v>0</v>
      </c>
    </row>
    <row r="34" spans="1:35" ht="20.100000000000001" customHeight="1">
      <c r="A34" s="15" t="str">
        <f>ÖSSZES!$A$9</f>
        <v>Vatamány Gergő</v>
      </c>
      <c r="B34" s="28"/>
      <c r="C34" s="28"/>
      <c r="D34" s="28"/>
      <c r="E34" s="28"/>
      <c r="F34" s="28"/>
      <c r="G34" s="28" t="s">
        <v>2</v>
      </c>
      <c r="H34" s="28" t="s">
        <v>2</v>
      </c>
      <c r="I34" s="28"/>
      <c r="J34" s="28"/>
      <c r="K34" s="28"/>
      <c r="L34" s="28"/>
      <c r="M34" s="28"/>
      <c r="N34" s="28"/>
      <c r="O34" s="28" t="s">
        <v>2</v>
      </c>
      <c r="P34" s="28" t="s">
        <v>2</v>
      </c>
      <c r="Q34" s="28"/>
      <c r="R34" s="28"/>
      <c r="S34" s="28"/>
      <c r="T34" s="28"/>
      <c r="U34" s="28"/>
      <c r="V34" s="28"/>
      <c r="W34" s="28" t="s">
        <v>2</v>
      </c>
      <c r="X34" s="28" t="s">
        <v>2</v>
      </c>
      <c r="Y34" s="28"/>
      <c r="Z34" s="28"/>
      <c r="AA34" s="28"/>
      <c r="AB34" s="28"/>
      <c r="AC34" s="28"/>
      <c r="AD34" s="24"/>
      <c r="AE34" s="24"/>
      <c r="AF34" s="24"/>
      <c r="AH34" s="12">
        <f t="shared" si="4"/>
        <v>0</v>
      </c>
      <c r="AI34" s="12">
        <f t="shared" si="5"/>
        <v>0</v>
      </c>
    </row>
    <row r="35" spans="1:35" ht="20.100000000000001" hidden="1" customHeight="1">
      <c r="A35" s="15" t="str">
        <f>ÖSSZES!$A$10</f>
        <v>Név8</v>
      </c>
      <c r="B35" s="28"/>
      <c r="C35" s="28"/>
      <c r="D35" s="28"/>
      <c r="E35" s="28"/>
      <c r="F35" s="28"/>
      <c r="G35" s="28" t="s">
        <v>2</v>
      </c>
      <c r="H35" s="28" t="s">
        <v>2</v>
      </c>
      <c r="I35" s="28"/>
      <c r="J35" s="28"/>
      <c r="K35" s="28"/>
      <c r="L35" s="28"/>
      <c r="M35" s="28"/>
      <c r="N35" s="28"/>
      <c r="O35" s="28" t="s">
        <v>2</v>
      </c>
      <c r="P35" s="28" t="s">
        <v>2</v>
      </c>
      <c r="Q35" s="28"/>
      <c r="R35" s="28"/>
      <c r="S35" s="28"/>
      <c r="T35" s="28"/>
      <c r="U35" s="28"/>
      <c r="V35" s="28"/>
      <c r="W35" s="28" t="s">
        <v>2</v>
      </c>
      <c r="X35" s="28" t="s">
        <v>2</v>
      </c>
      <c r="Y35" s="28"/>
      <c r="Z35" s="28"/>
      <c r="AA35" s="28"/>
      <c r="AB35" s="28"/>
      <c r="AC35" s="28"/>
      <c r="AD35" s="24"/>
      <c r="AE35" s="24"/>
      <c r="AF35" s="24"/>
      <c r="AH35" s="12">
        <f t="shared" si="4"/>
        <v>0</v>
      </c>
      <c r="AI35" s="12">
        <f t="shared" si="5"/>
        <v>0</v>
      </c>
    </row>
    <row r="36" spans="1:35" ht="20.100000000000001" hidden="1" customHeight="1">
      <c r="A36" s="15" t="str">
        <f>ÖSSZES!$A$11</f>
        <v>Név9</v>
      </c>
      <c r="B36" s="28"/>
      <c r="C36" s="28"/>
      <c r="D36" s="28"/>
      <c r="E36" s="28"/>
      <c r="F36" s="28"/>
      <c r="G36" s="28" t="s">
        <v>2</v>
      </c>
      <c r="H36" s="28" t="s">
        <v>2</v>
      </c>
      <c r="I36" s="28"/>
      <c r="J36" s="28"/>
      <c r="K36" s="28"/>
      <c r="L36" s="28"/>
      <c r="M36" s="28"/>
      <c r="N36" s="28"/>
      <c r="O36" s="28" t="s">
        <v>2</v>
      </c>
      <c r="P36" s="28" t="s">
        <v>2</v>
      </c>
      <c r="Q36" s="28"/>
      <c r="R36" s="28"/>
      <c r="S36" s="28"/>
      <c r="T36" s="28"/>
      <c r="U36" s="28"/>
      <c r="V36" s="28"/>
      <c r="W36" s="28" t="s">
        <v>2</v>
      </c>
      <c r="X36" s="28" t="s">
        <v>2</v>
      </c>
      <c r="Y36" s="28"/>
      <c r="Z36" s="28"/>
      <c r="AA36" s="28"/>
      <c r="AB36" s="28"/>
      <c r="AC36" s="28"/>
      <c r="AD36" s="24"/>
      <c r="AE36" s="24"/>
      <c r="AF36" s="24"/>
      <c r="AH36" s="12">
        <f t="shared" si="4"/>
        <v>0</v>
      </c>
      <c r="AI36" s="12">
        <f t="shared" si="5"/>
        <v>0</v>
      </c>
    </row>
    <row r="37" spans="1:35" ht="20.100000000000001" hidden="1" customHeight="1">
      <c r="A37" s="15" t="str">
        <f>ÖSSZES!$A$12</f>
        <v>Név10</v>
      </c>
      <c r="B37" s="28"/>
      <c r="C37" s="28"/>
      <c r="D37" s="28"/>
      <c r="E37" s="28"/>
      <c r="F37" s="28"/>
      <c r="G37" s="28" t="s">
        <v>2</v>
      </c>
      <c r="H37" s="28" t="s">
        <v>2</v>
      </c>
      <c r="I37" s="28"/>
      <c r="J37" s="28"/>
      <c r="K37" s="28"/>
      <c r="L37" s="28"/>
      <c r="M37" s="28"/>
      <c r="N37" s="28"/>
      <c r="O37" s="28" t="s">
        <v>2</v>
      </c>
      <c r="P37" s="28" t="s">
        <v>2</v>
      </c>
      <c r="Q37" s="28"/>
      <c r="R37" s="28"/>
      <c r="S37" s="28"/>
      <c r="T37" s="28"/>
      <c r="U37" s="28"/>
      <c r="V37" s="28"/>
      <c r="W37" s="28" t="s">
        <v>2</v>
      </c>
      <c r="X37" s="28" t="s">
        <v>2</v>
      </c>
      <c r="Y37" s="28"/>
      <c r="Z37" s="28"/>
      <c r="AA37" s="28"/>
      <c r="AB37" s="28"/>
      <c r="AC37" s="28"/>
      <c r="AD37" s="24"/>
      <c r="AE37" s="24"/>
      <c r="AF37" s="24"/>
      <c r="AH37" s="12">
        <f t="shared" si="4"/>
        <v>0</v>
      </c>
      <c r="AI37" s="12">
        <f t="shared" si="5"/>
        <v>0</v>
      </c>
    </row>
    <row r="38" spans="1:35" ht="20.100000000000001" hidden="1" customHeight="1">
      <c r="A38" s="15" t="str">
        <f>ÖSSZES!$A$13</f>
        <v>Név11</v>
      </c>
      <c r="B38" s="28"/>
      <c r="C38" s="28"/>
      <c r="D38" s="28"/>
      <c r="E38" s="28"/>
      <c r="F38" s="28"/>
      <c r="G38" s="28" t="s">
        <v>2</v>
      </c>
      <c r="H38" s="28" t="s">
        <v>2</v>
      </c>
      <c r="I38" s="28"/>
      <c r="J38" s="28"/>
      <c r="K38" s="28"/>
      <c r="L38" s="28"/>
      <c r="M38" s="28"/>
      <c r="N38" s="28"/>
      <c r="O38" s="28" t="s">
        <v>2</v>
      </c>
      <c r="P38" s="28" t="s">
        <v>2</v>
      </c>
      <c r="Q38" s="28"/>
      <c r="R38" s="28"/>
      <c r="S38" s="28"/>
      <c r="T38" s="28"/>
      <c r="U38" s="28"/>
      <c r="V38" s="28"/>
      <c r="W38" s="28" t="s">
        <v>2</v>
      </c>
      <c r="X38" s="28" t="s">
        <v>2</v>
      </c>
      <c r="Y38" s="28"/>
      <c r="Z38" s="28"/>
      <c r="AA38" s="28"/>
      <c r="AB38" s="28"/>
      <c r="AC38" s="28"/>
      <c r="AD38" s="24"/>
      <c r="AE38" s="24"/>
      <c r="AF38" s="24"/>
      <c r="AH38" s="12">
        <f t="shared" si="4"/>
        <v>0</v>
      </c>
      <c r="AI38" s="12">
        <f t="shared" si="5"/>
        <v>0</v>
      </c>
    </row>
    <row r="39" spans="1:35" ht="20.100000000000001" hidden="1" customHeight="1">
      <c r="A39" s="15" t="str">
        <f>ÖSSZES!$A$14</f>
        <v>Név12</v>
      </c>
      <c r="B39" s="28"/>
      <c r="C39" s="28"/>
      <c r="D39" s="28"/>
      <c r="E39" s="28"/>
      <c r="F39" s="28"/>
      <c r="G39" s="28" t="s">
        <v>2</v>
      </c>
      <c r="H39" s="28" t="s">
        <v>2</v>
      </c>
      <c r="I39" s="28"/>
      <c r="J39" s="28"/>
      <c r="K39" s="28"/>
      <c r="L39" s="28"/>
      <c r="M39" s="28"/>
      <c r="N39" s="28"/>
      <c r="O39" s="28" t="s">
        <v>2</v>
      </c>
      <c r="P39" s="28" t="s">
        <v>2</v>
      </c>
      <c r="Q39" s="28"/>
      <c r="R39" s="28"/>
      <c r="S39" s="28"/>
      <c r="T39" s="28"/>
      <c r="U39" s="28"/>
      <c r="V39" s="28"/>
      <c r="W39" s="28" t="s">
        <v>2</v>
      </c>
      <c r="X39" s="28" t="s">
        <v>2</v>
      </c>
      <c r="Y39" s="28"/>
      <c r="Z39" s="28"/>
      <c r="AA39" s="28"/>
      <c r="AB39" s="28"/>
      <c r="AC39" s="28"/>
      <c r="AD39" s="24"/>
      <c r="AE39" s="24"/>
      <c r="AF39" s="24"/>
      <c r="AH39" s="12">
        <f t="shared" si="4"/>
        <v>0</v>
      </c>
      <c r="AI39" s="12">
        <f t="shared" si="5"/>
        <v>0</v>
      </c>
    </row>
    <row r="40" spans="1:35" ht="20.100000000000001" hidden="1" customHeight="1">
      <c r="A40" s="15" t="str">
        <f>ÖSSZES!$A$15</f>
        <v>Név13</v>
      </c>
      <c r="B40" s="28"/>
      <c r="C40" s="28"/>
      <c r="D40" s="28"/>
      <c r="E40" s="28"/>
      <c r="F40" s="28"/>
      <c r="G40" s="28" t="s">
        <v>2</v>
      </c>
      <c r="H40" s="28" t="s">
        <v>2</v>
      </c>
      <c r="I40" s="28"/>
      <c r="J40" s="28"/>
      <c r="K40" s="28"/>
      <c r="L40" s="28"/>
      <c r="M40" s="28"/>
      <c r="N40" s="28"/>
      <c r="O40" s="28" t="s">
        <v>2</v>
      </c>
      <c r="P40" s="28" t="s">
        <v>2</v>
      </c>
      <c r="Q40" s="28"/>
      <c r="R40" s="28"/>
      <c r="S40" s="28"/>
      <c r="T40" s="28"/>
      <c r="U40" s="28"/>
      <c r="V40" s="28"/>
      <c r="W40" s="28" t="s">
        <v>2</v>
      </c>
      <c r="X40" s="28" t="s">
        <v>2</v>
      </c>
      <c r="Y40" s="28"/>
      <c r="Z40" s="28"/>
      <c r="AA40" s="28"/>
      <c r="AB40" s="28"/>
      <c r="AC40" s="28"/>
      <c r="AD40" s="24"/>
      <c r="AE40" s="24"/>
      <c r="AF40" s="24"/>
      <c r="AH40" s="12">
        <f t="shared" si="4"/>
        <v>0</v>
      </c>
      <c r="AI40" s="12">
        <f t="shared" si="5"/>
        <v>0</v>
      </c>
    </row>
    <row r="41" spans="1:35" ht="20.100000000000001" hidden="1" customHeight="1">
      <c r="A41" s="15" t="str">
        <f>ÖSSZES!$A$16</f>
        <v>Név14</v>
      </c>
      <c r="B41" s="28"/>
      <c r="C41" s="28"/>
      <c r="D41" s="28"/>
      <c r="E41" s="28"/>
      <c r="F41" s="28"/>
      <c r="G41" s="28" t="s">
        <v>2</v>
      </c>
      <c r="H41" s="28" t="s">
        <v>2</v>
      </c>
      <c r="I41" s="28"/>
      <c r="J41" s="28"/>
      <c r="K41" s="28"/>
      <c r="L41" s="28"/>
      <c r="M41" s="28"/>
      <c r="N41" s="28"/>
      <c r="O41" s="28" t="s">
        <v>2</v>
      </c>
      <c r="P41" s="28" t="s">
        <v>2</v>
      </c>
      <c r="Q41" s="28"/>
      <c r="R41" s="28"/>
      <c r="S41" s="28"/>
      <c r="T41" s="28"/>
      <c r="U41" s="28"/>
      <c r="V41" s="28"/>
      <c r="W41" s="28" t="s">
        <v>2</v>
      </c>
      <c r="X41" s="28" t="s">
        <v>2</v>
      </c>
      <c r="Y41" s="28"/>
      <c r="Z41" s="28"/>
      <c r="AA41" s="28"/>
      <c r="AB41" s="28"/>
      <c r="AC41" s="28"/>
      <c r="AD41" s="24"/>
      <c r="AE41" s="24"/>
      <c r="AF41" s="24"/>
      <c r="AH41" s="12">
        <f t="shared" si="4"/>
        <v>0</v>
      </c>
      <c r="AI41" s="12">
        <f t="shared" si="5"/>
        <v>0</v>
      </c>
    </row>
    <row r="42" spans="1:35" ht="20.100000000000001" hidden="1" customHeight="1">
      <c r="A42" s="15" t="str">
        <f>ÖSSZES!$A$17</f>
        <v>Név15</v>
      </c>
      <c r="B42" s="28"/>
      <c r="C42" s="28"/>
      <c r="D42" s="28"/>
      <c r="E42" s="28"/>
      <c r="F42" s="28"/>
      <c r="G42" s="28" t="s">
        <v>2</v>
      </c>
      <c r="H42" s="28" t="s">
        <v>2</v>
      </c>
      <c r="I42" s="28"/>
      <c r="J42" s="28"/>
      <c r="K42" s="28"/>
      <c r="L42" s="28"/>
      <c r="M42" s="28"/>
      <c r="N42" s="28"/>
      <c r="O42" s="28" t="s">
        <v>2</v>
      </c>
      <c r="P42" s="28" t="s">
        <v>2</v>
      </c>
      <c r="Q42" s="28"/>
      <c r="R42" s="28"/>
      <c r="S42" s="28"/>
      <c r="T42" s="28"/>
      <c r="U42" s="28"/>
      <c r="V42" s="28"/>
      <c r="W42" s="28" t="s">
        <v>2</v>
      </c>
      <c r="X42" s="28" t="s">
        <v>2</v>
      </c>
      <c r="Y42" s="28"/>
      <c r="Z42" s="28"/>
      <c r="AA42" s="28"/>
      <c r="AB42" s="28"/>
      <c r="AC42" s="28"/>
      <c r="AD42" s="24"/>
      <c r="AE42" s="24"/>
      <c r="AF42" s="24"/>
      <c r="AH42" s="12">
        <f t="shared" si="4"/>
        <v>0</v>
      </c>
      <c r="AI42" s="12">
        <f t="shared" si="5"/>
        <v>0</v>
      </c>
    </row>
    <row r="43" spans="1:35" ht="20.100000000000001" hidden="1" customHeight="1">
      <c r="A43" s="15" t="str">
        <f>ÖSSZES!$A$18</f>
        <v>Név16</v>
      </c>
      <c r="B43" s="28"/>
      <c r="C43" s="28"/>
      <c r="D43" s="28"/>
      <c r="E43" s="28"/>
      <c r="F43" s="28"/>
      <c r="G43" s="28" t="s">
        <v>2</v>
      </c>
      <c r="H43" s="28" t="s">
        <v>2</v>
      </c>
      <c r="I43" s="28"/>
      <c r="J43" s="28"/>
      <c r="K43" s="28"/>
      <c r="L43" s="28"/>
      <c r="M43" s="28"/>
      <c r="N43" s="28"/>
      <c r="O43" s="28" t="s">
        <v>2</v>
      </c>
      <c r="P43" s="28" t="s">
        <v>2</v>
      </c>
      <c r="Q43" s="28"/>
      <c r="R43" s="28"/>
      <c r="S43" s="28"/>
      <c r="T43" s="28"/>
      <c r="U43" s="28"/>
      <c r="V43" s="28"/>
      <c r="W43" s="28" t="s">
        <v>2</v>
      </c>
      <c r="X43" s="28" t="s">
        <v>2</v>
      </c>
      <c r="Y43" s="28"/>
      <c r="Z43" s="28"/>
      <c r="AA43" s="28"/>
      <c r="AB43" s="28"/>
      <c r="AC43" s="28"/>
      <c r="AD43" s="24"/>
      <c r="AE43" s="24"/>
      <c r="AF43" s="24"/>
      <c r="AH43" s="12">
        <f t="shared" si="4"/>
        <v>0</v>
      </c>
      <c r="AI43" s="12">
        <f t="shared" si="5"/>
        <v>0</v>
      </c>
    </row>
    <row r="44" spans="1:35" ht="20.100000000000001" hidden="1" customHeight="1">
      <c r="A44" s="15" t="str">
        <f>ÖSSZES!$A$19</f>
        <v>Név17</v>
      </c>
      <c r="B44" s="28"/>
      <c r="C44" s="28"/>
      <c r="D44" s="28"/>
      <c r="E44" s="28"/>
      <c r="F44" s="28"/>
      <c r="G44" s="28" t="s">
        <v>2</v>
      </c>
      <c r="H44" s="28" t="s">
        <v>2</v>
      </c>
      <c r="I44" s="28"/>
      <c r="J44" s="28"/>
      <c r="K44" s="28"/>
      <c r="L44" s="28"/>
      <c r="M44" s="28"/>
      <c r="N44" s="28"/>
      <c r="O44" s="28" t="s">
        <v>2</v>
      </c>
      <c r="P44" s="28" t="s">
        <v>2</v>
      </c>
      <c r="Q44" s="28"/>
      <c r="R44" s="28"/>
      <c r="S44" s="28"/>
      <c r="T44" s="28"/>
      <c r="U44" s="28"/>
      <c r="V44" s="28"/>
      <c r="W44" s="28" t="s">
        <v>2</v>
      </c>
      <c r="X44" s="28" t="s">
        <v>2</v>
      </c>
      <c r="Y44" s="28"/>
      <c r="Z44" s="28"/>
      <c r="AA44" s="28"/>
      <c r="AB44" s="28"/>
      <c r="AC44" s="28"/>
      <c r="AD44" s="24"/>
      <c r="AE44" s="24"/>
      <c r="AF44" s="24"/>
      <c r="AH44" s="12">
        <f t="shared" si="4"/>
        <v>0</v>
      </c>
      <c r="AI44" s="12">
        <f t="shared" si="5"/>
        <v>0</v>
      </c>
    </row>
    <row r="45" spans="1:35" ht="20.100000000000001" hidden="1" customHeight="1">
      <c r="A45" s="15" t="str">
        <f>ÖSSZES!$A$20</f>
        <v>Név18</v>
      </c>
      <c r="B45" s="28"/>
      <c r="C45" s="28"/>
      <c r="D45" s="28"/>
      <c r="E45" s="28"/>
      <c r="F45" s="28"/>
      <c r="G45" s="28" t="s">
        <v>2</v>
      </c>
      <c r="H45" s="28" t="s">
        <v>2</v>
      </c>
      <c r="I45" s="28"/>
      <c r="J45" s="28"/>
      <c r="K45" s="28"/>
      <c r="L45" s="28"/>
      <c r="M45" s="28"/>
      <c r="N45" s="28"/>
      <c r="O45" s="28" t="s">
        <v>2</v>
      </c>
      <c r="P45" s="28" t="s">
        <v>2</v>
      </c>
      <c r="Q45" s="28"/>
      <c r="R45" s="28"/>
      <c r="S45" s="28"/>
      <c r="T45" s="28"/>
      <c r="U45" s="28"/>
      <c r="V45" s="28"/>
      <c r="W45" s="28" t="s">
        <v>2</v>
      </c>
      <c r="X45" s="28" t="s">
        <v>2</v>
      </c>
      <c r="Y45" s="28"/>
      <c r="Z45" s="28"/>
      <c r="AA45" s="28"/>
      <c r="AB45" s="28"/>
      <c r="AC45" s="28"/>
      <c r="AD45" s="24"/>
      <c r="AE45" s="24"/>
      <c r="AF45" s="24"/>
      <c r="AH45" s="12">
        <f t="shared" si="4"/>
        <v>0</v>
      </c>
      <c r="AI45" s="12">
        <f t="shared" si="5"/>
        <v>0</v>
      </c>
    </row>
    <row r="46" spans="1:35" ht="20.100000000000001" hidden="1" customHeight="1">
      <c r="A46" s="15" t="str">
        <f>ÖSSZES!$A$21</f>
        <v>Név19</v>
      </c>
      <c r="B46" s="28"/>
      <c r="C46" s="28"/>
      <c r="D46" s="28"/>
      <c r="E46" s="28"/>
      <c r="F46" s="28"/>
      <c r="G46" s="28" t="s">
        <v>2</v>
      </c>
      <c r="H46" s="28" t="s">
        <v>2</v>
      </c>
      <c r="I46" s="28"/>
      <c r="J46" s="28"/>
      <c r="K46" s="28"/>
      <c r="L46" s="28"/>
      <c r="M46" s="28"/>
      <c r="N46" s="28"/>
      <c r="O46" s="28" t="s">
        <v>2</v>
      </c>
      <c r="P46" s="28" t="s">
        <v>2</v>
      </c>
      <c r="Q46" s="28"/>
      <c r="R46" s="28"/>
      <c r="S46" s="28"/>
      <c r="T46" s="28"/>
      <c r="U46" s="28"/>
      <c r="V46" s="28"/>
      <c r="W46" s="28" t="s">
        <v>2</v>
      </c>
      <c r="X46" s="28" t="s">
        <v>2</v>
      </c>
      <c r="Y46" s="28"/>
      <c r="Z46" s="28"/>
      <c r="AA46" s="28"/>
      <c r="AB46" s="28"/>
      <c r="AC46" s="28"/>
      <c r="AD46" s="24"/>
      <c r="AE46" s="24"/>
      <c r="AF46" s="24"/>
      <c r="AH46" s="12">
        <f t="shared" si="4"/>
        <v>0</v>
      </c>
      <c r="AI46" s="12">
        <f t="shared" si="5"/>
        <v>0</v>
      </c>
    </row>
    <row r="47" spans="1:35" ht="20.100000000000001" hidden="1" customHeight="1">
      <c r="A47" s="15" t="str">
        <f>ÖSSZES!$A$17</f>
        <v>Név15</v>
      </c>
      <c r="B47" s="28"/>
      <c r="C47" s="28"/>
      <c r="D47" s="28"/>
      <c r="E47" s="28"/>
      <c r="F47" s="28"/>
      <c r="G47" s="28" t="s">
        <v>2</v>
      </c>
      <c r="H47" s="28" t="s">
        <v>2</v>
      </c>
      <c r="I47" s="28"/>
      <c r="J47" s="28"/>
      <c r="K47" s="28"/>
      <c r="L47" s="28"/>
      <c r="M47" s="28"/>
      <c r="N47" s="28"/>
      <c r="O47" s="28" t="s">
        <v>2</v>
      </c>
      <c r="P47" s="28" t="s">
        <v>2</v>
      </c>
      <c r="Q47" s="28"/>
      <c r="R47" s="28"/>
      <c r="S47" s="28"/>
      <c r="T47" s="28"/>
      <c r="U47" s="28"/>
      <c r="V47" s="28"/>
      <c r="W47" s="28" t="s">
        <v>2</v>
      </c>
      <c r="X47" s="28" t="s">
        <v>2</v>
      </c>
      <c r="Y47" s="28"/>
      <c r="Z47" s="28"/>
      <c r="AA47" s="28"/>
      <c r="AB47" s="28"/>
      <c r="AC47" s="28"/>
      <c r="AD47" s="24"/>
      <c r="AE47" s="24"/>
      <c r="AF47" s="24"/>
      <c r="AH47" s="12">
        <f t="shared" si="4"/>
        <v>0</v>
      </c>
      <c r="AI47" s="12">
        <f t="shared" si="5"/>
        <v>0</v>
      </c>
    </row>
    <row r="48" spans="1:35" ht="20.100000000000001" customHeight="1"/>
    <row r="49" spans="1:35" s="21" customFormat="1" ht="20.100000000000001" customHeight="1">
      <c r="A49" s="43" t="s">
        <v>7</v>
      </c>
      <c r="B49" s="20">
        <v>1</v>
      </c>
      <c r="C49" s="20">
        <v>2</v>
      </c>
      <c r="D49" s="20">
        <v>3</v>
      </c>
      <c r="E49" s="20">
        <v>4</v>
      </c>
      <c r="F49" s="20">
        <v>5</v>
      </c>
      <c r="G49" s="20">
        <v>6</v>
      </c>
      <c r="H49" s="20">
        <v>7</v>
      </c>
      <c r="I49" s="20">
        <v>8</v>
      </c>
      <c r="J49" s="20">
        <v>9</v>
      </c>
      <c r="K49" s="20">
        <v>10</v>
      </c>
      <c r="L49" s="20">
        <v>11</v>
      </c>
      <c r="M49" s="20">
        <v>12</v>
      </c>
      <c r="N49" s="20">
        <v>13</v>
      </c>
      <c r="O49" s="20">
        <v>14</v>
      </c>
      <c r="P49" s="19">
        <v>15</v>
      </c>
      <c r="Q49" s="20">
        <v>16</v>
      </c>
      <c r="R49" s="20">
        <v>17</v>
      </c>
      <c r="S49" s="20">
        <v>18</v>
      </c>
      <c r="T49" s="20">
        <v>19</v>
      </c>
      <c r="U49" s="20">
        <v>20</v>
      </c>
      <c r="V49" s="20">
        <v>21</v>
      </c>
      <c r="W49" s="20">
        <v>22</v>
      </c>
      <c r="X49" s="20">
        <v>23</v>
      </c>
      <c r="Y49" s="20">
        <v>24</v>
      </c>
      <c r="Z49" s="20">
        <v>25</v>
      </c>
      <c r="AA49" s="20">
        <v>26</v>
      </c>
      <c r="AB49" s="20">
        <v>27</v>
      </c>
      <c r="AC49" s="20">
        <v>28</v>
      </c>
      <c r="AD49" s="20">
        <v>29</v>
      </c>
      <c r="AE49" s="20">
        <v>30</v>
      </c>
      <c r="AF49" s="20">
        <v>31</v>
      </c>
      <c r="AH49" s="43" t="s">
        <v>18</v>
      </c>
      <c r="AI49" s="43" t="s">
        <v>19</v>
      </c>
    </row>
    <row r="50" spans="1:35" ht="20.100000000000001" customHeight="1">
      <c r="A50" s="44"/>
      <c r="B50" s="22" t="str">
        <f>'2021'!B20</f>
        <v>H</v>
      </c>
      <c r="C50" s="22" t="str">
        <f>'2021'!C20</f>
        <v>K</v>
      </c>
      <c r="D50" s="22" t="str">
        <f>'2021'!D20</f>
        <v>Sze</v>
      </c>
      <c r="E50" s="22" t="str">
        <f>'2021'!E20</f>
        <v>Cs</v>
      </c>
      <c r="F50" s="22" t="str">
        <f>'2021'!F20</f>
        <v>P</v>
      </c>
      <c r="G50" s="22" t="str">
        <f>'2021'!G20</f>
        <v>Szo</v>
      </c>
      <c r="H50" s="22" t="str">
        <f>'2021'!H20</f>
        <v>V</v>
      </c>
      <c r="I50" s="22" t="str">
        <f>'2021'!I20</f>
        <v>H</v>
      </c>
      <c r="J50" s="22" t="str">
        <f>'2021'!J20</f>
        <v>K</v>
      </c>
      <c r="K50" s="22" t="str">
        <f>'2021'!K20</f>
        <v>Sze</v>
      </c>
      <c r="L50" s="22" t="str">
        <f>'2021'!L20</f>
        <v>Cs</v>
      </c>
      <c r="M50" s="22" t="str">
        <f>'2021'!M20</f>
        <v>P</v>
      </c>
      <c r="N50" s="22" t="str">
        <f>'2021'!N20</f>
        <v>Szo</v>
      </c>
      <c r="O50" s="22" t="str">
        <f>'2021'!O20</f>
        <v>V</v>
      </c>
      <c r="P50" s="22" t="str">
        <f>'2021'!P20</f>
        <v>H</v>
      </c>
      <c r="Q50" s="22" t="str">
        <f>'2021'!Q20</f>
        <v>K</v>
      </c>
      <c r="R50" s="22" t="str">
        <f>'2021'!R20</f>
        <v>Sze</v>
      </c>
      <c r="S50" s="22" t="str">
        <f>'2021'!S20</f>
        <v>Cs</v>
      </c>
      <c r="T50" s="22" t="str">
        <f>'2021'!T20</f>
        <v>P</v>
      </c>
      <c r="U50" s="22" t="str">
        <f>'2021'!U20</f>
        <v>Szo</v>
      </c>
      <c r="V50" s="22" t="str">
        <f>'2021'!V20</f>
        <v>V</v>
      </c>
      <c r="W50" s="22" t="str">
        <f>'2021'!W20</f>
        <v>H</v>
      </c>
      <c r="X50" s="22" t="str">
        <f>'2021'!X20</f>
        <v>K</v>
      </c>
      <c r="Y50" s="22" t="str">
        <f>'2021'!Y20</f>
        <v>Sze</v>
      </c>
      <c r="Z50" s="22" t="str">
        <f>'2021'!Z20</f>
        <v>Cs</v>
      </c>
      <c r="AA50" s="22" t="str">
        <f>'2021'!AA20</f>
        <v>P</v>
      </c>
      <c r="AB50" s="22" t="str">
        <f>'2021'!AB20</f>
        <v>Szo</v>
      </c>
      <c r="AC50" s="22" t="str">
        <f>'2021'!AC20</f>
        <v>V</v>
      </c>
      <c r="AD50" s="22" t="str">
        <f>'2021'!AD20</f>
        <v>H</v>
      </c>
      <c r="AE50" s="22" t="str">
        <f>'2021'!AE20</f>
        <v>K</v>
      </c>
      <c r="AF50" s="22" t="str">
        <f>'2021'!AF20</f>
        <v>Sze</v>
      </c>
      <c r="AH50" s="45"/>
      <c r="AI50" s="45"/>
    </row>
    <row r="51" spans="1:35" ht="20.100000000000001" customHeight="1">
      <c r="A51" s="45"/>
      <c r="B51" s="22">
        <f>'2021'!B21</f>
        <v>1</v>
      </c>
      <c r="C51" s="22" t="str">
        <f>'2021'!C21</f>
        <v>X</v>
      </c>
      <c r="D51" s="22" t="str">
        <f>'2021'!D21</f>
        <v>X</v>
      </c>
      <c r="E51" s="22">
        <f>'2021'!E21</f>
        <v>3</v>
      </c>
      <c r="F51" s="22">
        <f>'2021'!F21</f>
        <v>3</v>
      </c>
      <c r="G51" s="22">
        <f>'2021'!G21</f>
        <v>3</v>
      </c>
      <c r="H51" s="22">
        <f>'2021'!H21</f>
        <v>3</v>
      </c>
      <c r="I51" s="22">
        <f>'2021'!I21</f>
        <v>3</v>
      </c>
      <c r="J51" s="22">
        <f>'2021'!J21</f>
        <v>3</v>
      </c>
      <c r="K51" s="22" t="str">
        <f>'2021'!K21</f>
        <v>X</v>
      </c>
      <c r="L51" s="22" t="str">
        <f>'2021'!L21</f>
        <v>X</v>
      </c>
      <c r="M51" s="22">
        <f>'2021'!M21</f>
        <v>2</v>
      </c>
      <c r="N51" s="22">
        <f>'2021'!N21</f>
        <v>2</v>
      </c>
      <c r="O51" s="22">
        <f>'2021'!O21</f>
        <v>2</v>
      </c>
      <c r="P51" s="22">
        <f>'2021'!P21</f>
        <v>2</v>
      </c>
      <c r="Q51" s="22">
        <f>'2021'!Q21</f>
        <v>2</v>
      </c>
      <c r="R51" s="22">
        <f>'2021'!R21</f>
        <v>2</v>
      </c>
      <c r="S51" s="22" t="str">
        <f>'2021'!S21</f>
        <v>X</v>
      </c>
      <c r="T51" s="22" t="str">
        <f>'2021'!T21</f>
        <v>X</v>
      </c>
      <c r="U51" s="22">
        <f>'2021'!U21</f>
        <v>1</v>
      </c>
      <c r="V51" s="22">
        <f>'2021'!V21</f>
        <v>1</v>
      </c>
      <c r="W51" s="22">
        <f>'2021'!W21</f>
        <v>1</v>
      </c>
      <c r="X51" s="22">
        <f>'2021'!X21</f>
        <v>1</v>
      </c>
      <c r="Y51" s="22">
        <f>'2021'!Y21</f>
        <v>1</v>
      </c>
      <c r="Z51" s="22">
        <f>'2021'!Z21</f>
        <v>1</v>
      </c>
      <c r="AA51" s="22" t="str">
        <f>'2021'!AA21</f>
        <v>X</v>
      </c>
      <c r="AB51" s="22" t="str">
        <f>'2021'!AB21</f>
        <v>X</v>
      </c>
      <c r="AC51" s="22">
        <f>'2021'!AC21</f>
        <v>3</v>
      </c>
      <c r="AD51" s="22">
        <f>'2021'!AD21</f>
        <v>3</v>
      </c>
      <c r="AE51" s="22">
        <f>'2021'!AE21</f>
        <v>3</v>
      </c>
      <c r="AF51" s="22">
        <f>'2021'!AF21</f>
        <v>3</v>
      </c>
      <c r="AH51" s="45"/>
      <c r="AI51" s="45"/>
    </row>
    <row r="52" spans="1:35" ht="20.100000000000001" customHeight="1">
      <c r="A52" s="15" t="str">
        <f>ÖSSZES!$A$3</f>
        <v>Csuka Lajos</v>
      </c>
      <c r="B52" s="27"/>
      <c r="C52" s="28" t="s">
        <v>2</v>
      </c>
      <c r="D52" s="28" t="s">
        <v>2</v>
      </c>
      <c r="E52" s="27"/>
      <c r="F52" s="27"/>
      <c r="G52" s="27"/>
      <c r="H52" s="27"/>
      <c r="I52" s="27"/>
      <c r="J52" s="27"/>
      <c r="K52" s="28" t="s">
        <v>2</v>
      </c>
      <c r="L52" s="28" t="s">
        <v>2</v>
      </c>
      <c r="M52" s="27"/>
      <c r="N52" s="27"/>
      <c r="O52" s="27"/>
      <c r="P52" s="27"/>
      <c r="Q52" s="27"/>
      <c r="R52" s="27"/>
      <c r="S52" s="28" t="s">
        <v>2</v>
      </c>
      <c r="T52" s="28" t="s">
        <v>2</v>
      </c>
      <c r="U52" s="27"/>
      <c r="V52" s="27"/>
      <c r="W52" s="27"/>
      <c r="X52" s="27"/>
      <c r="Y52" s="27"/>
      <c r="Z52" s="27"/>
      <c r="AA52" s="28" t="s">
        <v>2</v>
      </c>
      <c r="AB52" s="28" t="s">
        <v>2</v>
      </c>
      <c r="AC52" s="27"/>
      <c r="AD52" s="27"/>
      <c r="AE52" s="27"/>
      <c r="AF52" s="27"/>
      <c r="AH52" s="12">
        <f>1*COUNTIF(A52:AF52,"+")</f>
        <v>0</v>
      </c>
      <c r="AI52" s="12">
        <f t="shared" ref="AI52" si="6">1*COUNTIF(B52:AF52,"szf")</f>
        <v>0</v>
      </c>
    </row>
    <row r="53" spans="1:35" ht="20.100000000000001" customHeight="1">
      <c r="A53" s="15" t="str">
        <f>ÖSSZES!$A$4</f>
        <v>Batiz Attila</v>
      </c>
      <c r="B53" s="27"/>
      <c r="C53" s="28" t="s">
        <v>2</v>
      </c>
      <c r="D53" s="28" t="s">
        <v>2</v>
      </c>
      <c r="E53" s="27"/>
      <c r="F53" s="27"/>
      <c r="G53" s="27"/>
      <c r="H53" s="27"/>
      <c r="I53" s="27"/>
      <c r="J53" s="27"/>
      <c r="K53" s="28" t="s">
        <v>2</v>
      </c>
      <c r="L53" s="28" t="s">
        <v>2</v>
      </c>
      <c r="M53" s="27"/>
      <c r="N53" s="27"/>
      <c r="O53" s="27"/>
      <c r="P53" s="27"/>
      <c r="Q53" s="27"/>
      <c r="R53" s="27"/>
      <c r="S53" s="28" t="s">
        <v>2</v>
      </c>
      <c r="T53" s="28" t="s">
        <v>2</v>
      </c>
      <c r="U53" s="27"/>
      <c r="V53" s="27"/>
      <c r="W53" s="27"/>
      <c r="X53" s="27"/>
      <c r="Y53" s="27"/>
      <c r="Z53" s="27"/>
      <c r="AA53" s="28" t="s">
        <v>2</v>
      </c>
      <c r="AB53" s="28" t="s">
        <v>2</v>
      </c>
      <c r="AC53" s="27"/>
      <c r="AD53" s="27"/>
      <c r="AE53" s="27"/>
      <c r="AF53" s="27"/>
      <c r="AH53" s="12">
        <f t="shared" ref="AH53:AH71" si="7">1*COUNTIF(A53:AF53,"+")</f>
        <v>0</v>
      </c>
      <c r="AI53" s="12">
        <f t="shared" ref="AI53:AI71" si="8">1*COUNTIF(B53:AF53,"szf")</f>
        <v>0</v>
      </c>
    </row>
    <row r="54" spans="1:35" ht="20.100000000000001" customHeight="1">
      <c r="A54" s="15" t="str">
        <f>ÖSSZES!$A$5</f>
        <v>Füredi Antal</v>
      </c>
      <c r="B54" s="27"/>
      <c r="C54" s="28" t="s">
        <v>2</v>
      </c>
      <c r="D54" s="28" t="s">
        <v>2</v>
      </c>
      <c r="E54" s="27"/>
      <c r="F54" s="27"/>
      <c r="G54" s="27"/>
      <c r="H54" s="27"/>
      <c r="I54" s="27"/>
      <c r="J54" s="27"/>
      <c r="K54" s="28" t="s">
        <v>2</v>
      </c>
      <c r="L54" s="28" t="s">
        <v>2</v>
      </c>
      <c r="M54" s="27"/>
      <c r="N54" s="27"/>
      <c r="O54" s="27"/>
      <c r="P54" s="27"/>
      <c r="Q54" s="27"/>
      <c r="R54" s="27"/>
      <c r="S54" s="28" t="s">
        <v>2</v>
      </c>
      <c r="T54" s="28" t="s">
        <v>2</v>
      </c>
      <c r="U54" s="27"/>
      <c r="V54" s="27"/>
      <c r="W54" s="27"/>
      <c r="X54" s="27"/>
      <c r="Y54" s="27"/>
      <c r="Z54" s="27"/>
      <c r="AA54" s="28" t="s">
        <v>2</v>
      </c>
      <c r="AB54" s="28" t="s">
        <v>2</v>
      </c>
      <c r="AC54" s="27"/>
      <c r="AD54" s="27"/>
      <c r="AE54" s="27"/>
      <c r="AF54" s="27"/>
      <c r="AH54" s="12">
        <f t="shared" si="7"/>
        <v>0</v>
      </c>
      <c r="AI54" s="12">
        <f t="shared" si="8"/>
        <v>0</v>
      </c>
    </row>
    <row r="55" spans="1:35" ht="20.100000000000001" customHeight="1">
      <c r="A55" s="15" t="str">
        <f>ÖSSZES!$A$6</f>
        <v>Iványi István</v>
      </c>
      <c r="B55" s="27"/>
      <c r="C55" s="28" t="s">
        <v>2</v>
      </c>
      <c r="D55" s="28" t="s">
        <v>2</v>
      </c>
      <c r="E55" s="27"/>
      <c r="F55" s="27"/>
      <c r="G55" s="27"/>
      <c r="H55" s="27"/>
      <c r="I55" s="27"/>
      <c r="J55" s="27"/>
      <c r="K55" s="28" t="s">
        <v>2</v>
      </c>
      <c r="L55" s="28" t="s">
        <v>2</v>
      </c>
      <c r="M55" s="27"/>
      <c r="N55" s="27"/>
      <c r="O55" s="27"/>
      <c r="P55" s="27"/>
      <c r="Q55" s="27"/>
      <c r="R55" s="27"/>
      <c r="S55" s="28" t="s">
        <v>2</v>
      </c>
      <c r="T55" s="28" t="s">
        <v>2</v>
      </c>
      <c r="U55" s="27"/>
      <c r="V55" s="27"/>
      <c r="W55" s="27"/>
      <c r="X55" s="27"/>
      <c r="Y55" s="27"/>
      <c r="Z55" s="27"/>
      <c r="AA55" s="28" t="s">
        <v>2</v>
      </c>
      <c r="AB55" s="28" t="s">
        <v>2</v>
      </c>
      <c r="AC55" s="27"/>
      <c r="AD55" s="27"/>
      <c r="AE55" s="27"/>
      <c r="AF55" s="27"/>
      <c r="AH55" s="12">
        <f t="shared" si="7"/>
        <v>0</v>
      </c>
      <c r="AI55" s="12">
        <f t="shared" si="8"/>
        <v>0</v>
      </c>
    </row>
    <row r="56" spans="1:35" ht="20.100000000000001" customHeight="1">
      <c r="A56" s="15" t="str">
        <f>ÖSSZES!$A$7</f>
        <v>Katonka Tibor</v>
      </c>
      <c r="B56" s="27"/>
      <c r="C56" s="28" t="s">
        <v>2</v>
      </c>
      <c r="D56" s="28" t="s">
        <v>2</v>
      </c>
      <c r="E56" s="27"/>
      <c r="F56" s="27"/>
      <c r="G56" s="27"/>
      <c r="H56" s="27"/>
      <c r="I56" s="27"/>
      <c r="J56" s="27"/>
      <c r="K56" s="28" t="s">
        <v>2</v>
      </c>
      <c r="L56" s="28" t="s">
        <v>2</v>
      </c>
      <c r="M56" s="27"/>
      <c r="N56" s="27"/>
      <c r="O56" s="27"/>
      <c r="P56" s="27"/>
      <c r="Q56" s="27"/>
      <c r="R56" s="27"/>
      <c r="S56" s="28" t="s">
        <v>2</v>
      </c>
      <c r="T56" s="28" t="s">
        <v>2</v>
      </c>
      <c r="U56" s="27"/>
      <c r="V56" s="27"/>
      <c r="W56" s="27"/>
      <c r="X56" s="27"/>
      <c r="Y56" s="27"/>
      <c r="Z56" s="27"/>
      <c r="AA56" s="28" t="s">
        <v>2</v>
      </c>
      <c r="AB56" s="28" t="s">
        <v>2</v>
      </c>
      <c r="AC56" s="27"/>
      <c r="AD56" s="27"/>
      <c r="AE56" s="27"/>
      <c r="AF56" s="27"/>
      <c r="AH56" s="12">
        <f t="shared" si="7"/>
        <v>0</v>
      </c>
      <c r="AI56" s="12">
        <f t="shared" si="8"/>
        <v>0</v>
      </c>
    </row>
    <row r="57" spans="1:35" ht="20.100000000000001" customHeight="1">
      <c r="A57" s="15" t="str">
        <f>ÖSSZES!$A$8</f>
        <v>Mizsák Péter</v>
      </c>
      <c r="B57" s="27"/>
      <c r="C57" s="28" t="s">
        <v>2</v>
      </c>
      <c r="D57" s="28" t="s">
        <v>2</v>
      </c>
      <c r="E57" s="27"/>
      <c r="F57" s="27"/>
      <c r="G57" s="27"/>
      <c r="H57" s="27"/>
      <c r="I57" s="27"/>
      <c r="J57" s="27"/>
      <c r="K57" s="28" t="s">
        <v>2</v>
      </c>
      <c r="L57" s="28" t="s">
        <v>2</v>
      </c>
      <c r="M57" s="27"/>
      <c r="N57" s="27"/>
      <c r="O57" s="27"/>
      <c r="P57" s="27"/>
      <c r="Q57" s="27"/>
      <c r="R57" s="27"/>
      <c r="S57" s="28" t="s">
        <v>2</v>
      </c>
      <c r="T57" s="28" t="s">
        <v>2</v>
      </c>
      <c r="U57" s="27"/>
      <c r="V57" s="27"/>
      <c r="W57" s="27"/>
      <c r="X57" s="27"/>
      <c r="Y57" s="27"/>
      <c r="Z57" s="27"/>
      <c r="AA57" s="28" t="s">
        <v>2</v>
      </c>
      <c r="AB57" s="28" t="s">
        <v>2</v>
      </c>
      <c r="AC57" s="27"/>
      <c r="AD57" s="27"/>
      <c r="AE57" s="27"/>
      <c r="AF57" s="27"/>
      <c r="AH57" s="12">
        <f t="shared" si="7"/>
        <v>0</v>
      </c>
      <c r="AI57" s="12">
        <f t="shared" si="8"/>
        <v>0</v>
      </c>
    </row>
    <row r="58" spans="1:35" ht="20.100000000000001" customHeight="1">
      <c r="A58" s="15" t="str">
        <f>ÖSSZES!$A$9</f>
        <v>Vatamány Gergő</v>
      </c>
      <c r="B58" s="27"/>
      <c r="C58" s="28" t="s">
        <v>2</v>
      </c>
      <c r="D58" s="28" t="s">
        <v>2</v>
      </c>
      <c r="E58" s="27"/>
      <c r="F58" s="27"/>
      <c r="G58" s="27"/>
      <c r="H58" s="27"/>
      <c r="I58" s="27"/>
      <c r="J58" s="27"/>
      <c r="K58" s="28" t="s">
        <v>2</v>
      </c>
      <c r="L58" s="28" t="s">
        <v>2</v>
      </c>
      <c r="M58" s="27"/>
      <c r="N58" s="27"/>
      <c r="O58" s="27"/>
      <c r="P58" s="27"/>
      <c r="Q58" s="27"/>
      <c r="R58" s="27"/>
      <c r="S58" s="28" t="s">
        <v>2</v>
      </c>
      <c r="T58" s="28" t="s">
        <v>2</v>
      </c>
      <c r="U58" s="27"/>
      <c r="V58" s="27"/>
      <c r="W58" s="27"/>
      <c r="X58" s="27"/>
      <c r="Y58" s="27"/>
      <c r="Z58" s="27"/>
      <c r="AA58" s="28" t="s">
        <v>2</v>
      </c>
      <c r="AB58" s="28" t="s">
        <v>2</v>
      </c>
      <c r="AC58" s="27"/>
      <c r="AD58" s="27"/>
      <c r="AE58" s="27"/>
      <c r="AF58" s="27"/>
      <c r="AH58" s="12">
        <f t="shared" si="7"/>
        <v>0</v>
      </c>
      <c r="AI58" s="12">
        <f t="shared" si="8"/>
        <v>0</v>
      </c>
    </row>
    <row r="59" spans="1:35" ht="20.100000000000001" hidden="1" customHeight="1">
      <c r="A59" s="15" t="str">
        <f>ÖSSZES!$A$10</f>
        <v>Név8</v>
      </c>
      <c r="B59" s="27"/>
      <c r="C59" s="28" t="s">
        <v>2</v>
      </c>
      <c r="D59" s="28" t="s">
        <v>2</v>
      </c>
      <c r="E59" s="27"/>
      <c r="F59" s="27"/>
      <c r="G59" s="27"/>
      <c r="H59" s="27"/>
      <c r="I59" s="27"/>
      <c r="J59" s="27"/>
      <c r="K59" s="28" t="s">
        <v>2</v>
      </c>
      <c r="L59" s="28" t="s">
        <v>2</v>
      </c>
      <c r="M59" s="27"/>
      <c r="N59" s="27"/>
      <c r="O59" s="27"/>
      <c r="P59" s="27"/>
      <c r="Q59" s="27"/>
      <c r="R59" s="27"/>
      <c r="S59" s="28" t="s">
        <v>2</v>
      </c>
      <c r="T59" s="28" t="s">
        <v>2</v>
      </c>
      <c r="U59" s="27"/>
      <c r="V59" s="27"/>
      <c r="W59" s="27"/>
      <c r="X59" s="27"/>
      <c r="Y59" s="27"/>
      <c r="Z59" s="27"/>
      <c r="AA59" s="28" t="s">
        <v>2</v>
      </c>
      <c r="AB59" s="28" t="s">
        <v>2</v>
      </c>
      <c r="AC59" s="27"/>
      <c r="AD59" s="27"/>
      <c r="AE59" s="27"/>
      <c r="AF59" s="27"/>
      <c r="AH59" s="12">
        <f t="shared" si="7"/>
        <v>0</v>
      </c>
      <c r="AI59" s="12">
        <f t="shared" si="8"/>
        <v>0</v>
      </c>
    </row>
    <row r="60" spans="1:35" ht="20.100000000000001" hidden="1" customHeight="1">
      <c r="A60" s="15" t="str">
        <f>ÖSSZES!$A$11</f>
        <v>Név9</v>
      </c>
      <c r="B60" s="27"/>
      <c r="C60" s="28" t="s">
        <v>2</v>
      </c>
      <c r="D60" s="28" t="s">
        <v>2</v>
      </c>
      <c r="E60" s="27"/>
      <c r="F60" s="27"/>
      <c r="G60" s="27"/>
      <c r="H60" s="27"/>
      <c r="I60" s="27"/>
      <c r="J60" s="27"/>
      <c r="K60" s="28" t="s">
        <v>2</v>
      </c>
      <c r="L60" s="28" t="s">
        <v>2</v>
      </c>
      <c r="M60" s="27"/>
      <c r="N60" s="27"/>
      <c r="O60" s="27"/>
      <c r="P60" s="27"/>
      <c r="Q60" s="27"/>
      <c r="R60" s="27"/>
      <c r="S60" s="28" t="s">
        <v>2</v>
      </c>
      <c r="T60" s="28" t="s">
        <v>2</v>
      </c>
      <c r="U60" s="27"/>
      <c r="V60" s="27"/>
      <c r="W60" s="27"/>
      <c r="X60" s="27"/>
      <c r="Y60" s="27"/>
      <c r="Z60" s="27"/>
      <c r="AA60" s="28" t="s">
        <v>2</v>
      </c>
      <c r="AB60" s="28" t="s">
        <v>2</v>
      </c>
      <c r="AC60" s="27"/>
      <c r="AD60" s="27"/>
      <c r="AE60" s="27"/>
      <c r="AF60" s="27"/>
      <c r="AH60" s="12">
        <f t="shared" si="7"/>
        <v>0</v>
      </c>
      <c r="AI60" s="12">
        <f t="shared" si="8"/>
        <v>0</v>
      </c>
    </row>
    <row r="61" spans="1:35" ht="20.100000000000001" hidden="1" customHeight="1">
      <c r="A61" s="15" t="str">
        <f>ÖSSZES!$A$12</f>
        <v>Név10</v>
      </c>
      <c r="B61" s="27"/>
      <c r="C61" s="28" t="s">
        <v>2</v>
      </c>
      <c r="D61" s="28" t="s">
        <v>2</v>
      </c>
      <c r="E61" s="27"/>
      <c r="F61" s="27"/>
      <c r="G61" s="27"/>
      <c r="H61" s="27"/>
      <c r="I61" s="27"/>
      <c r="J61" s="27"/>
      <c r="K61" s="28" t="s">
        <v>2</v>
      </c>
      <c r="L61" s="28" t="s">
        <v>2</v>
      </c>
      <c r="M61" s="27"/>
      <c r="N61" s="27"/>
      <c r="O61" s="27"/>
      <c r="P61" s="27"/>
      <c r="Q61" s="27"/>
      <c r="R61" s="27"/>
      <c r="S61" s="28" t="s">
        <v>2</v>
      </c>
      <c r="T61" s="28" t="s">
        <v>2</v>
      </c>
      <c r="U61" s="27"/>
      <c r="V61" s="27"/>
      <c r="W61" s="27"/>
      <c r="X61" s="27"/>
      <c r="Y61" s="27"/>
      <c r="Z61" s="27"/>
      <c r="AA61" s="28" t="s">
        <v>2</v>
      </c>
      <c r="AB61" s="28" t="s">
        <v>2</v>
      </c>
      <c r="AC61" s="27"/>
      <c r="AD61" s="27"/>
      <c r="AE61" s="27"/>
      <c r="AF61" s="27"/>
      <c r="AH61" s="12">
        <f t="shared" si="7"/>
        <v>0</v>
      </c>
      <c r="AI61" s="12">
        <f t="shared" si="8"/>
        <v>0</v>
      </c>
    </row>
    <row r="62" spans="1:35" ht="20.100000000000001" hidden="1" customHeight="1">
      <c r="A62" s="15" t="str">
        <f>ÖSSZES!$A$13</f>
        <v>Név11</v>
      </c>
      <c r="B62" s="27"/>
      <c r="C62" s="28" t="s">
        <v>2</v>
      </c>
      <c r="D62" s="28" t="s">
        <v>2</v>
      </c>
      <c r="E62" s="27"/>
      <c r="F62" s="27"/>
      <c r="G62" s="27"/>
      <c r="H62" s="27"/>
      <c r="I62" s="27"/>
      <c r="J62" s="27"/>
      <c r="K62" s="28" t="s">
        <v>2</v>
      </c>
      <c r="L62" s="28" t="s">
        <v>2</v>
      </c>
      <c r="M62" s="27"/>
      <c r="N62" s="27"/>
      <c r="O62" s="27"/>
      <c r="P62" s="27"/>
      <c r="Q62" s="27"/>
      <c r="R62" s="27"/>
      <c r="S62" s="28" t="s">
        <v>2</v>
      </c>
      <c r="T62" s="28" t="s">
        <v>2</v>
      </c>
      <c r="U62" s="27"/>
      <c r="V62" s="27"/>
      <c r="W62" s="27"/>
      <c r="X62" s="27"/>
      <c r="Y62" s="27"/>
      <c r="Z62" s="27"/>
      <c r="AA62" s="28" t="s">
        <v>2</v>
      </c>
      <c r="AB62" s="28" t="s">
        <v>2</v>
      </c>
      <c r="AC62" s="27"/>
      <c r="AD62" s="27"/>
      <c r="AE62" s="27"/>
      <c r="AF62" s="27"/>
      <c r="AH62" s="12">
        <f t="shared" si="7"/>
        <v>0</v>
      </c>
      <c r="AI62" s="12">
        <f t="shared" si="8"/>
        <v>0</v>
      </c>
    </row>
    <row r="63" spans="1:35" ht="20.100000000000001" hidden="1" customHeight="1">
      <c r="A63" s="15" t="str">
        <f>ÖSSZES!$A$14</f>
        <v>Név12</v>
      </c>
      <c r="B63" s="27"/>
      <c r="C63" s="28" t="s">
        <v>2</v>
      </c>
      <c r="D63" s="28" t="s">
        <v>2</v>
      </c>
      <c r="E63" s="27"/>
      <c r="F63" s="27"/>
      <c r="G63" s="27"/>
      <c r="H63" s="27"/>
      <c r="I63" s="27"/>
      <c r="J63" s="27"/>
      <c r="K63" s="28" t="s">
        <v>2</v>
      </c>
      <c r="L63" s="28" t="s">
        <v>2</v>
      </c>
      <c r="M63" s="27"/>
      <c r="N63" s="27"/>
      <c r="O63" s="27"/>
      <c r="P63" s="27"/>
      <c r="Q63" s="27"/>
      <c r="R63" s="27"/>
      <c r="S63" s="28" t="s">
        <v>2</v>
      </c>
      <c r="T63" s="28" t="s">
        <v>2</v>
      </c>
      <c r="U63" s="27"/>
      <c r="V63" s="27"/>
      <c r="W63" s="27"/>
      <c r="X63" s="27"/>
      <c r="Y63" s="27"/>
      <c r="Z63" s="27"/>
      <c r="AA63" s="28" t="s">
        <v>2</v>
      </c>
      <c r="AB63" s="28" t="s">
        <v>2</v>
      </c>
      <c r="AC63" s="27"/>
      <c r="AD63" s="27"/>
      <c r="AE63" s="27"/>
      <c r="AF63" s="27"/>
      <c r="AH63" s="12">
        <f t="shared" si="7"/>
        <v>0</v>
      </c>
      <c r="AI63" s="12">
        <f t="shared" si="8"/>
        <v>0</v>
      </c>
    </row>
    <row r="64" spans="1:35" ht="20.100000000000001" hidden="1" customHeight="1">
      <c r="A64" s="15" t="str">
        <f>ÖSSZES!$A$15</f>
        <v>Név13</v>
      </c>
      <c r="B64" s="27"/>
      <c r="C64" s="28" t="s">
        <v>2</v>
      </c>
      <c r="D64" s="28" t="s">
        <v>2</v>
      </c>
      <c r="E64" s="27"/>
      <c r="F64" s="27"/>
      <c r="G64" s="27"/>
      <c r="H64" s="27"/>
      <c r="I64" s="27"/>
      <c r="J64" s="27"/>
      <c r="K64" s="28" t="s">
        <v>2</v>
      </c>
      <c r="L64" s="28" t="s">
        <v>2</v>
      </c>
      <c r="M64" s="27"/>
      <c r="N64" s="27"/>
      <c r="O64" s="27"/>
      <c r="P64" s="27"/>
      <c r="Q64" s="27"/>
      <c r="R64" s="27"/>
      <c r="S64" s="28" t="s">
        <v>2</v>
      </c>
      <c r="T64" s="28" t="s">
        <v>2</v>
      </c>
      <c r="U64" s="27"/>
      <c r="V64" s="27"/>
      <c r="W64" s="27"/>
      <c r="X64" s="27"/>
      <c r="Y64" s="27"/>
      <c r="Z64" s="27"/>
      <c r="AA64" s="28" t="s">
        <v>2</v>
      </c>
      <c r="AB64" s="28" t="s">
        <v>2</v>
      </c>
      <c r="AC64" s="27"/>
      <c r="AD64" s="27"/>
      <c r="AE64" s="27"/>
      <c r="AF64" s="27"/>
      <c r="AH64" s="12">
        <f t="shared" si="7"/>
        <v>0</v>
      </c>
      <c r="AI64" s="12">
        <f t="shared" si="8"/>
        <v>0</v>
      </c>
    </row>
    <row r="65" spans="1:35" ht="20.100000000000001" hidden="1" customHeight="1">
      <c r="A65" s="15" t="str">
        <f>ÖSSZES!$A$16</f>
        <v>Név14</v>
      </c>
      <c r="B65" s="27"/>
      <c r="C65" s="28" t="s">
        <v>2</v>
      </c>
      <c r="D65" s="28" t="s">
        <v>2</v>
      </c>
      <c r="E65" s="27"/>
      <c r="F65" s="27"/>
      <c r="G65" s="27"/>
      <c r="H65" s="27"/>
      <c r="I65" s="27"/>
      <c r="J65" s="27"/>
      <c r="K65" s="28" t="s">
        <v>2</v>
      </c>
      <c r="L65" s="28" t="s">
        <v>2</v>
      </c>
      <c r="M65" s="27"/>
      <c r="N65" s="27"/>
      <c r="O65" s="27"/>
      <c r="P65" s="27"/>
      <c r="Q65" s="27"/>
      <c r="R65" s="27"/>
      <c r="S65" s="28" t="s">
        <v>2</v>
      </c>
      <c r="T65" s="28" t="s">
        <v>2</v>
      </c>
      <c r="U65" s="27"/>
      <c r="V65" s="27"/>
      <c r="W65" s="27"/>
      <c r="X65" s="27"/>
      <c r="Y65" s="27"/>
      <c r="Z65" s="27"/>
      <c r="AA65" s="28" t="s">
        <v>2</v>
      </c>
      <c r="AB65" s="28" t="s">
        <v>2</v>
      </c>
      <c r="AC65" s="27"/>
      <c r="AD65" s="27"/>
      <c r="AE65" s="27"/>
      <c r="AF65" s="27"/>
      <c r="AH65" s="12">
        <f t="shared" si="7"/>
        <v>0</v>
      </c>
      <c r="AI65" s="12">
        <f t="shared" si="8"/>
        <v>0</v>
      </c>
    </row>
    <row r="66" spans="1:35" ht="20.100000000000001" hidden="1" customHeight="1">
      <c r="A66" s="15" t="str">
        <f>ÖSSZES!$A$17</f>
        <v>Név15</v>
      </c>
      <c r="B66" s="27"/>
      <c r="C66" s="28" t="s">
        <v>2</v>
      </c>
      <c r="D66" s="28" t="s">
        <v>2</v>
      </c>
      <c r="E66" s="27"/>
      <c r="F66" s="27"/>
      <c r="G66" s="27"/>
      <c r="H66" s="27"/>
      <c r="I66" s="27"/>
      <c r="J66" s="27"/>
      <c r="K66" s="28" t="s">
        <v>2</v>
      </c>
      <c r="L66" s="28" t="s">
        <v>2</v>
      </c>
      <c r="M66" s="27"/>
      <c r="N66" s="27"/>
      <c r="O66" s="27"/>
      <c r="P66" s="27"/>
      <c r="Q66" s="27"/>
      <c r="R66" s="27"/>
      <c r="S66" s="28" t="s">
        <v>2</v>
      </c>
      <c r="T66" s="28" t="s">
        <v>2</v>
      </c>
      <c r="U66" s="27"/>
      <c r="V66" s="27"/>
      <c r="W66" s="27"/>
      <c r="X66" s="27"/>
      <c r="Y66" s="27"/>
      <c r="Z66" s="27"/>
      <c r="AA66" s="28" t="s">
        <v>2</v>
      </c>
      <c r="AB66" s="28" t="s">
        <v>2</v>
      </c>
      <c r="AC66" s="27"/>
      <c r="AD66" s="27"/>
      <c r="AE66" s="27"/>
      <c r="AF66" s="27"/>
      <c r="AH66" s="12">
        <f t="shared" si="7"/>
        <v>0</v>
      </c>
      <c r="AI66" s="12">
        <f t="shared" si="8"/>
        <v>0</v>
      </c>
    </row>
    <row r="67" spans="1:35" ht="20.100000000000001" hidden="1" customHeight="1">
      <c r="A67" s="15" t="str">
        <f>ÖSSZES!$A$18</f>
        <v>Név16</v>
      </c>
      <c r="B67" s="27"/>
      <c r="C67" s="28" t="s">
        <v>2</v>
      </c>
      <c r="D67" s="28" t="s">
        <v>2</v>
      </c>
      <c r="E67" s="27"/>
      <c r="F67" s="27"/>
      <c r="G67" s="27"/>
      <c r="H67" s="27"/>
      <c r="I67" s="27"/>
      <c r="J67" s="27"/>
      <c r="K67" s="28" t="s">
        <v>2</v>
      </c>
      <c r="L67" s="28" t="s">
        <v>2</v>
      </c>
      <c r="M67" s="27"/>
      <c r="N67" s="27"/>
      <c r="O67" s="27"/>
      <c r="P67" s="27"/>
      <c r="Q67" s="27"/>
      <c r="R67" s="27"/>
      <c r="S67" s="28" t="s">
        <v>2</v>
      </c>
      <c r="T67" s="28" t="s">
        <v>2</v>
      </c>
      <c r="U67" s="27"/>
      <c r="V67" s="27"/>
      <c r="W67" s="27"/>
      <c r="X67" s="27"/>
      <c r="Y67" s="27"/>
      <c r="Z67" s="27"/>
      <c r="AA67" s="28" t="s">
        <v>2</v>
      </c>
      <c r="AB67" s="28" t="s">
        <v>2</v>
      </c>
      <c r="AC67" s="27"/>
      <c r="AD67" s="27"/>
      <c r="AE67" s="27"/>
      <c r="AF67" s="27"/>
      <c r="AH67" s="12">
        <f t="shared" si="7"/>
        <v>0</v>
      </c>
      <c r="AI67" s="12">
        <f t="shared" si="8"/>
        <v>0</v>
      </c>
    </row>
    <row r="68" spans="1:35" ht="20.100000000000001" hidden="1" customHeight="1">
      <c r="A68" s="15" t="str">
        <f>ÖSSZES!$A$19</f>
        <v>Név17</v>
      </c>
      <c r="B68" s="27"/>
      <c r="C68" s="28" t="s">
        <v>2</v>
      </c>
      <c r="D68" s="28" t="s">
        <v>2</v>
      </c>
      <c r="E68" s="27"/>
      <c r="F68" s="27"/>
      <c r="G68" s="27"/>
      <c r="H68" s="27"/>
      <c r="I68" s="27"/>
      <c r="J68" s="27"/>
      <c r="K68" s="28" t="s">
        <v>2</v>
      </c>
      <c r="L68" s="28" t="s">
        <v>2</v>
      </c>
      <c r="M68" s="27"/>
      <c r="N68" s="27"/>
      <c r="O68" s="27"/>
      <c r="P68" s="27"/>
      <c r="Q68" s="27"/>
      <c r="R68" s="27"/>
      <c r="S68" s="28" t="s">
        <v>2</v>
      </c>
      <c r="T68" s="28" t="s">
        <v>2</v>
      </c>
      <c r="U68" s="27"/>
      <c r="V68" s="27"/>
      <c r="W68" s="27"/>
      <c r="X68" s="27"/>
      <c r="Y68" s="27"/>
      <c r="Z68" s="27"/>
      <c r="AA68" s="28" t="s">
        <v>2</v>
      </c>
      <c r="AB68" s="28" t="s">
        <v>2</v>
      </c>
      <c r="AC68" s="27"/>
      <c r="AD68" s="27"/>
      <c r="AE68" s="27"/>
      <c r="AF68" s="27"/>
      <c r="AH68" s="12">
        <f t="shared" si="7"/>
        <v>0</v>
      </c>
      <c r="AI68" s="12">
        <f t="shared" si="8"/>
        <v>0</v>
      </c>
    </row>
    <row r="69" spans="1:35" ht="20.100000000000001" hidden="1" customHeight="1">
      <c r="A69" s="15" t="str">
        <f>ÖSSZES!$A$20</f>
        <v>Név18</v>
      </c>
      <c r="B69" s="27"/>
      <c r="C69" s="28" t="s">
        <v>2</v>
      </c>
      <c r="D69" s="28" t="s">
        <v>2</v>
      </c>
      <c r="E69" s="27"/>
      <c r="F69" s="27"/>
      <c r="G69" s="27"/>
      <c r="H69" s="27"/>
      <c r="I69" s="27"/>
      <c r="J69" s="27"/>
      <c r="K69" s="28" t="s">
        <v>2</v>
      </c>
      <c r="L69" s="28" t="s">
        <v>2</v>
      </c>
      <c r="M69" s="27"/>
      <c r="N69" s="27"/>
      <c r="O69" s="27"/>
      <c r="P69" s="27"/>
      <c r="Q69" s="27"/>
      <c r="R69" s="27"/>
      <c r="S69" s="28" t="s">
        <v>2</v>
      </c>
      <c r="T69" s="28" t="s">
        <v>2</v>
      </c>
      <c r="U69" s="27"/>
      <c r="V69" s="27"/>
      <c r="W69" s="27"/>
      <c r="X69" s="27"/>
      <c r="Y69" s="27"/>
      <c r="Z69" s="27"/>
      <c r="AA69" s="28" t="s">
        <v>2</v>
      </c>
      <c r="AB69" s="28" t="s">
        <v>2</v>
      </c>
      <c r="AC69" s="27"/>
      <c r="AD69" s="27"/>
      <c r="AE69" s="27"/>
      <c r="AF69" s="27"/>
      <c r="AH69" s="12">
        <f t="shared" si="7"/>
        <v>0</v>
      </c>
      <c r="AI69" s="12">
        <f t="shared" si="8"/>
        <v>0</v>
      </c>
    </row>
    <row r="70" spans="1:35" ht="20.100000000000001" hidden="1" customHeight="1">
      <c r="A70" s="15" t="str">
        <f>ÖSSZES!$A$21</f>
        <v>Név19</v>
      </c>
      <c r="B70" s="27"/>
      <c r="C70" s="28" t="s">
        <v>2</v>
      </c>
      <c r="D70" s="28" t="s">
        <v>2</v>
      </c>
      <c r="E70" s="27"/>
      <c r="F70" s="27"/>
      <c r="G70" s="27"/>
      <c r="H70" s="27"/>
      <c r="I70" s="27"/>
      <c r="J70" s="27"/>
      <c r="K70" s="28" t="s">
        <v>2</v>
      </c>
      <c r="L70" s="28" t="s">
        <v>2</v>
      </c>
      <c r="M70" s="27"/>
      <c r="N70" s="27"/>
      <c r="O70" s="27"/>
      <c r="P70" s="27"/>
      <c r="Q70" s="27"/>
      <c r="R70" s="27"/>
      <c r="S70" s="28" t="s">
        <v>2</v>
      </c>
      <c r="T70" s="28" t="s">
        <v>2</v>
      </c>
      <c r="U70" s="27"/>
      <c r="V70" s="27"/>
      <c r="W70" s="27"/>
      <c r="X70" s="27"/>
      <c r="Y70" s="27"/>
      <c r="Z70" s="27"/>
      <c r="AA70" s="28" t="s">
        <v>2</v>
      </c>
      <c r="AB70" s="28" t="s">
        <v>2</v>
      </c>
      <c r="AC70" s="27"/>
      <c r="AD70" s="27"/>
      <c r="AE70" s="27"/>
      <c r="AF70" s="27"/>
      <c r="AH70" s="12">
        <f t="shared" si="7"/>
        <v>0</v>
      </c>
      <c r="AI70" s="12">
        <f t="shared" si="8"/>
        <v>0</v>
      </c>
    </row>
    <row r="71" spans="1:35" ht="20.100000000000001" hidden="1" customHeight="1">
      <c r="A71" s="15" t="str">
        <f>ÖSSZES!$A$17</f>
        <v>Név15</v>
      </c>
      <c r="B71" s="27"/>
      <c r="C71" s="28" t="s">
        <v>2</v>
      </c>
      <c r="D71" s="28" t="s">
        <v>2</v>
      </c>
      <c r="E71" s="27"/>
      <c r="F71" s="27"/>
      <c r="G71" s="27"/>
      <c r="H71" s="27"/>
      <c r="I71" s="27"/>
      <c r="J71" s="27"/>
      <c r="K71" s="28" t="s">
        <v>2</v>
      </c>
      <c r="L71" s="28" t="s">
        <v>2</v>
      </c>
      <c r="M71" s="27"/>
      <c r="N71" s="27"/>
      <c r="O71" s="27"/>
      <c r="P71" s="27"/>
      <c r="Q71" s="27"/>
      <c r="R71" s="27"/>
      <c r="S71" s="28" t="s">
        <v>2</v>
      </c>
      <c r="T71" s="28" t="s">
        <v>2</v>
      </c>
      <c r="U71" s="27"/>
      <c r="V71" s="27"/>
      <c r="W71" s="27"/>
      <c r="X71" s="27"/>
      <c r="Y71" s="27"/>
      <c r="Z71" s="27"/>
      <c r="AA71" s="28" t="s">
        <v>2</v>
      </c>
      <c r="AB71" s="28" t="s">
        <v>2</v>
      </c>
      <c r="AC71" s="27"/>
      <c r="AD71" s="27"/>
      <c r="AE71" s="27"/>
      <c r="AF71" s="27"/>
      <c r="AH71" s="12">
        <f t="shared" si="7"/>
        <v>0</v>
      </c>
      <c r="AI71" s="12">
        <f t="shared" si="8"/>
        <v>0</v>
      </c>
    </row>
    <row r="72" spans="1:35" ht="20.100000000000001" customHeight="1"/>
    <row r="73" spans="1:35" s="21" customFormat="1" ht="20.100000000000001" customHeight="1">
      <c r="A73" s="43" t="s">
        <v>17</v>
      </c>
      <c r="B73" s="20">
        <v>1</v>
      </c>
      <c r="C73" s="20">
        <v>2</v>
      </c>
      <c r="D73" s="20">
        <v>3</v>
      </c>
      <c r="E73" s="20">
        <v>4</v>
      </c>
      <c r="F73" s="20">
        <v>5</v>
      </c>
      <c r="G73" s="20">
        <v>6</v>
      </c>
      <c r="H73" s="20">
        <v>7</v>
      </c>
      <c r="I73" s="20">
        <v>8</v>
      </c>
      <c r="J73" s="20">
        <v>9</v>
      </c>
      <c r="K73" s="20">
        <v>10</v>
      </c>
      <c r="L73" s="20">
        <v>11</v>
      </c>
      <c r="M73" s="20">
        <v>12</v>
      </c>
      <c r="N73" s="20">
        <v>13</v>
      </c>
      <c r="O73" s="20">
        <v>14</v>
      </c>
      <c r="P73" s="20">
        <v>15</v>
      </c>
      <c r="Q73" s="20">
        <v>16</v>
      </c>
      <c r="R73" s="20">
        <v>17</v>
      </c>
      <c r="S73" s="20">
        <v>18</v>
      </c>
      <c r="T73" s="20">
        <v>19</v>
      </c>
      <c r="U73" s="20">
        <v>20</v>
      </c>
      <c r="V73" s="20">
        <v>21</v>
      </c>
      <c r="W73" s="20">
        <v>22</v>
      </c>
      <c r="X73" s="20">
        <v>23</v>
      </c>
      <c r="Y73" s="20">
        <v>24</v>
      </c>
      <c r="Z73" s="20">
        <v>25</v>
      </c>
      <c r="AA73" s="20">
        <v>26</v>
      </c>
      <c r="AB73" s="20">
        <v>27</v>
      </c>
      <c r="AC73" s="20">
        <v>28</v>
      </c>
      <c r="AD73" s="20">
        <v>29</v>
      </c>
      <c r="AE73" s="20">
        <v>30</v>
      </c>
      <c r="AH73" s="43" t="s">
        <v>18</v>
      </c>
      <c r="AI73" s="43" t="s">
        <v>19</v>
      </c>
    </row>
    <row r="74" spans="1:35" ht="20.100000000000001" customHeight="1">
      <c r="A74" s="44"/>
      <c r="B74" s="22" t="str">
        <f>'2021'!B28</f>
        <v>Cs</v>
      </c>
      <c r="C74" s="22" t="str">
        <f>'2021'!C28</f>
        <v>P</v>
      </c>
      <c r="D74" s="22" t="str">
        <f>'2021'!D28</f>
        <v>Szo</v>
      </c>
      <c r="E74" s="22" t="str">
        <f>'2021'!E28</f>
        <v>V</v>
      </c>
      <c r="F74" s="22" t="str">
        <f>'2021'!F28</f>
        <v>H</v>
      </c>
      <c r="G74" s="22" t="str">
        <f>'2021'!G28</f>
        <v>K</v>
      </c>
      <c r="H74" s="22" t="str">
        <f>'2021'!H28</f>
        <v>Sze</v>
      </c>
      <c r="I74" s="22" t="str">
        <f>'2021'!I28</f>
        <v>Cs</v>
      </c>
      <c r="J74" s="22" t="str">
        <f>'2021'!J28</f>
        <v>P</v>
      </c>
      <c r="K74" s="22" t="str">
        <f>'2021'!K28</f>
        <v>Szo</v>
      </c>
      <c r="L74" s="22" t="str">
        <f>'2021'!L28</f>
        <v>V</v>
      </c>
      <c r="M74" s="22" t="str">
        <f>'2021'!M28</f>
        <v>H</v>
      </c>
      <c r="N74" s="22" t="str">
        <f>'2021'!N28</f>
        <v>K</v>
      </c>
      <c r="O74" s="22" t="str">
        <f>'2021'!O28</f>
        <v>Sze</v>
      </c>
      <c r="P74" s="22" t="str">
        <f>'2021'!P28</f>
        <v>Cs</v>
      </c>
      <c r="Q74" s="22" t="str">
        <f>'2021'!Q28</f>
        <v>P</v>
      </c>
      <c r="R74" s="22" t="str">
        <f>'2021'!R28</f>
        <v>Szo</v>
      </c>
      <c r="S74" s="22" t="str">
        <f>'2021'!S28</f>
        <v>V</v>
      </c>
      <c r="T74" s="22" t="str">
        <f>'2021'!T28</f>
        <v>H</v>
      </c>
      <c r="U74" s="22" t="str">
        <f>'2021'!U28</f>
        <v>K</v>
      </c>
      <c r="V74" s="22" t="str">
        <f>'2021'!V28</f>
        <v>Sze</v>
      </c>
      <c r="W74" s="22" t="str">
        <f>'2021'!W28</f>
        <v>Cs</v>
      </c>
      <c r="X74" s="22" t="str">
        <f>'2021'!X28</f>
        <v>P</v>
      </c>
      <c r="Y74" s="22" t="str">
        <f>'2021'!Y28</f>
        <v>Szo</v>
      </c>
      <c r="Z74" s="22" t="str">
        <f>'2021'!Z28</f>
        <v>V</v>
      </c>
      <c r="AA74" s="22" t="str">
        <f>'2021'!AA28</f>
        <v>H</v>
      </c>
      <c r="AB74" s="22" t="str">
        <f>'2021'!AB28</f>
        <v>K</v>
      </c>
      <c r="AC74" s="22" t="str">
        <f>'2021'!AC28</f>
        <v>Sze</v>
      </c>
      <c r="AD74" s="22" t="str">
        <f>'2021'!AD28</f>
        <v>Cs</v>
      </c>
      <c r="AE74" s="22" t="str">
        <f>'2021'!AE28</f>
        <v>P</v>
      </c>
      <c r="AF74" s="17"/>
      <c r="AH74" s="45"/>
      <c r="AI74" s="45"/>
    </row>
    <row r="75" spans="1:35" ht="20.100000000000001" customHeight="1">
      <c r="A75" s="45"/>
      <c r="B75" s="22">
        <f>'2021'!B29</f>
        <v>3</v>
      </c>
      <c r="C75" s="22">
        <f>'2021'!C29</f>
        <v>3</v>
      </c>
      <c r="D75" s="22" t="str">
        <f>'2021'!D29</f>
        <v>X</v>
      </c>
      <c r="E75" s="22" t="str">
        <f>'2021'!E29</f>
        <v>X</v>
      </c>
      <c r="F75" s="22">
        <f>'2021'!F29</f>
        <v>2</v>
      </c>
      <c r="G75" s="22">
        <f>'2021'!G29</f>
        <v>2</v>
      </c>
      <c r="H75" s="22">
        <f>'2021'!H29</f>
        <v>2</v>
      </c>
      <c r="I75" s="22">
        <f>'2021'!I29</f>
        <v>2</v>
      </c>
      <c r="J75" s="22">
        <f>'2021'!J29</f>
        <v>2</v>
      </c>
      <c r="K75" s="22">
        <f>'2021'!K29</f>
        <v>2</v>
      </c>
      <c r="L75" s="22" t="str">
        <f>'2021'!L29</f>
        <v>X</v>
      </c>
      <c r="M75" s="22" t="str">
        <f>'2021'!M29</f>
        <v>X</v>
      </c>
      <c r="N75" s="22">
        <f>'2021'!N29</f>
        <v>1</v>
      </c>
      <c r="O75" s="22">
        <f>'2021'!O29</f>
        <v>1</v>
      </c>
      <c r="P75" s="22">
        <f>'2021'!P29</f>
        <v>1</v>
      </c>
      <c r="Q75" s="22">
        <f>'2021'!Q29</f>
        <v>1</v>
      </c>
      <c r="R75" s="22">
        <f>'2021'!R29</f>
        <v>1</v>
      </c>
      <c r="S75" s="22">
        <f>'2021'!S29</f>
        <v>1</v>
      </c>
      <c r="T75" s="22" t="str">
        <f>'2021'!T29</f>
        <v>X</v>
      </c>
      <c r="U75" s="22" t="str">
        <f>'2021'!U29</f>
        <v>X</v>
      </c>
      <c r="V75" s="22">
        <f>'2021'!V29</f>
        <v>3</v>
      </c>
      <c r="W75" s="22">
        <f>'2021'!W29</f>
        <v>3</v>
      </c>
      <c r="X75" s="22">
        <f>'2021'!X29</f>
        <v>3</v>
      </c>
      <c r="Y75" s="22">
        <f>'2021'!Y29</f>
        <v>3</v>
      </c>
      <c r="Z75" s="22">
        <f>'2021'!Z29</f>
        <v>3</v>
      </c>
      <c r="AA75" s="22">
        <f>'2021'!AA29</f>
        <v>3</v>
      </c>
      <c r="AB75" s="22" t="str">
        <f>'2021'!AB29</f>
        <v>X</v>
      </c>
      <c r="AC75" s="22" t="str">
        <f>'2021'!AC29</f>
        <v>X</v>
      </c>
      <c r="AD75" s="22">
        <f>'2021'!AD29</f>
        <v>2</v>
      </c>
      <c r="AE75" s="22">
        <f>'2021'!AE29</f>
        <v>2</v>
      </c>
      <c r="AF75" s="17"/>
      <c r="AH75" s="45"/>
      <c r="AI75" s="45"/>
    </row>
    <row r="76" spans="1:35" ht="20.100000000000001" customHeight="1">
      <c r="A76" s="15" t="str">
        <f>ÖSSZES!$A$3</f>
        <v>Csuka Lajos</v>
      </c>
      <c r="B76" s="28"/>
      <c r="C76" s="27"/>
      <c r="D76" s="28" t="s">
        <v>2</v>
      </c>
      <c r="E76" s="28" t="s">
        <v>2</v>
      </c>
      <c r="F76" s="28"/>
      <c r="G76" s="27"/>
      <c r="H76" s="28"/>
      <c r="I76" s="27"/>
      <c r="J76" s="28"/>
      <c r="K76" s="27"/>
      <c r="L76" s="28" t="s">
        <v>2</v>
      </c>
      <c r="M76" s="28" t="s">
        <v>2</v>
      </c>
      <c r="N76" s="28"/>
      <c r="O76" s="27"/>
      <c r="P76" s="28"/>
      <c r="Q76" s="27"/>
      <c r="R76" s="28"/>
      <c r="S76" s="27"/>
      <c r="T76" s="28" t="s">
        <v>2</v>
      </c>
      <c r="U76" s="28" t="s">
        <v>2</v>
      </c>
      <c r="V76" s="28"/>
      <c r="W76" s="27"/>
      <c r="X76" s="28"/>
      <c r="Y76" s="27"/>
      <c r="Z76" s="28"/>
      <c r="AA76" s="27"/>
      <c r="AB76" s="28" t="s">
        <v>2</v>
      </c>
      <c r="AC76" s="28" t="s">
        <v>2</v>
      </c>
      <c r="AD76" s="28"/>
      <c r="AE76" s="27"/>
      <c r="AF76" s="17"/>
      <c r="AH76" s="12">
        <f>1*COUNTIF(A76:AF76,"+")</f>
        <v>0</v>
      </c>
      <c r="AI76" s="12">
        <f t="shared" ref="AI76" si="9">1*COUNTIF(B76:AF76,"szf")</f>
        <v>0</v>
      </c>
    </row>
    <row r="77" spans="1:35" ht="20.100000000000001" customHeight="1">
      <c r="A77" s="15" t="str">
        <f>ÖSSZES!$A$4</f>
        <v>Batiz Attila</v>
      </c>
      <c r="B77" s="28"/>
      <c r="C77" s="27"/>
      <c r="D77" s="28" t="s">
        <v>2</v>
      </c>
      <c r="E77" s="28" t="s">
        <v>2</v>
      </c>
      <c r="F77" s="28"/>
      <c r="G77" s="27"/>
      <c r="H77" s="28"/>
      <c r="I77" s="27"/>
      <c r="J77" s="28"/>
      <c r="K77" s="27"/>
      <c r="L77" s="28" t="s">
        <v>2</v>
      </c>
      <c r="M77" s="28" t="s">
        <v>2</v>
      </c>
      <c r="N77" s="28"/>
      <c r="O77" s="27"/>
      <c r="P77" s="28"/>
      <c r="Q77" s="27"/>
      <c r="R77" s="28"/>
      <c r="S77" s="27"/>
      <c r="T77" s="28" t="s">
        <v>2</v>
      </c>
      <c r="U77" s="28" t="s">
        <v>2</v>
      </c>
      <c r="V77" s="28"/>
      <c r="W77" s="27"/>
      <c r="X77" s="28"/>
      <c r="Y77" s="27"/>
      <c r="Z77" s="28"/>
      <c r="AA77" s="27"/>
      <c r="AB77" s="28" t="s">
        <v>2</v>
      </c>
      <c r="AC77" s="28" t="s">
        <v>2</v>
      </c>
      <c r="AD77" s="28"/>
      <c r="AE77" s="27"/>
      <c r="AF77" s="17"/>
      <c r="AH77" s="12">
        <f t="shared" ref="AH77:AH95" si="10">1*COUNTIF(A77:AF77,"+")</f>
        <v>0</v>
      </c>
      <c r="AI77" s="12">
        <f t="shared" ref="AI77:AI95" si="11">1*COUNTIF(B77:AF77,"szf")</f>
        <v>0</v>
      </c>
    </row>
    <row r="78" spans="1:35" ht="20.100000000000001" customHeight="1">
      <c r="A78" s="15" t="str">
        <f>ÖSSZES!$A$5</f>
        <v>Füredi Antal</v>
      </c>
      <c r="B78" s="28"/>
      <c r="C78" s="27"/>
      <c r="D78" s="28" t="s">
        <v>2</v>
      </c>
      <c r="E78" s="28" t="s">
        <v>2</v>
      </c>
      <c r="F78" s="28"/>
      <c r="G78" s="27"/>
      <c r="H78" s="28"/>
      <c r="I78" s="27"/>
      <c r="J78" s="28"/>
      <c r="K78" s="27"/>
      <c r="L78" s="28" t="s">
        <v>2</v>
      </c>
      <c r="M78" s="28" t="s">
        <v>2</v>
      </c>
      <c r="N78" s="28"/>
      <c r="O78" s="27"/>
      <c r="P78" s="28"/>
      <c r="Q78" s="27"/>
      <c r="R78" s="28"/>
      <c r="S78" s="27"/>
      <c r="T78" s="28" t="s">
        <v>2</v>
      </c>
      <c r="U78" s="28" t="s">
        <v>2</v>
      </c>
      <c r="V78" s="28"/>
      <c r="W78" s="27"/>
      <c r="X78" s="28"/>
      <c r="Y78" s="27"/>
      <c r="Z78" s="28"/>
      <c r="AA78" s="27"/>
      <c r="AB78" s="28" t="s">
        <v>2</v>
      </c>
      <c r="AC78" s="28" t="s">
        <v>2</v>
      </c>
      <c r="AD78" s="28"/>
      <c r="AE78" s="27"/>
      <c r="AF78" s="17"/>
      <c r="AH78" s="12">
        <f t="shared" si="10"/>
        <v>0</v>
      </c>
      <c r="AI78" s="12">
        <f t="shared" si="11"/>
        <v>0</v>
      </c>
    </row>
    <row r="79" spans="1:35" ht="20.100000000000001" customHeight="1">
      <c r="A79" s="15" t="str">
        <f>ÖSSZES!$A$6</f>
        <v>Iványi István</v>
      </c>
      <c r="B79" s="28"/>
      <c r="C79" s="27"/>
      <c r="D79" s="28" t="s">
        <v>2</v>
      </c>
      <c r="E79" s="28" t="s">
        <v>2</v>
      </c>
      <c r="F79" s="28"/>
      <c r="G79" s="27"/>
      <c r="H79" s="28"/>
      <c r="I79" s="27"/>
      <c r="J79" s="28"/>
      <c r="K79" s="27"/>
      <c r="L79" s="28" t="s">
        <v>2</v>
      </c>
      <c r="M79" s="28" t="s">
        <v>2</v>
      </c>
      <c r="N79" s="28"/>
      <c r="O79" s="27"/>
      <c r="P79" s="28"/>
      <c r="Q79" s="27"/>
      <c r="R79" s="28"/>
      <c r="S79" s="27"/>
      <c r="T79" s="28" t="s">
        <v>2</v>
      </c>
      <c r="U79" s="28" t="s">
        <v>2</v>
      </c>
      <c r="V79" s="28"/>
      <c r="W79" s="27"/>
      <c r="X79" s="28"/>
      <c r="Y79" s="27"/>
      <c r="Z79" s="28"/>
      <c r="AA79" s="27"/>
      <c r="AB79" s="28" t="s">
        <v>2</v>
      </c>
      <c r="AC79" s="28" t="s">
        <v>2</v>
      </c>
      <c r="AD79" s="28"/>
      <c r="AE79" s="27"/>
      <c r="AF79" s="17"/>
      <c r="AH79" s="12">
        <f t="shared" si="10"/>
        <v>0</v>
      </c>
      <c r="AI79" s="12">
        <f t="shared" si="11"/>
        <v>0</v>
      </c>
    </row>
    <row r="80" spans="1:35" ht="20.100000000000001" customHeight="1">
      <c r="A80" s="15" t="str">
        <f>ÖSSZES!$A$7</f>
        <v>Katonka Tibor</v>
      </c>
      <c r="B80" s="28"/>
      <c r="C80" s="27"/>
      <c r="D80" s="28" t="s">
        <v>2</v>
      </c>
      <c r="E80" s="28" t="s">
        <v>2</v>
      </c>
      <c r="F80" s="28"/>
      <c r="G80" s="27"/>
      <c r="H80" s="28"/>
      <c r="I80" s="27"/>
      <c r="J80" s="28"/>
      <c r="K80" s="27"/>
      <c r="L80" s="28" t="s">
        <v>2</v>
      </c>
      <c r="M80" s="28" t="s">
        <v>2</v>
      </c>
      <c r="N80" s="28"/>
      <c r="O80" s="27"/>
      <c r="P80" s="28"/>
      <c r="Q80" s="27"/>
      <c r="R80" s="28"/>
      <c r="S80" s="27"/>
      <c r="T80" s="28" t="s">
        <v>2</v>
      </c>
      <c r="U80" s="28" t="s">
        <v>2</v>
      </c>
      <c r="V80" s="28"/>
      <c r="W80" s="27"/>
      <c r="X80" s="28"/>
      <c r="Y80" s="27"/>
      <c r="Z80" s="28"/>
      <c r="AA80" s="27"/>
      <c r="AB80" s="28" t="s">
        <v>2</v>
      </c>
      <c r="AC80" s="28" t="s">
        <v>2</v>
      </c>
      <c r="AD80" s="28"/>
      <c r="AE80" s="27"/>
      <c r="AF80" s="17"/>
      <c r="AH80" s="12">
        <f t="shared" si="10"/>
        <v>0</v>
      </c>
      <c r="AI80" s="12">
        <f t="shared" si="11"/>
        <v>0</v>
      </c>
    </row>
    <row r="81" spans="1:35" ht="20.100000000000001" customHeight="1">
      <c r="A81" s="15" t="str">
        <f>ÖSSZES!$A$8</f>
        <v>Mizsák Péter</v>
      </c>
      <c r="B81" s="28"/>
      <c r="C81" s="27"/>
      <c r="D81" s="28" t="s">
        <v>2</v>
      </c>
      <c r="E81" s="28" t="s">
        <v>2</v>
      </c>
      <c r="F81" s="28"/>
      <c r="G81" s="27"/>
      <c r="H81" s="28"/>
      <c r="I81" s="27"/>
      <c r="J81" s="28"/>
      <c r="K81" s="27"/>
      <c r="L81" s="28" t="s">
        <v>2</v>
      </c>
      <c r="M81" s="28" t="s">
        <v>2</v>
      </c>
      <c r="N81" s="28"/>
      <c r="O81" s="27"/>
      <c r="P81" s="28"/>
      <c r="Q81" s="27"/>
      <c r="R81" s="28"/>
      <c r="S81" s="27"/>
      <c r="T81" s="28" t="s">
        <v>2</v>
      </c>
      <c r="U81" s="28" t="s">
        <v>2</v>
      </c>
      <c r="V81" s="28"/>
      <c r="W81" s="27"/>
      <c r="X81" s="28"/>
      <c r="Y81" s="27"/>
      <c r="Z81" s="28"/>
      <c r="AA81" s="27"/>
      <c r="AB81" s="28" t="s">
        <v>2</v>
      </c>
      <c r="AC81" s="28" t="s">
        <v>2</v>
      </c>
      <c r="AD81" s="28"/>
      <c r="AE81" s="27"/>
      <c r="AF81" s="17"/>
      <c r="AH81" s="12">
        <f t="shared" si="10"/>
        <v>0</v>
      </c>
      <c r="AI81" s="12">
        <f t="shared" si="11"/>
        <v>0</v>
      </c>
    </row>
    <row r="82" spans="1:35" ht="20.100000000000001" customHeight="1">
      <c r="A82" s="15" t="str">
        <f>ÖSSZES!$A$9</f>
        <v>Vatamány Gergő</v>
      </c>
      <c r="B82" s="28"/>
      <c r="C82" s="27"/>
      <c r="D82" s="28" t="s">
        <v>2</v>
      </c>
      <c r="E82" s="28" t="s">
        <v>2</v>
      </c>
      <c r="F82" s="28"/>
      <c r="G82" s="27"/>
      <c r="H82" s="28"/>
      <c r="I82" s="27"/>
      <c r="J82" s="28"/>
      <c r="K82" s="27"/>
      <c r="L82" s="28" t="s">
        <v>2</v>
      </c>
      <c r="M82" s="28" t="s">
        <v>2</v>
      </c>
      <c r="N82" s="28"/>
      <c r="O82" s="27"/>
      <c r="P82" s="28"/>
      <c r="Q82" s="27"/>
      <c r="R82" s="28"/>
      <c r="S82" s="27"/>
      <c r="T82" s="28" t="s">
        <v>2</v>
      </c>
      <c r="U82" s="28" t="s">
        <v>2</v>
      </c>
      <c r="V82" s="28"/>
      <c r="W82" s="27"/>
      <c r="X82" s="28"/>
      <c r="Y82" s="27"/>
      <c r="Z82" s="28"/>
      <c r="AA82" s="27"/>
      <c r="AB82" s="28" t="s">
        <v>2</v>
      </c>
      <c r="AC82" s="28" t="s">
        <v>2</v>
      </c>
      <c r="AD82" s="28"/>
      <c r="AE82" s="27"/>
      <c r="AF82" s="17"/>
      <c r="AH82" s="12">
        <f t="shared" si="10"/>
        <v>0</v>
      </c>
      <c r="AI82" s="12">
        <f t="shared" si="11"/>
        <v>0</v>
      </c>
    </row>
    <row r="83" spans="1:35" ht="20.100000000000001" hidden="1" customHeight="1">
      <c r="A83" s="15" t="str">
        <f>ÖSSZES!$A$10</f>
        <v>Név8</v>
      </c>
      <c r="B83" s="28"/>
      <c r="C83" s="27"/>
      <c r="D83" s="28" t="s">
        <v>2</v>
      </c>
      <c r="E83" s="28" t="s">
        <v>2</v>
      </c>
      <c r="F83" s="28"/>
      <c r="G83" s="27"/>
      <c r="H83" s="28"/>
      <c r="I83" s="27"/>
      <c r="J83" s="28"/>
      <c r="K83" s="27"/>
      <c r="L83" s="28" t="s">
        <v>2</v>
      </c>
      <c r="M83" s="28" t="s">
        <v>2</v>
      </c>
      <c r="N83" s="28"/>
      <c r="O83" s="27"/>
      <c r="P83" s="28"/>
      <c r="Q83" s="27"/>
      <c r="R83" s="28"/>
      <c r="S83" s="27"/>
      <c r="T83" s="28" t="s">
        <v>2</v>
      </c>
      <c r="U83" s="28" t="s">
        <v>2</v>
      </c>
      <c r="V83" s="28"/>
      <c r="W83" s="27"/>
      <c r="X83" s="28"/>
      <c r="Y83" s="27"/>
      <c r="Z83" s="28"/>
      <c r="AA83" s="27"/>
      <c r="AB83" s="28" t="s">
        <v>2</v>
      </c>
      <c r="AC83" s="28" t="s">
        <v>2</v>
      </c>
      <c r="AD83" s="28"/>
      <c r="AE83" s="27"/>
      <c r="AF83" s="17"/>
      <c r="AH83" s="12">
        <f t="shared" si="10"/>
        <v>0</v>
      </c>
      <c r="AI83" s="12">
        <f t="shared" si="11"/>
        <v>0</v>
      </c>
    </row>
    <row r="84" spans="1:35" ht="20.100000000000001" hidden="1" customHeight="1">
      <c r="A84" s="15" t="str">
        <f>ÖSSZES!$A$11</f>
        <v>Név9</v>
      </c>
      <c r="B84" s="28"/>
      <c r="C84" s="27"/>
      <c r="D84" s="28" t="s">
        <v>2</v>
      </c>
      <c r="E84" s="28" t="s">
        <v>2</v>
      </c>
      <c r="F84" s="28"/>
      <c r="G84" s="27"/>
      <c r="H84" s="28"/>
      <c r="I84" s="27"/>
      <c r="J84" s="28"/>
      <c r="K84" s="27"/>
      <c r="L84" s="28" t="s">
        <v>2</v>
      </c>
      <c r="M84" s="28" t="s">
        <v>2</v>
      </c>
      <c r="N84" s="28"/>
      <c r="O84" s="27"/>
      <c r="P84" s="28"/>
      <c r="Q84" s="27"/>
      <c r="R84" s="28"/>
      <c r="S84" s="27"/>
      <c r="T84" s="28" t="s">
        <v>2</v>
      </c>
      <c r="U84" s="28" t="s">
        <v>2</v>
      </c>
      <c r="V84" s="28"/>
      <c r="W84" s="27"/>
      <c r="X84" s="28"/>
      <c r="Y84" s="27"/>
      <c r="Z84" s="28"/>
      <c r="AA84" s="27"/>
      <c r="AB84" s="28" t="s">
        <v>2</v>
      </c>
      <c r="AC84" s="28" t="s">
        <v>2</v>
      </c>
      <c r="AD84" s="28"/>
      <c r="AE84" s="27"/>
      <c r="AF84" s="17"/>
      <c r="AH84" s="12">
        <f t="shared" si="10"/>
        <v>0</v>
      </c>
      <c r="AI84" s="12">
        <f t="shared" si="11"/>
        <v>0</v>
      </c>
    </row>
    <row r="85" spans="1:35" ht="20.100000000000001" hidden="1" customHeight="1">
      <c r="A85" s="15" t="str">
        <f>ÖSSZES!$A$12</f>
        <v>Név10</v>
      </c>
      <c r="B85" s="28"/>
      <c r="C85" s="27"/>
      <c r="D85" s="28" t="s">
        <v>2</v>
      </c>
      <c r="E85" s="28" t="s">
        <v>2</v>
      </c>
      <c r="F85" s="28"/>
      <c r="G85" s="27"/>
      <c r="H85" s="28"/>
      <c r="I85" s="27"/>
      <c r="J85" s="28"/>
      <c r="K85" s="27"/>
      <c r="L85" s="28" t="s">
        <v>2</v>
      </c>
      <c r="M85" s="28" t="s">
        <v>2</v>
      </c>
      <c r="N85" s="28"/>
      <c r="O85" s="27"/>
      <c r="P85" s="28"/>
      <c r="Q85" s="27"/>
      <c r="R85" s="28"/>
      <c r="S85" s="27"/>
      <c r="T85" s="28" t="s">
        <v>2</v>
      </c>
      <c r="U85" s="28" t="s">
        <v>2</v>
      </c>
      <c r="V85" s="28"/>
      <c r="W85" s="27"/>
      <c r="X85" s="28"/>
      <c r="Y85" s="27"/>
      <c r="Z85" s="28"/>
      <c r="AA85" s="27"/>
      <c r="AB85" s="28" t="s">
        <v>2</v>
      </c>
      <c r="AC85" s="28" t="s">
        <v>2</v>
      </c>
      <c r="AD85" s="28"/>
      <c r="AE85" s="27"/>
      <c r="AF85" s="17"/>
      <c r="AH85" s="12">
        <f t="shared" si="10"/>
        <v>0</v>
      </c>
      <c r="AI85" s="12">
        <f t="shared" si="11"/>
        <v>0</v>
      </c>
    </row>
    <row r="86" spans="1:35" ht="20.100000000000001" hidden="1" customHeight="1">
      <c r="A86" s="15" t="str">
        <f>ÖSSZES!$A$13</f>
        <v>Név11</v>
      </c>
      <c r="B86" s="28"/>
      <c r="C86" s="27"/>
      <c r="D86" s="28" t="s">
        <v>2</v>
      </c>
      <c r="E86" s="28" t="s">
        <v>2</v>
      </c>
      <c r="F86" s="28"/>
      <c r="G86" s="27"/>
      <c r="H86" s="28"/>
      <c r="I86" s="27"/>
      <c r="J86" s="28"/>
      <c r="K86" s="27"/>
      <c r="L86" s="28" t="s">
        <v>2</v>
      </c>
      <c r="M86" s="28" t="s">
        <v>2</v>
      </c>
      <c r="N86" s="28"/>
      <c r="O86" s="27"/>
      <c r="P86" s="28"/>
      <c r="Q86" s="27"/>
      <c r="R86" s="28"/>
      <c r="S86" s="27"/>
      <c r="T86" s="28" t="s">
        <v>2</v>
      </c>
      <c r="U86" s="28" t="s">
        <v>2</v>
      </c>
      <c r="V86" s="28"/>
      <c r="W86" s="27"/>
      <c r="X86" s="28"/>
      <c r="Y86" s="27"/>
      <c r="Z86" s="28"/>
      <c r="AA86" s="27"/>
      <c r="AB86" s="28" t="s">
        <v>2</v>
      </c>
      <c r="AC86" s="28" t="s">
        <v>2</v>
      </c>
      <c r="AD86" s="28"/>
      <c r="AE86" s="27"/>
      <c r="AF86" s="17"/>
      <c r="AH86" s="12">
        <f t="shared" si="10"/>
        <v>0</v>
      </c>
      <c r="AI86" s="12">
        <f t="shared" si="11"/>
        <v>0</v>
      </c>
    </row>
    <row r="87" spans="1:35" ht="20.100000000000001" hidden="1" customHeight="1">
      <c r="A87" s="15" t="str">
        <f>ÖSSZES!$A$14</f>
        <v>Név12</v>
      </c>
      <c r="B87" s="28"/>
      <c r="C87" s="27"/>
      <c r="D87" s="28" t="s">
        <v>2</v>
      </c>
      <c r="E87" s="28" t="s">
        <v>2</v>
      </c>
      <c r="F87" s="28"/>
      <c r="G87" s="27"/>
      <c r="H87" s="28"/>
      <c r="I87" s="27"/>
      <c r="J87" s="28"/>
      <c r="K87" s="27"/>
      <c r="L87" s="28" t="s">
        <v>2</v>
      </c>
      <c r="M87" s="28" t="s">
        <v>2</v>
      </c>
      <c r="N87" s="28"/>
      <c r="O87" s="27"/>
      <c r="P87" s="28"/>
      <c r="Q87" s="27"/>
      <c r="R87" s="28"/>
      <c r="S87" s="27"/>
      <c r="T87" s="28" t="s">
        <v>2</v>
      </c>
      <c r="U87" s="28" t="s">
        <v>2</v>
      </c>
      <c r="V87" s="28"/>
      <c r="W87" s="27"/>
      <c r="X87" s="28"/>
      <c r="Y87" s="27"/>
      <c r="Z87" s="28"/>
      <c r="AA87" s="27"/>
      <c r="AB87" s="28" t="s">
        <v>2</v>
      </c>
      <c r="AC87" s="28" t="s">
        <v>2</v>
      </c>
      <c r="AD87" s="28"/>
      <c r="AE87" s="27"/>
      <c r="AF87" s="17"/>
      <c r="AH87" s="12">
        <f t="shared" si="10"/>
        <v>0</v>
      </c>
      <c r="AI87" s="12">
        <f t="shared" si="11"/>
        <v>0</v>
      </c>
    </row>
    <row r="88" spans="1:35" ht="20.100000000000001" hidden="1" customHeight="1">
      <c r="A88" s="15" t="str">
        <f>ÖSSZES!$A$15</f>
        <v>Név13</v>
      </c>
      <c r="B88" s="28"/>
      <c r="C88" s="27"/>
      <c r="D88" s="28" t="s">
        <v>2</v>
      </c>
      <c r="E88" s="28" t="s">
        <v>2</v>
      </c>
      <c r="F88" s="28"/>
      <c r="G88" s="27"/>
      <c r="H88" s="28"/>
      <c r="I88" s="27"/>
      <c r="J88" s="28"/>
      <c r="K88" s="27"/>
      <c r="L88" s="28" t="s">
        <v>2</v>
      </c>
      <c r="M88" s="28" t="s">
        <v>2</v>
      </c>
      <c r="N88" s="28"/>
      <c r="O88" s="27"/>
      <c r="P88" s="28"/>
      <c r="Q88" s="27"/>
      <c r="R88" s="28"/>
      <c r="S88" s="27"/>
      <c r="T88" s="28" t="s">
        <v>2</v>
      </c>
      <c r="U88" s="28" t="s">
        <v>2</v>
      </c>
      <c r="V88" s="28"/>
      <c r="W88" s="27"/>
      <c r="X88" s="28"/>
      <c r="Y88" s="27"/>
      <c r="Z88" s="28"/>
      <c r="AA88" s="27"/>
      <c r="AB88" s="28" t="s">
        <v>2</v>
      </c>
      <c r="AC88" s="28" t="s">
        <v>2</v>
      </c>
      <c r="AD88" s="28"/>
      <c r="AE88" s="27"/>
      <c r="AF88" s="17"/>
      <c r="AH88" s="12">
        <f t="shared" si="10"/>
        <v>0</v>
      </c>
      <c r="AI88" s="12">
        <f t="shared" si="11"/>
        <v>0</v>
      </c>
    </row>
    <row r="89" spans="1:35" ht="20.100000000000001" hidden="1" customHeight="1">
      <c r="A89" s="15" t="str">
        <f>ÖSSZES!$A$16</f>
        <v>Név14</v>
      </c>
      <c r="B89" s="28"/>
      <c r="C89" s="27"/>
      <c r="D89" s="28" t="s">
        <v>2</v>
      </c>
      <c r="E89" s="28" t="s">
        <v>2</v>
      </c>
      <c r="F89" s="28"/>
      <c r="G89" s="27"/>
      <c r="H89" s="28"/>
      <c r="I89" s="27"/>
      <c r="J89" s="28"/>
      <c r="K89" s="27"/>
      <c r="L89" s="28" t="s">
        <v>2</v>
      </c>
      <c r="M89" s="28" t="s">
        <v>2</v>
      </c>
      <c r="N89" s="28"/>
      <c r="O89" s="27"/>
      <c r="P89" s="28"/>
      <c r="Q89" s="27"/>
      <c r="R89" s="28"/>
      <c r="S89" s="27"/>
      <c r="T89" s="28" t="s">
        <v>2</v>
      </c>
      <c r="U89" s="28" t="s">
        <v>2</v>
      </c>
      <c r="V89" s="28"/>
      <c r="W89" s="27"/>
      <c r="X89" s="28"/>
      <c r="Y89" s="27"/>
      <c r="Z89" s="28"/>
      <c r="AA89" s="27"/>
      <c r="AB89" s="28" t="s">
        <v>2</v>
      </c>
      <c r="AC89" s="28" t="s">
        <v>2</v>
      </c>
      <c r="AD89" s="28"/>
      <c r="AE89" s="27"/>
      <c r="AF89" s="17"/>
      <c r="AH89" s="12">
        <f t="shared" si="10"/>
        <v>0</v>
      </c>
      <c r="AI89" s="12">
        <f t="shared" si="11"/>
        <v>0</v>
      </c>
    </row>
    <row r="90" spans="1:35" ht="20.100000000000001" hidden="1" customHeight="1">
      <c r="A90" s="15" t="str">
        <f>ÖSSZES!$A$17</f>
        <v>Név15</v>
      </c>
      <c r="B90" s="28"/>
      <c r="C90" s="27"/>
      <c r="D90" s="28" t="s">
        <v>2</v>
      </c>
      <c r="E90" s="28" t="s">
        <v>2</v>
      </c>
      <c r="F90" s="28"/>
      <c r="G90" s="27"/>
      <c r="H90" s="28"/>
      <c r="I90" s="27"/>
      <c r="J90" s="28"/>
      <c r="K90" s="27"/>
      <c r="L90" s="28" t="s">
        <v>2</v>
      </c>
      <c r="M90" s="28" t="s">
        <v>2</v>
      </c>
      <c r="N90" s="28"/>
      <c r="O90" s="27"/>
      <c r="P90" s="28"/>
      <c r="Q90" s="27"/>
      <c r="R90" s="28"/>
      <c r="S90" s="27"/>
      <c r="T90" s="28" t="s">
        <v>2</v>
      </c>
      <c r="U90" s="28" t="s">
        <v>2</v>
      </c>
      <c r="V90" s="28"/>
      <c r="W90" s="27"/>
      <c r="X90" s="28"/>
      <c r="Y90" s="27"/>
      <c r="Z90" s="28"/>
      <c r="AA90" s="27"/>
      <c r="AB90" s="28" t="s">
        <v>2</v>
      </c>
      <c r="AC90" s="28" t="s">
        <v>2</v>
      </c>
      <c r="AD90" s="28"/>
      <c r="AE90" s="27"/>
      <c r="AF90" s="17"/>
      <c r="AH90" s="12">
        <f t="shared" si="10"/>
        <v>0</v>
      </c>
      <c r="AI90" s="12">
        <f t="shared" si="11"/>
        <v>0</v>
      </c>
    </row>
    <row r="91" spans="1:35" ht="20.100000000000001" hidden="1" customHeight="1">
      <c r="A91" s="15" t="str">
        <f>ÖSSZES!$A$18</f>
        <v>Név16</v>
      </c>
      <c r="B91" s="28"/>
      <c r="C91" s="27"/>
      <c r="D91" s="28" t="s">
        <v>2</v>
      </c>
      <c r="E91" s="28" t="s">
        <v>2</v>
      </c>
      <c r="F91" s="28"/>
      <c r="G91" s="27"/>
      <c r="H91" s="28"/>
      <c r="I91" s="27"/>
      <c r="J91" s="28"/>
      <c r="K91" s="27"/>
      <c r="L91" s="28" t="s">
        <v>2</v>
      </c>
      <c r="M91" s="28" t="s">
        <v>2</v>
      </c>
      <c r="N91" s="28"/>
      <c r="O91" s="27"/>
      <c r="P91" s="28"/>
      <c r="Q91" s="27"/>
      <c r="R91" s="28"/>
      <c r="S91" s="27"/>
      <c r="T91" s="28" t="s">
        <v>2</v>
      </c>
      <c r="U91" s="28" t="s">
        <v>2</v>
      </c>
      <c r="V91" s="28"/>
      <c r="W91" s="27"/>
      <c r="X91" s="28"/>
      <c r="Y91" s="27"/>
      <c r="Z91" s="28"/>
      <c r="AA91" s="27"/>
      <c r="AB91" s="28" t="s">
        <v>2</v>
      </c>
      <c r="AC91" s="28" t="s">
        <v>2</v>
      </c>
      <c r="AD91" s="28"/>
      <c r="AE91" s="27"/>
      <c r="AF91" s="17"/>
      <c r="AH91" s="12">
        <f t="shared" si="10"/>
        <v>0</v>
      </c>
      <c r="AI91" s="12">
        <f t="shared" si="11"/>
        <v>0</v>
      </c>
    </row>
    <row r="92" spans="1:35" ht="20.100000000000001" hidden="1" customHeight="1">
      <c r="A92" s="15" t="str">
        <f>ÖSSZES!$A$19</f>
        <v>Név17</v>
      </c>
      <c r="B92" s="28"/>
      <c r="C92" s="27"/>
      <c r="D92" s="28" t="s">
        <v>2</v>
      </c>
      <c r="E92" s="28" t="s">
        <v>2</v>
      </c>
      <c r="F92" s="28"/>
      <c r="G92" s="27"/>
      <c r="H92" s="28"/>
      <c r="I92" s="27"/>
      <c r="J92" s="28"/>
      <c r="K92" s="27"/>
      <c r="L92" s="28" t="s">
        <v>2</v>
      </c>
      <c r="M92" s="28" t="s">
        <v>2</v>
      </c>
      <c r="N92" s="28"/>
      <c r="O92" s="27"/>
      <c r="P92" s="28"/>
      <c r="Q92" s="27"/>
      <c r="R92" s="28"/>
      <c r="S92" s="27"/>
      <c r="T92" s="28" t="s">
        <v>2</v>
      </c>
      <c r="U92" s="28" t="s">
        <v>2</v>
      </c>
      <c r="V92" s="28"/>
      <c r="W92" s="27"/>
      <c r="X92" s="28"/>
      <c r="Y92" s="27"/>
      <c r="Z92" s="28"/>
      <c r="AA92" s="27"/>
      <c r="AB92" s="28" t="s">
        <v>2</v>
      </c>
      <c r="AC92" s="28" t="s">
        <v>2</v>
      </c>
      <c r="AD92" s="28"/>
      <c r="AE92" s="27"/>
      <c r="AF92" s="17"/>
      <c r="AH92" s="12">
        <f t="shared" si="10"/>
        <v>0</v>
      </c>
      <c r="AI92" s="12">
        <f t="shared" si="11"/>
        <v>0</v>
      </c>
    </row>
    <row r="93" spans="1:35" ht="20.100000000000001" hidden="1" customHeight="1">
      <c r="A93" s="15" t="str">
        <f>ÖSSZES!$A$20</f>
        <v>Név18</v>
      </c>
      <c r="B93" s="28"/>
      <c r="C93" s="27"/>
      <c r="D93" s="28" t="s">
        <v>2</v>
      </c>
      <c r="E93" s="28" t="s">
        <v>2</v>
      </c>
      <c r="F93" s="28"/>
      <c r="G93" s="27"/>
      <c r="H93" s="28"/>
      <c r="I93" s="27"/>
      <c r="J93" s="28"/>
      <c r="K93" s="27"/>
      <c r="L93" s="28" t="s">
        <v>2</v>
      </c>
      <c r="M93" s="28" t="s">
        <v>2</v>
      </c>
      <c r="N93" s="28"/>
      <c r="O93" s="27"/>
      <c r="P93" s="28"/>
      <c r="Q93" s="27"/>
      <c r="R93" s="28"/>
      <c r="S93" s="27"/>
      <c r="T93" s="28" t="s">
        <v>2</v>
      </c>
      <c r="U93" s="28" t="s">
        <v>2</v>
      </c>
      <c r="V93" s="28"/>
      <c r="W93" s="27"/>
      <c r="X93" s="28"/>
      <c r="Y93" s="27"/>
      <c r="Z93" s="28"/>
      <c r="AA93" s="27"/>
      <c r="AB93" s="28" t="s">
        <v>2</v>
      </c>
      <c r="AC93" s="28" t="s">
        <v>2</v>
      </c>
      <c r="AD93" s="28"/>
      <c r="AE93" s="27"/>
      <c r="AF93" s="17"/>
      <c r="AH93" s="12">
        <f t="shared" si="10"/>
        <v>0</v>
      </c>
      <c r="AI93" s="12">
        <f t="shared" si="11"/>
        <v>0</v>
      </c>
    </row>
    <row r="94" spans="1:35" ht="20.100000000000001" hidden="1" customHeight="1">
      <c r="A94" s="15" t="str">
        <f>ÖSSZES!$A$21</f>
        <v>Név19</v>
      </c>
      <c r="B94" s="28"/>
      <c r="C94" s="27"/>
      <c r="D94" s="28" t="s">
        <v>2</v>
      </c>
      <c r="E94" s="28" t="s">
        <v>2</v>
      </c>
      <c r="F94" s="28"/>
      <c r="G94" s="27"/>
      <c r="H94" s="28"/>
      <c r="I94" s="27"/>
      <c r="J94" s="28"/>
      <c r="K94" s="27"/>
      <c r="L94" s="28" t="s">
        <v>2</v>
      </c>
      <c r="M94" s="28" t="s">
        <v>2</v>
      </c>
      <c r="N94" s="28"/>
      <c r="O94" s="27"/>
      <c r="P94" s="28"/>
      <c r="Q94" s="27"/>
      <c r="R94" s="28"/>
      <c r="S94" s="27"/>
      <c r="T94" s="28" t="s">
        <v>2</v>
      </c>
      <c r="U94" s="28" t="s">
        <v>2</v>
      </c>
      <c r="V94" s="28"/>
      <c r="W94" s="27"/>
      <c r="X94" s="28"/>
      <c r="Y94" s="27"/>
      <c r="Z94" s="28"/>
      <c r="AA94" s="27"/>
      <c r="AB94" s="28" t="s">
        <v>2</v>
      </c>
      <c r="AC94" s="28" t="s">
        <v>2</v>
      </c>
      <c r="AD94" s="28"/>
      <c r="AE94" s="27"/>
      <c r="AF94" s="17"/>
      <c r="AH94" s="12">
        <f t="shared" si="10"/>
        <v>0</v>
      </c>
      <c r="AI94" s="12">
        <f t="shared" si="11"/>
        <v>0</v>
      </c>
    </row>
    <row r="95" spans="1:35" ht="20.100000000000001" hidden="1" customHeight="1">
      <c r="A95" s="15" t="str">
        <f>ÖSSZES!$A$17</f>
        <v>Név15</v>
      </c>
      <c r="B95" s="28"/>
      <c r="C95" s="27"/>
      <c r="D95" s="28" t="s">
        <v>2</v>
      </c>
      <c r="E95" s="28" t="s">
        <v>2</v>
      </c>
      <c r="F95" s="28"/>
      <c r="G95" s="27"/>
      <c r="H95" s="28"/>
      <c r="I95" s="27"/>
      <c r="J95" s="28"/>
      <c r="K95" s="27"/>
      <c r="L95" s="28" t="s">
        <v>2</v>
      </c>
      <c r="M95" s="28" t="s">
        <v>2</v>
      </c>
      <c r="N95" s="28"/>
      <c r="O95" s="27"/>
      <c r="P95" s="28"/>
      <c r="Q95" s="27"/>
      <c r="R95" s="28"/>
      <c r="S95" s="27"/>
      <c r="T95" s="28" t="s">
        <v>2</v>
      </c>
      <c r="U95" s="28" t="s">
        <v>2</v>
      </c>
      <c r="V95" s="28"/>
      <c r="W95" s="27"/>
      <c r="X95" s="28"/>
      <c r="Y95" s="27"/>
      <c r="Z95" s="28"/>
      <c r="AA95" s="27"/>
      <c r="AB95" s="28" t="s">
        <v>2</v>
      </c>
      <c r="AC95" s="28" t="s">
        <v>2</v>
      </c>
      <c r="AD95" s="28"/>
      <c r="AE95" s="27"/>
      <c r="AF95" s="17"/>
      <c r="AH95" s="12">
        <f t="shared" si="10"/>
        <v>0</v>
      </c>
      <c r="AI95" s="12">
        <f t="shared" si="11"/>
        <v>0</v>
      </c>
    </row>
    <row r="96" spans="1:35" ht="20.100000000000001" customHeight="1"/>
    <row r="97" spans="1:35" s="21" customFormat="1" ht="20.100000000000001" customHeight="1">
      <c r="A97" s="43" t="s">
        <v>9</v>
      </c>
      <c r="B97" s="19">
        <v>1</v>
      </c>
      <c r="C97" s="20">
        <v>2</v>
      </c>
      <c r="D97" s="20">
        <v>3</v>
      </c>
      <c r="E97" s="20">
        <v>4</v>
      </c>
      <c r="F97" s="20">
        <v>5</v>
      </c>
      <c r="G97" s="20">
        <v>6</v>
      </c>
      <c r="H97" s="20">
        <v>7</v>
      </c>
      <c r="I97" s="20">
        <v>8</v>
      </c>
      <c r="J97" s="20">
        <v>9</v>
      </c>
      <c r="K97" s="20">
        <v>10</v>
      </c>
      <c r="L97" s="20">
        <v>11</v>
      </c>
      <c r="M97" s="20">
        <v>12</v>
      </c>
      <c r="N97" s="20">
        <v>13</v>
      </c>
      <c r="O97" s="20">
        <v>14</v>
      </c>
      <c r="P97" s="20">
        <v>15</v>
      </c>
      <c r="Q97" s="20">
        <v>16</v>
      </c>
      <c r="R97" s="20">
        <v>17</v>
      </c>
      <c r="S97" s="20">
        <v>18</v>
      </c>
      <c r="T97" s="20">
        <v>19</v>
      </c>
      <c r="U97" s="20">
        <v>20</v>
      </c>
      <c r="V97" s="20">
        <v>21</v>
      </c>
      <c r="W97" s="20">
        <v>22</v>
      </c>
      <c r="X97" s="20">
        <v>23</v>
      </c>
      <c r="Y97" s="20">
        <v>24</v>
      </c>
      <c r="Z97" s="20">
        <v>25</v>
      </c>
      <c r="AA97" s="20">
        <v>26</v>
      </c>
      <c r="AB97" s="20">
        <v>27</v>
      </c>
      <c r="AC97" s="20">
        <v>28</v>
      </c>
      <c r="AD97" s="20">
        <v>29</v>
      </c>
      <c r="AE97" s="20">
        <v>30</v>
      </c>
      <c r="AF97" s="20">
        <v>31</v>
      </c>
      <c r="AH97" s="43" t="s">
        <v>18</v>
      </c>
      <c r="AI97" s="43" t="s">
        <v>19</v>
      </c>
    </row>
    <row r="98" spans="1:35" ht="20.100000000000001" customHeight="1">
      <c r="A98" s="44"/>
      <c r="B98" s="25" t="str">
        <f>'2021'!B36</f>
        <v>Szo</v>
      </c>
      <c r="C98" s="25" t="str">
        <f>'2021'!C36</f>
        <v>V</v>
      </c>
      <c r="D98" s="25" t="str">
        <f>'2021'!D36</f>
        <v>H</v>
      </c>
      <c r="E98" s="25" t="str">
        <f>'2021'!E36</f>
        <v>K</v>
      </c>
      <c r="F98" s="25" t="str">
        <f>'2021'!F36</f>
        <v>Sze</v>
      </c>
      <c r="G98" s="25" t="str">
        <f>'2021'!G36</f>
        <v>Cs</v>
      </c>
      <c r="H98" s="25" t="str">
        <f>'2021'!H36</f>
        <v>P</v>
      </c>
      <c r="I98" s="25" t="str">
        <f>'2021'!I36</f>
        <v>Szo</v>
      </c>
      <c r="J98" s="25" t="str">
        <f>'2021'!J36</f>
        <v>V</v>
      </c>
      <c r="K98" s="25" t="str">
        <f>'2021'!K36</f>
        <v>H</v>
      </c>
      <c r="L98" s="25" t="str">
        <f>'2021'!L36</f>
        <v>K</v>
      </c>
      <c r="M98" s="25" t="str">
        <f>'2021'!M36</f>
        <v>Sze</v>
      </c>
      <c r="N98" s="25" t="str">
        <f>'2021'!N36</f>
        <v>Cs</v>
      </c>
      <c r="O98" s="25" t="str">
        <f>'2021'!O36</f>
        <v>P</v>
      </c>
      <c r="P98" s="25" t="str">
        <f>'2021'!P36</f>
        <v>Szo</v>
      </c>
      <c r="Q98" s="25" t="str">
        <f>'2021'!Q36</f>
        <v>V</v>
      </c>
      <c r="R98" s="25" t="str">
        <f>'2021'!R36</f>
        <v>H</v>
      </c>
      <c r="S98" s="25" t="str">
        <f>'2021'!S36</f>
        <v>K</v>
      </c>
      <c r="T98" s="25" t="str">
        <f>'2021'!T36</f>
        <v>Sze</v>
      </c>
      <c r="U98" s="25" t="str">
        <f>'2021'!U36</f>
        <v>Cs</v>
      </c>
      <c r="V98" s="25" t="str">
        <f>'2021'!V36</f>
        <v>P</v>
      </c>
      <c r="W98" s="25" t="str">
        <f>'2021'!W36</f>
        <v>Szo</v>
      </c>
      <c r="X98" s="25" t="str">
        <f>'2021'!X36</f>
        <v>V</v>
      </c>
      <c r="Y98" s="25" t="str">
        <f>'2021'!Y36</f>
        <v>H</v>
      </c>
      <c r="Z98" s="25" t="str">
        <f>'2021'!Z36</f>
        <v>K</v>
      </c>
      <c r="AA98" s="25" t="str">
        <f>'2021'!AA36</f>
        <v>Sze</v>
      </c>
      <c r="AB98" s="25" t="str">
        <f>'2021'!AB36</f>
        <v>Cs</v>
      </c>
      <c r="AC98" s="25" t="str">
        <f>'2021'!AC36</f>
        <v>P</v>
      </c>
      <c r="AD98" s="25" t="str">
        <f>'2021'!AD36</f>
        <v>Szo</v>
      </c>
      <c r="AE98" s="25" t="str">
        <f>'2021'!AE36</f>
        <v>V</v>
      </c>
      <c r="AF98" s="25" t="str">
        <f>'2021'!AF36</f>
        <v>H</v>
      </c>
      <c r="AH98" s="45"/>
      <c r="AI98" s="45"/>
    </row>
    <row r="99" spans="1:35" ht="20.100000000000001" customHeight="1">
      <c r="A99" s="45"/>
      <c r="B99" s="22">
        <f>'2021'!B37</f>
        <v>2</v>
      </c>
      <c r="C99" s="22">
        <f>'2021'!C37</f>
        <v>2</v>
      </c>
      <c r="D99" s="22">
        <f>'2021'!D37</f>
        <v>2</v>
      </c>
      <c r="E99" s="22">
        <f>'2021'!E37</f>
        <v>2</v>
      </c>
      <c r="F99" s="22" t="str">
        <f>'2021'!F37</f>
        <v>X</v>
      </c>
      <c r="G99" s="22" t="str">
        <f>'2021'!G37</f>
        <v>X</v>
      </c>
      <c r="H99" s="22">
        <f>'2021'!H37</f>
        <v>1</v>
      </c>
      <c r="I99" s="22">
        <f>'2021'!I37</f>
        <v>1</v>
      </c>
      <c r="J99" s="22">
        <f>'2021'!J37</f>
        <v>1</v>
      </c>
      <c r="K99" s="22">
        <f>'2021'!K37</f>
        <v>1</v>
      </c>
      <c r="L99" s="22">
        <f>'2021'!L37</f>
        <v>1</v>
      </c>
      <c r="M99" s="22">
        <f>'2021'!M37</f>
        <v>1</v>
      </c>
      <c r="N99" s="22" t="str">
        <f>'2021'!N37</f>
        <v>X</v>
      </c>
      <c r="O99" s="22" t="str">
        <f>'2021'!O37</f>
        <v>X</v>
      </c>
      <c r="P99" s="22">
        <f>'2021'!P37</f>
        <v>3</v>
      </c>
      <c r="Q99" s="22">
        <f>'2021'!Q37</f>
        <v>3</v>
      </c>
      <c r="R99" s="22">
        <f>'2021'!R37</f>
        <v>3</v>
      </c>
      <c r="S99" s="22">
        <f>'2021'!S37</f>
        <v>3</v>
      </c>
      <c r="T99" s="22">
        <f>'2021'!T37</f>
        <v>3</v>
      </c>
      <c r="U99" s="22">
        <f>'2021'!U37</f>
        <v>3</v>
      </c>
      <c r="V99" s="22" t="str">
        <f>'2021'!V37</f>
        <v>X</v>
      </c>
      <c r="W99" s="22" t="str">
        <f>'2021'!W37</f>
        <v>X</v>
      </c>
      <c r="X99" s="22">
        <f>'2021'!X37</f>
        <v>2</v>
      </c>
      <c r="Y99" s="22">
        <f>'2021'!Y37</f>
        <v>2</v>
      </c>
      <c r="Z99" s="22">
        <f>'2021'!Z37</f>
        <v>2</v>
      </c>
      <c r="AA99" s="22">
        <f>'2021'!AA37</f>
        <v>2</v>
      </c>
      <c r="AB99" s="22">
        <f>'2021'!AB37</f>
        <v>2</v>
      </c>
      <c r="AC99" s="22">
        <f>'2021'!AC37</f>
        <v>2</v>
      </c>
      <c r="AD99" s="22" t="str">
        <f>'2021'!AD37</f>
        <v>X</v>
      </c>
      <c r="AE99" s="22" t="str">
        <f>'2021'!AE37</f>
        <v>X</v>
      </c>
      <c r="AF99" s="22">
        <f>'2021'!AF37</f>
        <v>1</v>
      </c>
      <c r="AH99" s="45"/>
      <c r="AI99" s="45"/>
    </row>
    <row r="100" spans="1:35" ht="20.100000000000001" customHeight="1">
      <c r="A100" s="15" t="str">
        <f>ÖSSZES!$A$3</f>
        <v>Csuka Lajos</v>
      </c>
      <c r="B100" s="28"/>
      <c r="C100" s="28"/>
      <c r="D100" s="28"/>
      <c r="E100" s="28"/>
      <c r="F100" s="28" t="s">
        <v>2</v>
      </c>
      <c r="G100" s="28" t="s">
        <v>2</v>
      </c>
      <c r="H100" s="28"/>
      <c r="I100" s="28"/>
      <c r="J100" s="28"/>
      <c r="K100" s="28"/>
      <c r="L100" s="28"/>
      <c r="M100" s="28"/>
      <c r="N100" s="28" t="s">
        <v>2</v>
      </c>
      <c r="O100" s="28" t="s">
        <v>2</v>
      </c>
      <c r="P100" s="28"/>
      <c r="Q100" s="28"/>
      <c r="R100" s="28"/>
      <c r="S100" s="28"/>
      <c r="T100" s="28"/>
      <c r="U100" s="28"/>
      <c r="V100" s="28" t="s">
        <v>2</v>
      </c>
      <c r="W100" s="28" t="s">
        <v>2</v>
      </c>
      <c r="X100" s="28"/>
      <c r="Y100" s="28"/>
      <c r="Z100" s="28"/>
      <c r="AA100" s="28"/>
      <c r="AB100" s="28"/>
      <c r="AC100" s="27"/>
      <c r="AD100" s="28" t="s">
        <v>2</v>
      </c>
      <c r="AE100" s="28" t="s">
        <v>2</v>
      </c>
      <c r="AF100" s="27"/>
      <c r="AH100" s="12">
        <f>1*COUNTIF(A100:AF100,"+")</f>
        <v>0</v>
      </c>
      <c r="AI100" s="12">
        <f t="shared" ref="AI100" si="12">1*COUNTIF(B100:AF100,"szf")</f>
        <v>0</v>
      </c>
    </row>
    <row r="101" spans="1:35" ht="20.100000000000001" customHeight="1">
      <c r="A101" s="15" t="str">
        <f>ÖSSZES!$A$4</f>
        <v>Batiz Attila</v>
      </c>
      <c r="B101" s="28"/>
      <c r="C101" s="28"/>
      <c r="D101" s="28"/>
      <c r="E101" s="28"/>
      <c r="F101" s="28" t="s">
        <v>2</v>
      </c>
      <c r="G101" s="28" t="s">
        <v>2</v>
      </c>
      <c r="H101" s="28"/>
      <c r="I101" s="28"/>
      <c r="J101" s="28"/>
      <c r="K101" s="28"/>
      <c r="L101" s="28"/>
      <c r="M101" s="28"/>
      <c r="N101" s="28" t="s">
        <v>2</v>
      </c>
      <c r="O101" s="28" t="s">
        <v>2</v>
      </c>
      <c r="P101" s="28"/>
      <c r="Q101" s="28"/>
      <c r="R101" s="28"/>
      <c r="S101" s="28"/>
      <c r="T101" s="28"/>
      <c r="U101" s="28"/>
      <c r="V101" s="28" t="s">
        <v>2</v>
      </c>
      <c r="W101" s="28" t="s">
        <v>2</v>
      </c>
      <c r="X101" s="28"/>
      <c r="Y101" s="28"/>
      <c r="Z101" s="28"/>
      <c r="AA101" s="28"/>
      <c r="AB101" s="28"/>
      <c r="AC101" s="27"/>
      <c r="AD101" s="28" t="s">
        <v>2</v>
      </c>
      <c r="AE101" s="28" t="s">
        <v>2</v>
      </c>
      <c r="AF101" s="27"/>
      <c r="AH101" s="12">
        <f t="shared" ref="AH101:AH119" si="13">1*COUNTIF(A101:AF101,"+")</f>
        <v>0</v>
      </c>
      <c r="AI101" s="12">
        <f t="shared" ref="AI101:AI119" si="14">1*COUNTIF(B101:AF101,"szf")</f>
        <v>0</v>
      </c>
    </row>
    <row r="102" spans="1:35" ht="20.100000000000001" customHeight="1">
      <c r="A102" s="15" t="str">
        <f>ÖSSZES!$A$5</f>
        <v>Füredi Antal</v>
      </c>
      <c r="B102" s="28"/>
      <c r="C102" s="28"/>
      <c r="D102" s="28"/>
      <c r="E102" s="28"/>
      <c r="F102" s="28" t="s">
        <v>2</v>
      </c>
      <c r="G102" s="28" t="s">
        <v>2</v>
      </c>
      <c r="H102" s="28"/>
      <c r="I102" s="28"/>
      <c r="J102" s="28"/>
      <c r="K102" s="28"/>
      <c r="L102" s="28"/>
      <c r="M102" s="28"/>
      <c r="N102" s="28" t="s">
        <v>2</v>
      </c>
      <c r="O102" s="28" t="s">
        <v>2</v>
      </c>
      <c r="P102" s="28"/>
      <c r="Q102" s="28"/>
      <c r="R102" s="28"/>
      <c r="S102" s="28"/>
      <c r="T102" s="28"/>
      <c r="U102" s="28"/>
      <c r="V102" s="28" t="s">
        <v>2</v>
      </c>
      <c r="W102" s="28" t="s">
        <v>2</v>
      </c>
      <c r="X102" s="28"/>
      <c r="Y102" s="28"/>
      <c r="Z102" s="28"/>
      <c r="AA102" s="28"/>
      <c r="AB102" s="28"/>
      <c r="AC102" s="27"/>
      <c r="AD102" s="28" t="s">
        <v>2</v>
      </c>
      <c r="AE102" s="28" t="s">
        <v>2</v>
      </c>
      <c r="AF102" s="27"/>
      <c r="AH102" s="12">
        <f t="shared" si="13"/>
        <v>0</v>
      </c>
      <c r="AI102" s="12">
        <f t="shared" si="14"/>
        <v>0</v>
      </c>
    </row>
    <row r="103" spans="1:35" ht="20.100000000000001" customHeight="1">
      <c r="A103" s="15" t="str">
        <f>ÖSSZES!$A$6</f>
        <v>Iványi István</v>
      </c>
      <c r="B103" s="28"/>
      <c r="C103" s="28"/>
      <c r="D103" s="28"/>
      <c r="E103" s="28"/>
      <c r="F103" s="28" t="s">
        <v>2</v>
      </c>
      <c r="G103" s="28" t="s">
        <v>2</v>
      </c>
      <c r="H103" s="28"/>
      <c r="I103" s="28"/>
      <c r="J103" s="28"/>
      <c r="K103" s="28"/>
      <c r="L103" s="28"/>
      <c r="M103" s="28"/>
      <c r="N103" s="28" t="s">
        <v>2</v>
      </c>
      <c r="O103" s="28" t="s">
        <v>2</v>
      </c>
      <c r="P103" s="28"/>
      <c r="Q103" s="28"/>
      <c r="R103" s="28"/>
      <c r="S103" s="28"/>
      <c r="T103" s="28"/>
      <c r="U103" s="28"/>
      <c r="V103" s="28" t="s">
        <v>2</v>
      </c>
      <c r="W103" s="28" t="s">
        <v>2</v>
      </c>
      <c r="X103" s="28"/>
      <c r="Y103" s="28"/>
      <c r="Z103" s="28"/>
      <c r="AA103" s="28"/>
      <c r="AB103" s="28"/>
      <c r="AC103" s="27"/>
      <c r="AD103" s="28" t="s">
        <v>2</v>
      </c>
      <c r="AE103" s="28" t="s">
        <v>2</v>
      </c>
      <c r="AF103" s="27"/>
      <c r="AH103" s="12">
        <f t="shared" si="13"/>
        <v>0</v>
      </c>
      <c r="AI103" s="12">
        <f t="shared" si="14"/>
        <v>0</v>
      </c>
    </row>
    <row r="104" spans="1:35" ht="20.100000000000001" customHeight="1">
      <c r="A104" s="15" t="str">
        <f>ÖSSZES!$A$7</f>
        <v>Katonka Tibor</v>
      </c>
      <c r="B104" s="28"/>
      <c r="C104" s="28"/>
      <c r="D104" s="28"/>
      <c r="E104" s="28"/>
      <c r="F104" s="28" t="s">
        <v>2</v>
      </c>
      <c r="G104" s="28" t="s">
        <v>2</v>
      </c>
      <c r="H104" s="28"/>
      <c r="I104" s="28"/>
      <c r="J104" s="28"/>
      <c r="K104" s="28"/>
      <c r="L104" s="28"/>
      <c r="M104" s="28"/>
      <c r="N104" s="28" t="s">
        <v>2</v>
      </c>
      <c r="O104" s="28" t="s">
        <v>2</v>
      </c>
      <c r="P104" s="28"/>
      <c r="Q104" s="28"/>
      <c r="R104" s="28"/>
      <c r="S104" s="28"/>
      <c r="T104" s="28"/>
      <c r="U104" s="28"/>
      <c r="V104" s="28" t="s">
        <v>2</v>
      </c>
      <c r="W104" s="28" t="s">
        <v>2</v>
      </c>
      <c r="X104" s="28"/>
      <c r="Y104" s="28"/>
      <c r="Z104" s="28"/>
      <c r="AA104" s="28"/>
      <c r="AB104" s="28"/>
      <c r="AC104" s="27"/>
      <c r="AD104" s="28" t="s">
        <v>2</v>
      </c>
      <c r="AE104" s="28" t="s">
        <v>2</v>
      </c>
      <c r="AF104" s="27"/>
      <c r="AH104" s="12">
        <f t="shared" si="13"/>
        <v>0</v>
      </c>
      <c r="AI104" s="12">
        <f t="shared" si="14"/>
        <v>0</v>
      </c>
    </row>
    <row r="105" spans="1:35" ht="20.100000000000001" customHeight="1">
      <c r="A105" s="15" t="str">
        <f>ÖSSZES!$A$8</f>
        <v>Mizsák Péter</v>
      </c>
      <c r="B105" s="28"/>
      <c r="C105" s="28"/>
      <c r="D105" s="28"/>
      <c r="E105" s="28"/>
      <c r="F105" s="28" t="s">
        <v>2</v>
      </c>
      <c r="G105" s="28" t="s">
        <v>2</v>
      </c>
      <c r="H105" s="28"/>
      <c r="I105" s="28"/>
      <c r="J105" s="28"/>
      <c r="K105" s="28"/>
      <c r="L105" s="28"/>
      <c r="M105" s="28"/>
      <c r="N105" s="28" t="s">
        <v>2</v>
      </c>
      <c r="O105" s="28" t="s">
        <v>2</v>
      </c>
      <c r="P105" s="28"/>
      <c r="Q105" s="28"/>
      <c r="R105" s="28"/>
      <c r="S105" s="28"/>
      <c r="T105" s="28"/>
      <c r="U105" s="28"/>
      <c r="V105" s="28" t="s">
        <v>2</v>
      </c>
      <c r="W105" s="28" t="s">
        <v>2</v>
      </c>
      <c r="X105" s="28"/>
      <c r="Y105" s="28"/>
      <c r="Z105" s="28"/>
      <c r="AA105" s="28"/>
      <c r="AB105" s="28"/>
      <c r="AC105" s="27"/>
      <c r="AD105" s="28" t="s">
        <v>2</v>
      </c>
      <c r="AE105" s="28" t="s">
        <v>2</v>
      </c>
      <c r="AF105" s="27"/>
      <c r="AH105" s="12">
        <f t="shared" si="13"/>
        <v>0</v>
      </c>
      <c r="AI105" s="12">
        <f t="shared" si="14"/>
        <v>0</v>
      </c>
    </row>
    <row r="106" spans="1:35" ht="20.100000000000001" customHeight="1">
      <c r="A106" s="15" t="str">
        <f>ÖSSZES!$A$9</f>
        <v>Vatamány Gergő</v>
      </c>
      <c r="B106" s="28"/>
      <c r="C106" s="28"/>
      <c r="D106" s="28"/>
      <c r="E106" s="28"/>
      <c r="F106" s="28" t="s">
        <v>2</v>
      </c>
      <c r="G106" s="28" t="s">
        <v>2</v>
      </c>
      <c r="H106" s="28"/>
      <c r="I106" s="28"/>
      <c r="J106" s="28"/>
      <c r="K106" s="28"/>
      <c r="L106" s="28"/>
      <c r="M106" s="28"/>
      <c r="N106" s="28" t="s">
        <v>2</v>
      </c>
      <c r="O106" s="28" t="s">
        <v>2</v>
      </c>
      <c r="P106" s="28"/>
      <c r="Q106" s="28"/>
      <c r="R106" s="28"/>
      <c r="S106" s="28"/>
      <c r="T106" s="28"/>
      <c r="U106" s="28"/>
      <c r="V106" s="28" t="s">
        <v>2</v>
      </c>
      <c r="W106" s="28" t="s">
        <v>2</v>
      </c>
      <c r="X106" s="28"/>
      <c r="Y106" s="28"/>
      <c r="Z106" s="28"/>
      <c r="AA106" s="28"/>
      <c r="AB106" s="28"/>
      <c r="AC106" s="27"/>
      <c r="AD106" s="28" t="s">
        <v>2</v>
      </c>
      <c r="AE106" s="28" t="s">
        <v>2</v>
      </c>
      <c r="AF106" s="27"/>
      <c r="AH106" s="12">
        <f t="shared" si="13"/>
        <v>0</v>
      </c>
      <c r="AI106" s="12">
        <f t="shared" si="14"/>
        <v>0</v>
      </c>
    </row>
    <row r="107" spans="1:35" ht="20.100000000000001" hidden="1" customHeight="1">
      <c r="A107" s="15" t="str">
        <f>ÖSSZES!$A$10</f>
        <v>Név8</v>
      </c>
      <c r="B107" s="28"/>
      <c r="C107" s="28"/>
      <c r="D107" s="28"/>
      <c r="E107" s="28"/>
      <c r="F107" s="28" t="s">
        <v>2</v>
      </c>
      <c r="G107" s="28" t="s">
        <v>2</v>
      </c>
      <c r="H107" s="28"/>
      <c r="I107" s="28"/>
      <c r="J107" s="28"/>
      <c r="K107" s="28"/>
      <c r="L107" s="28"/>
      <c r="M107" s="28"/>
      <c r="N107" s="28" t="s">
        <v>2</v>
      </c>
      <c r="O107" s="28" t="s">
        <v>2</v>
      </c>
      <c r="P107" s="28"/>
      <c r="Q107" s="28"/>
      <c r="R107" s="28"/>
      <c r="S107" s="28"/>
      <c r="T107" s="28"/>
      <c r="U107" s="28"/>
      <c r="V107" s="28" t="s">
        <v>2</v>
      </c>
      <c r="W107" s="28" t="s">
        <v>2</v>
      </c>
      <c r="X107" s="28"/>
      <c r="Y107" s="28"/>
      <c r="Z107" s="28"/>
      <c r="AA107" s="28"/>
      <c r="AB107" s="28"/>
      <c r="AC107" s="27"/>
      <c r="AD107" s="28" t="s">
        <v>2</v>
      </c>
      <c r="AE107" s="28" t="s">
        <v>2</v>
      </c>
      <c r="AF107" s="27"/>
      <c r="AH107" s="12">
        <f t="shared" si="13"/>
        <v>0</v>
      </c>
      <c r="AI107" s="12">
        <f t="shared" si="14"/>
        <v>0</v>
      </c>
    </row>
    <row r="108" spans="1:35" ht="20.100000000000001" hidden="1" customHeight="1">
      <c r="A108" s="15" t="str">
        <f>ÖSSZES!$A$11</f>
        <v>Név9</v>
      </c>
      <c r="B108" s="28"/>
      <c r="C108" s="28"/>
      <c r="D108" s="28"/>
      <c r="E108" s="28"/>
      <c r="F108" s="28" t="s">
        <v>2</v>
      </c>
      <c r="G108" s="28" t="s">
        <v>2</v>
      </c>
      <c r="H108" s="28"/>
      <c r="I108" s="28"/>
      <c r="J108" s="28"/>
      <c r="K108" s="28"/>
      <c r="L108" s="28"/>
      <c r="M108" s="28"/>
      <c r="N108" s="28" t="s">
        <v>2</v>
      </c>
      <c r="O108" s="28" t="s">
        <v>2</v>
      </c>
      <c r="P108" s="28"/>
      <c r="Q108" s="28"/>
      <c r="R108" s="28"/>
      <c r="S108" s="28"/>
      <c r="T108" s="28"/>
      <c r="U108" s="28"/>
      <c r="V108" s="28" t="s">
        <v>2</v>
      </c>
      <c r="W108" s="28" t="s">
        <v>2</v>
      </c>
      <c r="X108" s="28"/>
      <c r="Y108" s="28"/>
      <c r="Z108" s="28"/>
      <c r="AA108" s="28"/>
      <c r="AB108" s="28"/>
      <c r="AC108" s="27"/>
      <c r="AD108" s="28" t="s">
        <v>2</v>
      </c>
      <c r="AE108" s="28" t="s">
        <v>2</v>
      </c>
      <c r="AF108" s="27"/>
      <c r="AH108" s="12">
        <f t="shared" si="13"/>
        <v>0</v>
      </c>
      <c r="AI108" s="12">
        <f t="shared" si="14"/>
        <v>0</v>
      </c>
    </row>
    <row r="109" spans="1:35" ht="20.100000000000001" hidden="1" customHeight="1">
      <c r="A109" s="15" t="str">
        <f>ÖSSZES!$A$12</f>
        <v>Név10</v>
      </c>
      <c r="B109" s="28"/>
      <c r="C109" s="28"/>
      <c r="D109" s="28"/>
      <c r="E109" s="28"/>
      <c r="F109" s="28" t="s">
        <v>2</v>
      </c>
      <c r="G109" s="28" t="s">
        <v>2</v>
      </c>
      <c r="H109" s="28"/>
      <c r="I109" s="28"/>
      <c r="J109" s="28"/>
      <c r="K109" s="28"/>
      <c r="L109" s="28"/>
      <c r="M109" s="28"/>
      <c r="N109" s="28" t="s">
        <v>2</v>
      </c>
      <c r="O109" s="28" t="s">
        <v>2</v>
      </c>
      <c r="P109" s="28"/>
      <c r="Q109" s="28"/>
      <c r="R109" s="28"/>
      <c r="S109" s="28"/>
      <c r="T109" s="28"/>
      <c r="U109" s="28"/>
      <c r="V109" s="28" t="s">
        <v>2</v>
      </c>
      <c r="W109" s="28" t="s">
        <v>2</v>
      </c>
      <c r="X109" s="28"/>
      <c r="Y109" s="28"/>
      <c r="Z109" s="28"/>
      <c r="AA109" s="28"/>
      <c r="AB109" s="28"/>
      <c r="AC109" s="27"/>
      <c r="AD109" s="28" t="s">
        <v>2</v>
      </c>
      <c r="AE109" s="28" t="s">
        <v>2</v>
      </c>
      <c r="AF109" s="27"/>
      <c r="AH109" s="12">
        <f t="shared" si="13"/>
        <v>0</v>
      </c>
      <c r="AI109" s="12">
        <f t="shared" si="14"/>
        <v>0</v>
      </c>
    </row>
    <row r="110" spans="1:35" ht="20.100000000000001" hidden="1" customHeight="1">
      <c r="A110" s="15" t="str">
        <f>ÖSSZES!$A$13</f>
        <v>Név11</v>
      </c>
      <c r="B110" s="28"/>
      <c r="C110" s="28"/>
      <c r="D110" s="28"/>
      <c r="E110" s="28"/>
      <c r="F110" s="28" t="s">
        <v>2</v>
      </c>
      <c r="G110" s="28" t="s">
        <v>2</v>
      </c>
      <c r="H110" s="28"/>
      <c r="I110" s="28"/>
      <c r="J110" s="28"/>
      <c r="K110" s="28"/>
      <c r="L110" s="28"/>
      <c r="M110" s="28"/>
      <c r="N110" s="28" t="s">
        <v>2</v>
      </c>
      <c r="O110" s="28" t="s">
        <v>2</v>
      </c>
      <c r="P110" s="28"/>
      <c r="Q110" s="28"/>
      <c r="R110" s="28"/>
      <c r="S110" s="28"/>
      <c r="T110" s="28"/>
      <c r="U110" s="28"/>
      <c r="V110" s="28" t="s">
        <v>2</v>
      </c>
      <c r="W110" s="28" t="s">
        <v>2</v>
      </c>
      <c r="X110" s="28"/>
      <c r="Y110" s="28"/>
      <c r="Z110" s="28"/>
      <c r="AA110" s="28"/>
      <c r="AB110" s="28"/>
      <c r="AC110" s="27"/>
      <c r="AD110" s="28" t="s">
        <v>2</v>
      </c>
      <c r="AE110" s="28" t="s">
        <v>2</v>
      </c>
      <c r="AF110" s="27"/>
      <c r="AH110" s="12">
        <f t="shared" si="13"/>
        <v>0</v>
      </c>
      <c r="AI110" s="12">
        <f t="shared" si="14"/>
        <v>0</v>
      </c>
    </row>
    <row r="111" spans="1:35" ht="20.100000000000001" hidden="1" customHeight="1">
      <c r="A111" s="15" t="str">
        <f>ÖSSZES!$A$14</f>
        <v>Név12</v>
      </c>
      <c r="B111" s="28"/>
      <c r="C111" s="28"/>
      <c r="D111" s="28"/>
      <c r="E111" s="28"/>
      <c r="F111" s="28" t="s">
        <v>2</v>
      </c>
      <c r="G111" s="28" t="s">
        <v>2</v>
      </c>
      <c r="H111" s="28"/>
      <c r="I111" s="28"/>
      <c r="J111" s="28"/>
      <c r="K111" s="28"/>
      <c r="L111" s="28"/>
      <c r="M111" s="28"/>
      <c r="N111" s="28" t="s">
        <v>2</v>
      </c>
      <c r="O111" s="28" t="s">
        <v>2</v>
      </c>
      <c r="P111" s="28"/>
      <c r="Q111" s="28"/>
      <c r="R111" s="28"/>
      <c r="S111" s="28"/>
      <c r="T111" s="28"/>
      <c r="U111" s="28"/>
      <c r="V111" s="28" t="s">
        <v>2</v>
      </c>
      <c r="W111" s="28" t="s">
        <v>2</v>
      </c>
      <c r="X111" s="28"/>
      <c r="Y111" s="28"/>
      <c r="Z111" s="28"/>
      <c r="AA111" s="28"/>
      <c r="AB111" s="28"/>
      <c r="AC111" s="27"/>
      <c r="AD111" s="28" t="s">
        <v>2</v>
      </c>
      <c r="AE111" s="28" t="s">
        <v>2</v>
      </c>
      <c r="AF111" s="27"/>
      <c r="AH111" s="12">
        <f t="shared" si="13"/>
        <v>0</v>
      </c>
      <c r="AI111" s="12">
        <f t="shared" si="14"/>
        <v>0</v>
      </c>
    </row>
    <row r="112" spans="1:35" ht="20.100000000000001" hidden="1" customHeight="1">
      <c r="A112" s="15" t="str">
        <f>ÖSSZES!$A$15</f>
        <v>Név13</v>
      </c>
      <c r="B112" s="28"/>
      <c r="C112" s="28"/>
      <c r="D112" s="28"/>
      <c r="E112" s="28"/>
      <c r="F112" s="28" t="s">
        <v>2</v>
      </c>
      <c r="G112" s="28" t="s">
        <v>2</v>
      </c>
      <c r="H112" s="28"/>
      <c r="I112" s="28"/>
      <c r="J112" s="28"/>
      <c r="K112" s="28"/>
      <c r="L112" s="28"/>
      <c r="M112" s="28"/>
      <c r="N112" s="28" t="s">
        <v>2</v>
      </c>
      <c r="O112" s="28" t="s">
        <v>2</v>
      </c>
      <c r="P112" s="28"/>
      <c r="Q112" s="28"/>
      <c r="R112" s="28"/>
      <c r="S112" s="28"/>
      <c r="T112" s="28"/>
      <c r="U112" s="28"/>
      <c r="V112" s="28" t="s">
        <v>2</v>
      </c>
      <c r="W112" s="28" t="s">
        <v>2</v>
      </c>
      <c r="X112" s="28"/>
      <c r="Y112" s="28"/>
      <c r="Z112" s="28"/>
      <c r="AA112" s="28"/>
      <c r="AB112" s="28"/>
      <c r="AC112" s="27"/>
      <c r="AD112" s="28" t="s">
        <v>2</v>
      </c>
      <c r="AE112" s="28" t="s">
        <v>2</v>
      </c>
      <c r="AF112" s="27"/>
      <c r="AH112" s="12">
        <f t="shared" si="13"/>
        <v>0</v>
      </c>
      <c r="AI112" s="12">
        <f t="shared" si="14"/>
        <v>0</v>
      </c>
    </row>
    <row r="113" spans="1:35" ht="20.100000000000001" hidden="1" customHeight="1">
      <c r="A113" s="15" t="str">
        <f>ÖSSZES!$A$16</f>
        <v>Név14</v>
      </c>
      <c r="B113" s="28"/>
      <c r="C113" s="28"/>
      <c r="D113" s="28"/>
      <c r="E113" s="28"/>
      <c r="F113" s="28" t="s">
        <v>2</v>
      </c>
      <c r="G113" s="28" t="s">
        <v>2</v>
      </c>
      <c r="H113" s="28"/>
      <c r="I113" s="28"/>
      <c r="J113" s="28"/>
      <c r="K113" s="28"/>
      <c r="L113" s="28"/>
      <c r="M113" s="28"/>
      <c r="N113" s="28" t="s">
        <v>2</v>
      </c>
      <c r="O113" s="28" t="s">
        <v>2</v>
      </c>
      <c r="P113" s="28"/>
      <c r="Q113" s="28"/>
      <c r="R113" s="28"/>
      <c r="S113" s="28"/>
      <c r="T113" s="28"/>
      <c r="U113" s="28"/>
      <c r="V113" s="28" t="s">
        <v>2</v>
      </c>
      <c r="W113" s="28" t="s">
        <v>2</v>
      </c>
      <c r="X113" s="28"/>
      <c r="Y113" s="28"/>
      <c r="Z113" s="28"/>
      <c r="AA113" s="28"/>
      <c r="AB113" s="28"/>
      <c r="AC113" s="27"/>
      <c r="AD113" s="28" t="s">
        <v>2</v>
      </c>
      <c r="AE113" s="28" t="s">
        <v>2</v>
      </c>
      <c r="AF113" s="27"/>
      <c r="AH113" s="12">
        <f t="shared" si="13"/>
        <v>0</v>
      </c>
      <c r="AI113" s="12">
        <f t="shared" si="14"/>
        <v>0</v>
      </c>
    </row>
    <row r="114" spans="1:35" ht="20.100000000000001" hidden="1" customHeight="1">
      <c r="A114" s="15" t="str">
        <f>ÖSSZES!$A$17</f>
        <v>Név15</v>
      </c>
      <c r="B114" s="28"/>
      <c r="C114" s="28"/>
      <c r="D114" s="28"/>
      <c r="E114" s="28"/>
      <c r="F114" s="28" t="s">
        <v>2</v>
      </c>
      <c r="G114" s="28" t="s">
        <v>2</v>
      </c>
      <c r="H114" s="28"/>
      <c r="I114" s="28"/>
      <c r="J114" s="28"/>
      <c r="K114" s="28"/>
      <c r="L114" s="28"/>
      <c r="M114" s="28"/>
      <c r="N114" s="28" t="s">
        <v>2</v>
      </c>
      <c r="O114" s="28" t="s">
        <v>2</v>
      </c>
      <c r="P114" s="28"/>
      <c r="Q114" s="28"/>
      <c r="R114" s="28"/>
      <c r="S114" s="28"/>
      <c r="T114" s="28"/>
      <c r="U114" s="28"/>
      <c r="V114" s="28" t="s">
        <v>2</v>
      </c>
      <c r="W114" s="28" t="s">
        <v>2</v>
      </c>
      <c r="X114" s="28"/>
      <c r="Y114" s="28"/>
      <c r="Z114" s="28"/>
      <c r="AA114" s="28"/>
      <c r="AB114" s="28"/>
      <c r="AC114" s="27"/>
      <c r="AD114" s="28" t="s">
        <v>2</v>
      </c>
      <c r="AE114" s="28" t="s">
        <v>2</v>
      </c>
      <c r="AF114" s="27"/>
      <c r="AH114" s="12">
        <f t="shared" si="13"/>
        <v>0</v>
      </c>
      <c r="AI114" s="12">
        <f t="shared" si="14"/>
        <v>0</v>
      </c>
    </row>
    <row r="115" spans="1:35" ht="20.100000000000001" hidden="1" customHeight="1">
      <c r="A115" s="15" t="str">
        <f>ÖSSZES!$A$18</f>
        <v>Név16</v>
      </c>
      <c r="B115" s="28"/>
      <c r="C115" s="28"/>
      <c r="D115" s="28"/>
      <c r="E115" s="28"/>
      <c r="F115" s="28" t="s">
        <v>2</v>
      </c>
      <c r="G115" s="28" t="s">
        <v>2</v>
      </c>
      <c r="H115" s="28"/>
      <c r="I115" s="28"/>
      <c r="J115" s="28"/>
      <c r="K115" s="28"/>
      <c r="L115" s="28"/>
      <c r="M115" s="28"/>
      <c r="N115" s="28" t="s">
        <v>2</v>
      </c>
      <c r="O115" s="28" t="s">
        <v>2</v>
      </c>
      <c r="P115" s="28"/>
      <c r="Q115" s="28"/>
      <c r="R115" s="28"/>
      <c r="S115" s="28"/>
      <c r="T115" s="28"/>
      <c r="U115" s="28"/>
      <c r="V115" s="28" t="s">
        <v>2</v>
      </c>
      <c r="W115" s="28" t="s">
        <v>2</v>
      </c>
      <c r="X115" s="28"/>
      <c r="Y115" s="28"/>
      <c r="Z115" s="28"/>
      <c r="AA115" s="28"/>
      <c r="AB115" s="28"/>
      <c r="AC115" s="27"/>
      <c r="AD115" s="28" t="s">
        <v>2</v>
      </c>
      <c r="AE115" s="28" t="s">
        <v>2</v>
      </c>
      <c r="AF115" s="27"/>
      <c r="AH115" s="12">
        <f t="shared" si="13"/>
        <v>0</v>
      </c>
      <c r="AI115" s="12">
        <f t="shared" si="14"/>
        <v>0</v>
      </c>
    </row>
    <row r="116" spans="1:35" ht="20.100000000000001" hidden="1" customHeight="1">
      <c r="A116" s="15" t="str">
        <f>ÖSSZES!$A$19</f>
        <v>Név17</v>
      </c>
      <c r="B116" s="28"/>
      <c r="C116" s="28"/>
      <c r="D116" s="28"/>
      <c r="E116" s="28"/>
      <c r="F116" s="28" t="s">
        <v>2</v>
      </c>
      <c r="G116" s="28" t="s">
        <v>2</v>
      </c>
      <c r="H116" s="28"/>
      <c r="I116" s="28"/>
      <c r="J116" s="28"/>
      <c r="K116" s="28"/>
      <c r="L116" s="28"/>
      <c r="M116" s="28"/>
      <c r="N116" s="28" t="s">
        <v>2</v>
      </c>
      <c r="O116" s="28" t="s">
        <v>2</v>
      </c>
      <c r="P116" s="28"/>
      <c r="Q116" s="28"/>
      <c r="R116" s="28"/>
      <c r="S116" s="28"/>
      <c r="T116" s="28"/>
      <c r="U116" s="28"/>
      <c r="V116" s="28" t="s">
        <v>2</v>
      </c>
      <c r="W116" s="28" t="s">
        <v>2</v>
      </c>
      <c r="X116" s="28"/>
      <c r="Y116" s="28"/>
      <c r="Z116" s="28"/>
      <c r="AA116" s="28"/>
      <c r="AB116" s="28"/>
      <c r="AC116" s="27"/>
      <c r="AD116" s="28" t="s">
        <v>2</v>
      </c>
      <c r="AE116" s="28" t="s">
        <v>2</v>
      </c>
      <c r="AF116" s="27"/>
      <c r="AH116" s="12">
        <f t="shared" si="13"/>
        <v>0</v>
      </c>
      <c r="AI116" s="12">
        <f t="shared" si="14"/>
        <v>0</v>
      </c>
    </row>
    <row r="117" spans="1:35" ht="20.100000000000001" hidden="1" customHeight="1">
      <c r="A117" s="15" t="str">
        <f>ÖSSZES!$A$20</f>
        <v>Név18</v>
      </c>
      <c r="B117" s="28"/>
      <c r="C117" s="28"/>
      <c r="D117" s="28"/>
      <c r="E117" s="28"/>
      <c r="F117" s="28" t="s">
        <v>2</v>
      </c>
      <c r="G117" s="28" t="s">
        <v>2</v>
      </c>
      <c r="H117" s="28"/>
      <c r="I117" s="28"/>
      <c r="J117" s="28"/>
      <c r="K117" s="28"/>
      <c r="L117" s="28"/>
      <c r="M117" s="28"/>
      <c r="N117" s="28" t="s">
        <v>2</v>
      </c>
      <c r="O117" s="28" t="s">
        <v>2</v>
      </c>
      <c r="P117" s="28"/>
      <c r="Q117" s="28"/>
      <c r="R117" s="28"/>
      <c r="S117" s="28"/>
      <c r="T117" s="28"/>
      <c r="U117" s="28"/>
      <c r="V117" s="28" t="s">
        <v>2</v>
      </c>
      <c r="W117" s="28" t="s">
        <v>2</v>
      </c>
      <c r="X117" s="28"/>
      <c r="Y117" s="28"/>
      <c r="Z117" s="28"/>
      <c r="AA117" s="28"/>
      <c r="AB117" s="28"/>
      <c r="AC117" s="27"/>
      <c r="AD117" s="28" t="s">
        <v>2</v>
      </c>
      <c r="AE117" s="28" t="s">
        <v>2</v>
      </c>
      <c r="AF117" s="27"/>
      <c r="AH117" s="12">
        <f t="shared" si="13"/>
        <v>0</v>
      </c>
      <c r="AI117" s="12">
        <f t="shared" si="14"/>
        <v>0</v>
      </c>
    </row>
    <row r="118" spans="1:35" ht="20.100000000000001" hidden="1" customHeight="1">
      <c r="A118" s="15" t="str">
        <f>ÖSSZES!$A$21</f>
        <v>Név19</v>
      </c>
      <c r="B118" s="28"/>
      <c r="C118" s="28"/>
      <c r="D118" s="28"/>
      <c r="E118" s="28"/>
      <c r="F118" s="28" t="s">
        <v>2</v>
      </c>
      <c r="G118" s="28" t="s">
        <v>2</v>
      </c>
      <c r="H118" s="28"/>
      <c r="I118" s="28"/>
      <c r="J118" s="28"/>
      <c r="K118" s="28"/>
      <c r="L118" s="28"/>
      <c r="M118" s="28"/>
      <c r="N118" s="28" t="s">
        <v>2</v>
      </c>
      <c r="O118" s="28" t="s">
        <v>2</v>
      </c>
      <c r="P118" s="28"/>
      <c r="Q118" s="28"/>
      <c r="R118" s="28"/>
      <c r="S118" s="28"/>
      <c r="T118" s="28"/>
      <c r="U118" s="28"/>
      <c r="V118" s="28" t="s">
        <v>2</v>
      </c>
      <c r="W118" s="28" t="s">
        <v>2</v>
      </c>
      <c r="X118" s="28"/>
      <c r="Y118" s="28"/>
      <c r="Z118" s="28"/>
      <c r="AA118" s="28"/>
      <c r="AB118" s="28"/>
      <c r="AC118" s="27"/>
      <c r="AD118" s="28" t="s">
        <v>2</v>
      </c>
      <c r="AE118" s="28" t="s">
        <v>2</v>
      </c>
      <c r="AF118" s="27"/>
      <c r="AH118" s="12">
        <f t="shared" si="13"/>
        <v>0</v>
      </c>
      <c r="AI118" s="12">
        <f t="shared" si="14"/>
        <v>0</v>
      </c>
    </row>
    <row r="119" spans="1:35" ht="20.100000000000001" hidden="1" customHeight="1">
      <c r="A119" s="15" t="str">
        <f>ÖSSZES!$A$17</f>
        <v>Név15</v>
      </c>
      <c r="B119" s="28"/>
      <c r="C119" s="28"/>
      <c r="D119" s="28"/>
      <c r="E119" s="28"/>
      <c r="F119" s="28" t="s">
        <v>2</v>
      </c>
      <c r="G119" s="28" t="s">
        <v>2</v>
      </c>
      <c r="H119" s="28"/>
      <c r="I119" s="28"/>
      <c r="J119" s="28"/>
      <c r="K119" s="28"/>
      <c r="L119" s="28"/>
      <c r="M119" s="28"/>
      <c r="N119" s="28" t="s">
        <v>2</v>
      </c>
      <c r="O119" s="28" t="s">
        <v>2</v>
      </c>
      <c r="P119" s="28"/>
      <c r="Q119" s="28"/>
      <c r="R119" s="28"/>
      <c r="S119" s="28"/>
      <c r="T119" s="28"/>
      <c r="U119" s="28"/>
      <c r="V119" s="28" t="s">
        <v>2</v>
      </c>
      <c r="W119" s="28" t="s">
        <v>2</v>
      </c>
      <c r="X119" s="28"/>
      <c r="Y119" s="28"/>
      <c r="Z119" s="28"/>
      <c r="AA119" s="28"/>
      <c r="AB119" s="28"/>
      <c r="AC119" s="27"/>
      <c r="AD119" s="28" t="s">
        <v>2</v>
      </c>
      <c r="AE119" s="28" t="s">
        <v>2</v>
      </c>
      <c r="AF119" s="27"/>
      <c r="AH119" s="12">
        <f t="shared" si="13"/>
        <v>0</v>
      </c>
      <c r="AI119" s="12">
        <f t="shared" si="14"/>
        <v>0</v>
      </c>
    </row>
    <row r="120" spans="1:35" ht="20.100000000000001" customHeight="1"/>
    <row r="121" spans="1:35" s="21" customFormat="1" ht="20.100000000000001" customHeight="1">
      <c r="A121" s="43" t="s">
        <v>10</v>
      </c>
      <c r="B121" s="20">
        <v>1</v>
      </c>
      <c r="C121" s="20">
        <v>2</v>
      </c>
      <c r="D121" s="20">
        <v>3</v>
      </c>
      <c r="E121" s="20">
        <v>4</v>
      </c>
      <c r="F121" s="20">
        <v>5</v>
      </c>
      <c r="G121" s="20">
        <v>6</v>
      </c>
      <c r="H121" s="20">
        <v>7</v>
      </c>
      <c r="I121" s="20">
        <v>8</v>
      </c>
      <c r="J121" s="20">
        <v>9</v>
      </c>
      <c r="K121" s="20">
        <v>10</v>
      </c>
      <c r="L121" s="20">
        <v>11</v>
      </c>
      <c r="M121" s="20">
        <v>12</v>
      </c>
      <c r="N121" s="20">
        <v>13</v>
      </c>
      <c r="O121" s="20">
        <v>14</v>
      </c>
      <c r="P121" s="20">
        <v>15</v>
      </c>
      <c r="Q121" s="20">
        <v>16</v>
      </c>
      <c r="R121" s="20">
        <v>17</v>
      </c>
      <c r="S121" s="20">
        <v>18</v>
      </c>
      <c r="T121" s="20">
        <v>19</v>
      </c>
      <c r="U121" s="20">
        <v>20</v>
      </c>
      <c r="V121" s="20">
        <v>21</v>
      </c>
      <c r="W121" s="20">
        <v>22</v>
      </c>
      <c r="X121" s="20">
        <v>23</v>
      </c>
      <c r="Y121" s="20">
        <v>24</v>
      </c>
      <c r="Z121" s="20">
        <v>25</v>
      </c>
      <c r="AA121" s="20">
        <v>26</v>
      </c>
      <c r="AB121" s="20">
        <v>27</v>
      </c>
      <c r="AC121" s="20">
        <v>28</v>
      </c>
      <c r="AD121" s="20">
        <v>29</v>
      </c>
      <c r="AE121" s="20">
        <v>30</v>
      </c>
      <c r="AH121" s="43" t="s">
        <v>18</v>
      </c>
      <c r="AI121" s="43" t="s">
        <v>19</v>
      </c>
    </row>
    <row r="122" spans="1:35" ht="20.100000000000001" customHeight="1">
      <c r="A122" s="44"/>
      <c r="B122" s="22" t="str">
        <f>'2021'!B44</f>
        <v>K</v>
      </c>
      <c r="C122" s="22" t="str">
        <f>'2021'!C44</f>
        <v>Sze</v>
      </c>
      <c r="D122" s="22" t="str">
        <f>'2021'!D44</f>
        <v>Cs</v>
      </c>
      <c r="E122" s="22" t="str">
        <f>'2021'!E44</f>
        <v>P</v>
      </c>
      <c r="F122" s="22" t="str">
        <f>'2021'!F44</f>
        <v>Szo</v>
      </c>
      <c r="G122" s="22" t="str">
        <f>'2021'!G44</f>
        <v>V</v>
      </c>
      <c r="H122" s="22" t="str">
        <f>'2021'!H44</f>
        <v>H</v>
      </c>
      <c r="I122" s="22" t="str">
        <f>'2021'!I44</f>
        <v>K</v>
      </c>
      <c r="J122" s="22" t="str">
        <f>'2021'!J44</f>
        <v>Sze</v>
      </c>
      <c r="K122" s="22" t="str">
        <f>'2021'!K44</f>
        <v>Cs</v>
      </c>
      <c r="L122" s="22" t="str">
        <f>'2021'!L44</f>
        <v>P</v>
      </c>
      <c r="M122" s="22" t="str">
        <f>'2021'!M44</f>
        <v>Szo</v>
      </c>
      <c r="N122" s="22" t="str">
        <f>'2021'!N44</f>
        <v>V</v>
      </c>
      <c r="O122" s="22" t="str">
        <f>'2021'!O44</f>
        <v>H</v>
      </c>
      <c r="P122" s="22" t="str">
        <f>'2021'!P44</f>
        <v>K</v>
      </c>
      <c r="Q122" s="22" t="str">
        <f>'2021'!Q44</f>
        <v>Sze</v>
      </c>
      <c r="R122" s="22" t="str">
        <f>'2021'!R44</f>
        <v>Cs</v>
      </c>
      <c r="S122" s="22" t="str">
        <f>'2021'!S44</f>
        <v>P</v>
      </c>
      <c r="T122" s="22" t="str">
        <f>'2021'!T44</f>
        <v>Szo</v>
      </c>
      <c r="U122" s="22" t="str">
        <f>'2021'!U44</f>
        <v>V</v>
      </c>
      <c r="V122" s="22" t="str">
        <f>'2021'!V44</f>
        <v>H</v>
      </c>
      <c r="W122" s="22" t="str">
        <f>'2021'!W44</f>
        <v>K</v>
      </c>
      <c r="X122" s="22" t="str">
        <f>'2021'!X44</f>
        <v>Sze</v>
      </c>
      <c r="Y122" s="22" t="str">
        <f>'2021'!Y44</f>
        <v>Cs</v>
      </c>
      <c r="Z122" s="22" t="str">
        <f>'2021'!Z44</f>
        <v>P</v>
      </c>
      <c r="AA122" s="22" t="str">
        <f>'2021'!AA44</f>
        <v>Szo</v>
      </c>
      <c r="AB122" s="22" t="str">
        <f>'2021'!AB44</f>
        <v>V</v>
      </c>
      <c r="AC122" s="22" t="str">
        <f>'2021'!AC44</f>
        <v>H</v>
      </c>
      <c r="AD122" s="22" t="str">
        <f>'2021'!AD44</f>
        <v>K</v>
      </c>
      <c r="AE122" s="22" t="str">
        <f>'2021'!AE44</f>
        <v>Sze</v>
      </c>
      <c r="AF122" s="17"/>
      <c r="AH122" s="45"/>
      <c r="AI122" s="45"/>
    </row>
    <row r="123" spans="1:35" ht="20.100000000000001" customHeight="1">
      <c r="A123" s="45"/>
      <c r="B123" s="22">
        <f>'2021'!B45</f>
        <v>1</v>
      </c>
      <c r="C123" s="22">
        <f>'2021'!C45</f>
        <v>1</v>
      </c>
      <c r="D123" s="22">
        <f>'2021'!D45</f>
        <v>1</v>
      </c>
      <c r="E123" s="22">
        <f>'2021'!E45</f>
        <v>1</v>
      </c>
      <c r="F123" s="22">
        <f>'2021'!F45</f>
        <v>1</v>
      </c>
      <c r="G123" s="22" t="str">
        <f>'2021'!G45</f>
        <v>X</v>
      </c>
      <c r="H123" s="22" t="str">
        <f>'2021'!H45</f>
        <v>X</v>
      </c>
      <c r="I123" s="22">
        <f>'2021'!I45</f>
        <v>3</v>
      </c>
      <c r="J123" s="22">
        <f>'2021'!J45</f>
        <v>3</v>
      </c>
      <c r="K123" s="22">
        <f>'2021'!K45</f>
        <v>3</v>
      </c>
      <c r="L123" s="22">
        <f>'2021'!L45</f>
        <v>3</v>
      </c>
      <c r="M123" s="22">
        <f>'2021'!M45</f>
        <v>3</v>
      </c>
      <c r="N123" s="22">
        <f>'2021'!N45</f>
        <v>3</v>
      </c>
      <c r="O123" s="22" t="str">
        <f>'2021'!O45</f>
        <v>X</v>
      </c>
      <c r="P123" s="22" t="str">
        <f>'2021'!P45</f>
        <v>X</v>
      </c>
      <c r="Q123" s="22">
        <f>'2021'!Q45</f>
        <v>2</v>
      </c>
      <c r="R123" s="22">
        <f>'2021'!R45</f>
        <v>2</v>
      </c>
      <c r="S123" s="22">
        <f>'2021'!S45</f>
        <v>2</v>
      </c>
      <c r="T123" s="22">
        <f>'2021'!T45</f>
        <v>2</v>
      </c>
      <c r="U123" s="22">
        <f>'2021'!U45</f>
        <v>2</v>
      </c>
      <c r="V123" s="22">
        <f>'2021'!V45</f>
        <v>2</v>
      </c>
      <c r="W123" s="22" t="str">
        <f>'2021'!W45</f>
        <v>X</v>
      </c>
      <c r="X123" s="22" t="str">
        <f>'2021'!X45</f>
        <v>X</v>
      </c>
      <c r="Y123" s="22">
        <f>'2021'!Y45</f>
        <v>1</v>
      </c>
      <c r="Z123" s="22">
        <f>'2021'!Z45</f>
        <v>1</v>
      </c>
      <c r="AA123" s="22">
        <f>'2021'!AA45</f>
        <v>1</v>
      </c>
      <c r="AB123" s="22">
        <f>'2021'!AB45</f>
        <v>1</v>
      </c>
      <c r="AC123" s="22">
        <f>'2021'!AC45</f>
        <v>1</v>
      </c>
      <c r="AD123" s="22">
        <f>'2021'!AD45</f>
        <v>1</v>
      </c>
      <c r="AE123" s="22" t="str">
        <f>'2021'!AE45</f>
        <v>X</v>
      </c>
      <c r="AF123" s="17"/>
      <c r="AH123" s="45"/>
      <c r="AI123" s="45"/>
    </row>
    <row r="124" spans="1:35" ht="20.100000000000001" customHeight="1">
      <c r="A124" s="15" t="str">
        <f>ÖSSZES!$A$3</f>
        <v>Csuka Lajos</v>
      </c>
      <c r="B124" s="28"/>
      <c r="C124" s="28"/>
      <c r="D124" s="28"/>
      <c r="E124" s="28"/>
      <c r="F124" s="28"/>
      <c r="G124" s="28" t="s">
        <v>2</v>
      </c>
      <c r="H124" s="28" t="s">
        <v>2</v>
      </c>
      <c r="I124" s="28"/>
      <c r="J124" s="28"/>
      <c r="K124" s="28"/>
      <c r="L124" s="28"/>
      <c r="M124" s="28"/>
      <c r="N124" s="28"/>
      <c r="O124" s="28" t="s">
        <v>2</v>
      </c>
      <c r="P124" s="28" t="s">
        <v>2</v>
      </c>
      <c r="Q124" s="28"/>
      <c r="R124" s="28"/>
      <c r="S124" s="28"/>
      <c r="T124" s="28"/>
      <c r="U124" s="28"/>
      <c r="V124" s="28"/>
      <c r="W124" s="28" t="s">
        <v>2</v>
      </c>
      <c r="X124" s="28" t="s">
        <v>2</v>
      </c>
      <c r="Y124" s="28"/>
      <c r="Z124" s="28"/>
      <c r="AA124" s="28"/>
      <c r="AB124" s="28"/>
      <c r="AC124" s="28"/>
      <c r="AD124" s="28"/>
      <c r="AE124" s="28" t="s">
        <v>2</v>
      </c>
      <c r="AF124" s="17"/>
      <c r="AH124" s="12">
        <f>1*COUNTIF(A124:AF124,"+")</f>
        <v>0</v>
      </c>
      <c r="AI124" s="12">
        <f t="shared" ref="AI124" si="15">1*COUNTIF(B124:AF124,"szf")</f>
        <v>0</v>
      </c>
    </row>
    <row r="125" spans="1:35" ht="20.100000000000001" customHeight="1">
      <c r="A125" s="15" t="str">
        <f>ÖSSZES!$A$4</f>
        <v>Batiz Attila</v>
      </c>
      <c r="B125" s="28"/>
      <c r="C125" s="28"/>
      <c r="D125" s="28"/>
      <c r="E125" s="28"/>
      <c r="F125" s="28"/>
      <c r="G125" s="28" t="s">
        <v>2</v>
      </c>
      <c r="H125" s="28" t="s">
        <v>2</v>
      </c>
      <c r="I125" s="28"/>
      <c r="J125" s="28"/>
      <c r="K125" s="28"/>
      <c r="L125" s="28"/>
      <c r="M125" s="28"/>
      <c r="N125" s="28"/>
      <c r="O125" s="28" t="s">
        <v>2</v>
      </c>
      <c r="P125" s="28" t="s">
        <v>2</v>
      </c>
      <c r="Q125" s="28"/>
      <c r="R125" s="28"/>
      <c r="S125" s="28"/>
      <c r="T125" s="28"/>
      <c r="U125" s="28"/>
      <c r="V125" s="28"/>
      <c r="W125" s="28" t="s">
        <v>2</v>
      </c>
      <c r="X125" s="28" t="s">
        <v>2</v>
      </c>
      <c r="Y125" s="28"/>
      <c r="Z125" s="28"/>
      <c r="AA125" s="28"/>
      <c r="AB125" s="28"/>
      <c r="AC125" s="28"/>
      <c r="AD125" s="28"/>
      <c r="AE125" s="28" t="s">
        <v>2</v>
      </c>
      <c r="AF125" s="17"/>
      <c r="AH125" s="12">
        <f t="shared" ref="AH125:AH143" si="16">1*COUNTIF(A125:AF125,"+")</f>
        <v>0</v>
      </c>
      <c r="AI125" s="12">
        <f t="shared" ref="AI125:AI143" si="17">1*COUNTIF(B125:AF125,"szf")</f>
        <v>0</v>
      </c>
    </row>
    <row r="126" spans="1:35" ht="20.100000000000001" customHeight="1">
      <c r="A126" s="15" t="str">
        <f>ÖSSZES!$A$5</f>
        <v>Füredi Antal</v>
      </c>
      <c r="B126" s="28"/>
      <c r="C126" s="28"/>
      <c r="D126" s="28"/>
      <c r="E126" s="28"/>
      <c r="F126" s="28"/>
      <c r="G126" s="28" t="s">
        <v>2</v>
      </c>
      <c r="H126" s="28" t="s">
        <v>2</v>
      </c>
      <c r="I126" s="28"/>
      <c r="J126" s="28"/>
      <c r="K126" s="28"/>
      <c r="L126" s="28"/>
      <c r="M126" s="28"/>
      <c r="N126" s="28"/>
      <c r="O126" s="28" t="s">
        <v>2</v>
      </c>
      <c r="P126" s="28" t="s">
        <v>2</v>
      </c>
      <c r="Q126" s="28"/>
      <c r="R126" s="28"/>
      <c r="S126" s="28"/>
      <c r="T126" s="28"/>
      <c r="U126" s="28"/>
      <c r="V126" s="28"/>
      <c r="W126" s="28" t="s">
        <v>2</v>
      </c>
      <c r="X126" s="28" t="s">
        <v>2</v>
      </c>
      <c r="Y126" s="28"/>
      <c r="Z126" s="28"/>
      <c r="AA126" s="28"/>
      <c r="AB126" s="28"/>
      <c r="AC126" s="28"/>
      <c r="AD126" s="28"/>
      <c r="AE126" s="28" t="s">
        <v>2</v>
      </c>
      <c r="AF126" s="17"/>
      <c r="AH126" s="12">
        <f t="shared" si="16"/>
        <v>0</v>
      </c>
      <c r="AI126" s="12">
        <f t="shared" si="17"/>
        <v>0</v>
      </c>
    </row>
    <row r="127" spans="1:35" ht="20.100000000000001" customHeight="1">
      <c r="A127" s="15" t="str">
        <f>ÖSSZES!$A$6</f>
        <v>Iványi István</v>
      </c>
      <c r="B127" s="28"/>
      <c r="C127" s="28"/>
      <c r="D127" s="28"/>
      <c r="E127" s="28"/>
      <c r="F127" s="28"/>
      <c r="G127" s="28" t="s">
        <v>2</v>
      </c>
      <c r="H127" s="28" t="s">
        <v>2</v>
      </c>
      <c r="I127" s="28"/>
      <c r="J127" s="28"/>
      <c r="K127" s="28"/>
      <c r="L127" s="28"/>
      <c r="M127" s="28"/>
      <c r="N127" s="28"/>
      <c r="O127" s="28" t="s">
        <v>2</v>
      </c>
      <c r="P127" s="28" t="s">
        <v>2</v>
      </c>
      <c r="Q127" s="28"/>
      <c r="R127" s="28"/>
      <c r="S127" s="28"/>
      <c r="T127" s="28"/>
      <c r="U127" s="28"/>
      <c r="V127" s="28"/>
      <c r="W127" s="28" t="s">
        <v>2</v>
      </c>
      <c r="X127" s="28" t="s">
        <v>2</v>
      </c>
      <c r="Y127" s="28"/>
      <c r="Z127" s="28"/>
      <c r="AA127" s="28"/>
      <c r="AB127" s="28"/>
      <c r="AC127" s="28"/>
      <c r="AD127" s="28"/>
      <c r="AE127" s="28" t="s">
        <v>2</v>
      </c>
      <c r="AF127" s="17"/>
      <c r="AH127" s="12">
        <f t="shared" si="16"/>
        <v>0</v>
      </c>
      <c r="AI127" s="12">
        <f t="shared" si="17"/>
        <v>0</v>
      </c>
    </row>
    <row r="128" spans="1:35" ht="20.100000000000001" customHeight="1">
      <c r="A128" s="15" t="str">
        <f>ÖSSZES!$A$7</f>
        <v>Katonka Tibor</v>
      </c>
      <c r="B128" s="28"/>
      <c r="C128" s="28"/>
      <c r="D128" s="28"/>
      <c r="E128" s="28"/>
      <c r="F128" s="28"/>
      <c r="G128" s="28" t="s">
        <v>2</v>
      </c>
      <c r="H128" s="28" t="s">
        <v>2</v>
      </c>
      <c r="I128" s="28"/>
      <c r="J128" s="28"/>
      <c r="K128" s="28"/>
      <c r="L128" s="28"/>
      <c r="M128" s="28"/>
      <c r="N128" s="28"/>
      <c r="O128" s="28" t="s">
        <v>2</v>
      </c>
      <c r="P128" s="28" t="s">
        <v>2</v>
      </c>
      <c r="Q128" s="28"/>
      <c r="R128" s="28"/>
      <c r="S128" s="28"/>
      <c r="T128" s="28"/>
      <c r="U128" s="28"/>
      <c r="V128" s="28"/>
      <c r="W128" s="28" t="s">
        <v>2</v>
      </c>
      <c r="X128" s="28" t="s">
        <v>2</v>
      </c>
      <c r="Y128" s="28"/>
      <c r="Z128" s="28"/>
      <c r="AA128" s="28"/>
      <c r="AB128" s="28"/>
      <c r="AC128" s="28"/>
      <c r="AD128" s="28"/>
      <c r="AE128" s="28" t="s">
        <v>2</v>
      </c>
      <c r="AF128" s="17"/>
      <c r="AH128" s="12">
        <f t="shared" si="16"/>
        <v>0</v>
      </c>
      <c r="AI128" s="12">
        <f t="shared" si="17"/>
        <v>0</v>
      </c>
    </row>
    <row r="129" spans="1:35" ht="20.100000000000001" customHeight="1">
      <c r="A129" s="15" t="str">
        <f>ÖSSZES!$A$8</f>
        <v>Mizsák Péter</v>
      </c>
      <c r="B129" s="28"/>
      <c r="C129" s="28"/>
      <c r="D129" s="28"/>
      <c r="E129" s="28"/>
      <c r="F129" s="28"/>
      <c r="G129" s="28" t="s">
        <v>2</v>
      </c>
      <c r="H129" s="28" t="s">
        <v>2</v>
      </c>
      <c r="I129" s="28"/>
      <c r="J129" s="28"/>
      <c r="K129" s="28"/>
      <c r="L129" s="28"/>
      <c r="M129" s="28"/>
      <c r="N129" s="28"/>
      <c r="O129" s="28" t="s">
        <v>2</v>
      </c>
      <c r="P129" s="28" t="s">
        <v>2</v>
      </c>
      <c r="Q129" s="28"/>
      <c r="R129" s="28"/>
      <c r="S129" s="28"/>
      <c r="T129" s="28"/>
      <c r="U129" s="28"/>
      <c r="V129" s="28"/>
      <c r="W129" s="28" t="s">
        <v>2</v>
      </c>
      <c r="X129" s="28" t="s">
        <v>2</v>
      </c>
      <c r="Y129" s="28"/>
      <c r="Z129" s="28"/>
      <c r="AA129" s="28"/>
      <c r="AB129" s="28"/>
      <c r="AC129" s="28"/>
      <c r="AD129" s="28"/>
      <c r="AE129" s="28" t="s">
        <v>2</v>
      </c>
      <c r="AF129" s="17"/>
      <c r="AH129" s="12">
        <f t="shared" si="16"/>
        <v>0</v>
      </c>
      <c r="AI129" s="12">
        <f t="shared" si="17"/>
        <v>0</v>
      </c>
    </row>
    <row r="130" spans="1:35" ht="20.100000000000001" customHeight="1">
      <c r="A130" s="15" t="str">
        <f>ÖSSZES!$A$9</f>
        <v>Vatamány Gergő</v>
      </c>
      <c r="B130" s="28"/>
      <c r="C130" s="28"/>
      <c r="D130" s="28"/>
      <c r="E130" s="28"/>
      <c r="F130" s="28"/>
      <c r="G130" s="28" t="s">
        <v>2</v>
      </c>
      <c r="H130" s="28" t="s">
        <v>2</v>
      </c>
      <c r="I130" s="28"/>
      <c r="J130" s="28"/>
      <c r="K130" s="28"/>
      <c r="L130" s="28"/>
      <c r="M130" s="28"/>
      <c r="N130" s="28"/>
      <c r="O130" s="28" t="s">
        <v>2</v>
      </c>
      <c r="P130" s="28" t="s">
        <v>2</v>
      </c>
      <c r="Q130" s="28"/>
      <c r="R130" s="28"/>
      <c r="S130" s="28"/>
      <c r="T130" s="28"/>
      <c r="U130" s="28"/>
      <c r="V130" s="28"/>
      <c r="W130" s="28" t="s">
        <v>2</v>
      </c>
      <c r="X130" s="28" t="s">
        <v>2</v>
      </c>
      <c r="Y130" s="28"/>
      <c r="Z130" s="28"/>
      <c r="AA130" s="28"/>
      <c r="AB130" s="28"/>
      <c r="AC130" s="28"/>
      <c r="AD130" s="28"/>
      <c r="AE130" s="28" t="s">
        <v>2</v>
      </c>
      <c r="AF130" s="17"/>
      <c r="AH130" s="12">
        <f t="shared" si="16"/>
        <v>0</v>
      </c>
      <c r="AI130" s="12">
        <f t="shared" si="17"/>
        <v>0</v>
      </c>
    </row>
    <row r="131" spans="1:35" ht="20.100000000000001" hidden="1" customHeight="1">
      <c r="A131" s="15" t="str">
        <f>ÖSSZES!$A$10</f>
        <v>Név8</v>
      </c>
      <c r="B131" s="28"/>
      <c r="C131" s="28"/>
      <c r="D131" s="28"/>
      <c r="E131" s="28"/>
      <c r="F131" s="28"/>
      <c r="G131" s="28" t="s">
        <v>2</v>
      </c>
      <c r="H131" s="28" t="s">
        <v>2</v>
      </c>
      <c r="I131" s="28"/>
      <c r="J131" s="28"/>
      <c r="K131" s="28"/>
      <c r="L131" s="28"/>
      <c r="M131" s="28"/>
      <c r="N131" s="28"/>
      <c r="O131" s="28" t="s">
        <v>2</v>
      </c>
      <c r="P131" s="28" t="s">
        <v>2</v>
      </c>
      <c r="Q131" s="28"/>
      <c r="R131" s="28"/>
      <c r="S131" s="28"/>
      <c r="T131" s="28"/>
      <c r="U131" s="28"/>
      <c r="V131" s="28"/>
      <c r="W131" s="28" t="s">
        <v>2</v>
      </c>
      <c r="X131" s="28" t="s">
        <v>2</v>
      </c>
      <c r="Y131" s="28"/>
      <c r="Z131" s="28"/>
      <c r="AA131" s="28"/>
      <c r="AB131" s="28"/>
      <c r="AC131" s="28"/>
      <c r="AD131" s="28"/>
      <c r="AE131" s="28" t="s">
        <v>2</v>
      </c>
      <c r="AF131" s="17"/>
      <c r="AH131" s="12">
        <f t="shared" si="16"/>
        <v>0</v>
      </c>
      <c r="AI131" s="12">
        <f t="shared" si="17"/>
        <v>0</v>
      </c>
    </row>
    <row r="132" spans="1:35" ht="20.100000000000001" hidden="1" customHeight="1">
      <c r="A132" s="15" t="str">
        <f>ÖSSZES!$A$11</f>
        <v>Név9</v>
      </c>
      <c r="B132" s="28"/>
      <c r="C132" s="28"/>
      <c r="D132" s="28"/>
      <c r="E132" s="28"/>
      <c r="F132" s="28"/>
      <c r="G132" s="28" t="s">
        <v>2</v>
      </c>
      <c r="H132" s="28" t="s">
        <v>2</v>
      </c>
      <c r="I132" s="28"/>
      <c r="J132" s="28"/>
      <c r="K132" s="28"/>
      <c r="L132" s="28"/>
      <c r="M132" s="28"/>
      <c r="N132" s="28"/>
      <c r="O132" s="28" t="s">
        <v>2</v>
      </c>
      <c r="P132" s="28" t="s">
        <v>2</v>
      </c>
      <c r="Q132" s="28"/>
      <c r="R132" s="28"/>
      <c r="S132" s="28"/>
      <c r="T132" s="28"/>
      <c r="U132" s="28"/>
      <c r="V132" s="28"/>
      <c r="W132" s="28" t="s">
        <v>2</v>
      </c>
      <c r="X132" s="28" t="s">
        <v>2</v>
      </c>
      <c r="Y132" s="28"/>
      <c r="Z132" s="28"/>
      <c r="AA132" s="28"/>
      <c r="AB132" s="28"/>
      <c r="AC132" s="28"/>
      <c r="AD132" s="28"/>
      <c r="AE132" s="28" t="s">
        <v>2</v>
      </c>
      <c r="AF132" s="17"/>
      <c r="AH132" s="12">
        <f t="shared" si="16"/>
        <v>0</v>
      </c>
      <c r="AI132" s="12">
        <f t="shared" si="17"/>
        <v>0</v>
      </c>
    </row>
    <row r="133" spans="1:35" ht="20.100000000000001" hidden="1" customHeight="1">
      <c r="A133" s="15" t="str">
        <f>ÖSSZES!$A$12</f>
        <v>Név10</v>
      </c>
      <c r="B133" s="28"/>
      <c r="C133" s="28"/>
      <c r="D133" s="28"/>
      <c r="E133" s="28"/>
      <c r="F133" s="28"/>
      <c r="G133" s="28" t="s">
        <v>2</v>
      </c>
      <c r="H133" s="28" t="s">
        <v>2</v>
      </c>
      <c r="I133" s="28"/>
      <c r="J133" s="28"/>
      <c r="K133" s="28"/>
      <c r="L133" s="28"/>
      <c r="M133" s="28"/>
      <c r="N133" s="28"/>
      <c r="O133" s="28" t="s">
        <v>2</v>
      </c>
      <c r="P133" s="28" t="s">
        <v>2</v>
      </c>
      <c r="Q133" s="28"/>
      <c r="R133" s="28"/>
      <c r="S133" s="28"/>
      <c r="T133" s="28"/>
      <c r="U133" s="28"/>
      <c r="V133" s="28"/>
      <c r="W133" s="28" t="s">
        <v>2</v>
      </c>
      <c r="X133" s="28" t="s">
        <v>2</v>
      </c>
      <c r="Y133" s="28"/>
      <c r="Z133" s="28"/>
      <c r="AA133" s="28"/>
      <c r="AB133" s="28"/>
      <c r="AC133" s="28"/>
      <c r="AD133" s="28"/>
      <c r="AE133" s="28" t="s">
        <v>2</v>
      </c>
      <c r="AF133" s="17"/>
      <c r="AH133" s="12">
        <f t="shared" si="16"/>
        <v>0</v>
      </c>
      <c r="AI133" s="12">
        <f t="shared" si="17"/>
        <v>0</v>
      </c>
    </row>
    <row r="134" spans="1:35" ht="20.100000000000001" hidden="1" customHeight="1">
      <c r="A134" s="15" t="str">
        <f>ÖSSZES!$A$13</f>
        <v>Név11</v>
      </c>
      <c r="B134" s="28"/>
      <c r="C134" s="28"/>
      <c r="D134" s="28"/>
      <c r="E134" s="28"/>
      <c r="F134" s="28"/>
      <c r="G134" s="28" t="s">
        <v>2</v>
      </c>
      <c r="H134" s="28" t="s">
        <v>2</v>
      </c>
      <c r="I134" s="28"/>
      <c r="J134" s="28"/>
      <c r="K134" s="28"/>
      <c r="L134" s="28"/>
      <c r="M134" s="28"/>
      <c r="N134" s="28"/>
      <c r="O134" s="28" t="s">
        <v>2</v>
      </c>
      <c r="P134" s="28" t="s">
        <v>2</v>
      </c>
      <c r="Q134" s="28"/>
      <c r="R134" s="28"/>
      <c r="S134" s="28"/>
      <c r="T134" s="28"/>
      <c r="U134" s="28"/>
      <c r="V134" s="28"/>
      <c r="W134" s="28" t="s">
        <v>2</v>
      </c>
      <c r="X134" s="28" t="s">
        <v>2</v>
      </c>
      <c r="Y134" s="28"/>
      <c r="Z134" s="28"/>
      <c r="AA134" s="28"/>
      <c r="AB134" s="28"/>
      <c r="AC134" s="28"/>
      <c r="AD134" s="28"/>
      <c r="AE134" s="28" t="s">
        <v>2</v>
      </c>
      <c r="AF134" s="17"/>
      <c r="AH134" s="12">
        <f t="shared" si="16"/>
        <v>0</v>
      </c>
      <c r="AI134" s="12">
        <f t="shared" si="17"/>
        <v>0</v>
      </c>
    </row>
    <row r="135" spans="1:35" ht="20.100000000000001" hidden="1" customHeight="1">
      <c r="A135" s="15" t="str">
        <f>ÖSSZES!$A$14</f>
        <v>Név12</v>
      </c>
      <c r="B135" s="28"/>
      <c r="C135" s="28"/>
      <c r="D135" s="28"/>
      <c r="E135" s="28"/>
      <c r="F135" s="28"/>
      <c r="G135" s="28" t="s">
        <v>2</v>
      </c>
      <c r="H135" s="28" t="s">
        <v>2</v>
      </c>
      <c r="I135" s="28"/>
      <c r="J135" s="28"/>
      <c r="K135" s="28"/>
      <c r="L135" s="28"/>
      <c r="M135" s="28"/>
      <c r="N135" s="28"/>
      <c r="O135" s="28" t="s">
        <v>2</v>
      </c>
      <c r="P135" s="28" t="s">
        <v>2</v>
      </c>
      <c r="Q135" s="28"/>
      <c r="R135" s="28"/>
      <c r="S135" s="28"/>
      <c r="T135" s="28"/>
      <c r="U135" s="28"/>
      <c r="V135" s="28"/>
      <c r="W135" s="28" t="s">
        <v>2</v>
      </c>
      <c r="X135" s="28" t="s">
        <v>2</v>
      </c>
      <c r="Y135" s="28"/>
      <c r="Z135" s="28"/>
      <c r="AA135" s="28"/>
      <c r="AB135" s="28"/>
      <c r="AC135" s="28"/>
      <c r="AD135" s="28"/>
      <c r="AE135" s="28" t="s">
        <v>2</v>
      </c>
      <c r="AF135" s="17"/>
      <c r="AH135" s="12">
        <f t="shared" si="16"/>
        <v>0</v>
      </c>
      <c r="AI135" s="12">
        <f t="shared" si="17"/>
        <v>0</v>
      </c>
    </row>
    <row r="136" spans="1:35" ht="20.100000000000001" hidden="1" customHeight="1">
      <c r="A136" s="15" t="str">
        <f>ÖSSZES!$A$15</f>
        <v>Név13</v>
      </c>
      <c r="B136" s="28"/>
      <c r="C136" s="28"/>
      <c r="D136" s="28"/>
      <c r="E136" s="28"/>
      <c r="F136" s="28"/>
      <c r="G136" s="28" t="s">
        <v>2</v>
      </c>
      <c r="H136" s="28" t="s">
        <v>2</v>
      </c>
      <c r="I136" s="28"/>
      <c r="J136" s="28"/>
      <c r="K136" s="28"/>
      <c r="L136" s="28"/>
      <c r="M136" s="28"/>
      <c r="N136" s="28"/>
      <c r="O136" s="28" t="s">
        <v>2</v>
      </c>
      <c r="P136" s="28" t="s">
        <v>2</v>
      </c>
      <c r="Q136" s="28"/>
      <c r="R136" s="28"/>
      <c r="S136" s="28"/>
      <c r="T136" s="28"/>
      <c r="U136" s="28"/>
      <c r="V136" s="28"/>
      <c r="W136" s="28" t="s">
        <v>2</v>
      </c>
      <c r="X136" s="28" t="s">
        <v>2</v>
      </c>
      <c r="Y136" s="28"/>
      <c r="Z136" s="28"/>
      <c r="AA136" s="28"/>
      <c r="AB136" s="28"/>
      <c r="AC136" s="28"/>
      <c r="AD136" s="28"/>
      <c r="AE136" s="28" t="s">
        <v>2</v>
      </c>
      <c r="AF136" s="17"/>
      <c r="AH136" s="12">
        <f t="shared" si="16"/>
        <v>0</v>
      </c>
      <c r="AI136" s="12">
        <f t="shared" si="17"/>
        <v>0</v>
      </c>
    </row>
    <row r="137" spans="1:35" ht="20.100000000000001" hidden="1" customHeight="1">
      <c r="A137" s="15" t="str">
        <f>ÖSSZES!$A$16</f>
        <v>Név14</v>
      </c>
      <c r="B137" s="28"/>
      <c r="C137" s="28"/>
      <c r="D137" s="28"/>
      <c r="E137" s="28"/>
      <c r="F137" s="28"/>
      <c r="G137" s="28" t="s">
        <v>2</v>
      </c>
      <c r="H137" s="28" t="s">
        <v>2</v>
      </c>
      <c r="I137" s="28"/>
      <c r="J137" s="28"/>
      <c r="K137" s="28"/>
      <c r="L137" s="28"/>
      <c r="M137" s="28"/>
      <c r="N137" s="28"/>
      <c r="O137" s="28" t="s">
        <v>2</v>
      </c>
      <c r="P137" s="28" t="s">
        <v>2</v>
      </c>
      <c r="Q137" s="28"/>
      <c r="R137" s="28"/>
      <c r="S137" s="28"/>
      <c r="T137" s="28"/>
      <c r="U137" s="28"/>
      <c r="V137" s="28"/>
      <c r="W137" s="28" t="s">
        <v>2</v>
      </c>
      <c r="X137" s="28" t="s">
        <v>2</v>
      </c>
      <c r="Y137" s="28"/>
      <c r="Z137" s="28"/>
      <c r="AA137" s="28"/>
      <c r="AB137" s="28"/>
      <c r="AC137" s="28"/>
      <c r="AD137" s="28"/>
      <c r="AE137" s="28" t="s">
        <v>2</v>
      </c>
      <c r="AF137" s="17"/>
      <c r="AH137" s="12">
        <f t="shared" si="16"/>
        <v>0</v>
      </c>
      <c r="AI137" s="12">
        <f t="shared" si="17"/>
        <v>0</v>
      </c>
    </row>
    <row r="138" spans="1:35" ht="20.100000000000001" hidden="1" customHeight="1">
      <c r="A138" s="15" t="str">
        <f>ÖSSZES!$A$17</f>
        <v>Név15</v>
      </c>
      <c r="B138" s="28"/>
      <c r="C138" s="28"/>
      <c r="D138" s="28"/>
      <c r="E138" s="28"/>
      <c r="F138" s="28"/>
      <c r="G138" s="28" t="s">
        <v>2</v>
      </c>
      <c r="H138" s="28" t="s">
        <v>2</v>
      </c>
      <c r="I138" s="28"/>
      <c r="J138" s="28"/>
      <c r="K138" s="28"/>
      <c r="L138" s="28"/>
      <c r="M138" s="28"/>
      <c r="N138" s="28"/>
      <c r="O138" s="28" t="s">
        <v>2</v>
      </c>
      <c r="P138" s="28" t="s">
        <v>2</v>
      </c>
      <c r="Q138" s="28"/>
      <c r="R138" s="28"/>
      <c r="S138" s="28"/>
      <c r="T138" s="28"/>
      <c r="U138" s="28"/>
      <c r="V138" s="28"/>
      <c r="W138" s="28" t="s">
        <v>2</v>
      </c>
      <c r="X138" s="28" t="s">
        <v>2</v>
      </c>
      <c r="Y138" s="28"/>
      <c r="Z138" s="28"/>
      <c r="AA138" s="28"/>
      <c r="AB138" s="28"/>
      <c r="AC138" s="28"/>
      <c r="AD138" s="28"/>
      <c r="AE138" s="28" t="s">
        <v>2</v>
      </c>
      <c r="AF138" s="17"/>
      <c r="AH138" s="12">
        <f t="shared" si="16"/>
        <v>0</v>
      </c>
      <c r="AI138" s="12">
        <f t="shared" si="17"/>
        <v>0</v>
      </c>
    </row>
    <row r="139" spans="1:35" ht="20.100000000000001" hidden="1" customHeight="1">
      <c r="A139" s="15" t="str">
        <f>ÖSSZES!$A$18</f>
        <v>Név16</v>
      </c>
      <c r="B139" s="28"/>
      <c r="C139" s="28"/>
      <c r="D139" s="28"/>
      <c r="E139" s="28"/>
      <c r="F139" s="28"/>
      <c r="G139" s="28" t="s">
        <v>2</v>
      </c>
      <c r="H139" s="28" t="s">
        <v>2</v>
      </c>
      <c r="I139" s="28"/>
      <c r="J139" s="28"/>
      <c r="K139" s="28"/>
      <c r="L139" s="28"/>
      <c r="M139" s="28"/>
      <c r="N139" s="28"/>
      <c r="O139" s="28" t="s">
        <v>2</v>
      </c>
      <c r="P139" s="28" t="s">
        <v>2</v>
      </c>
      <c r="Q139" s="28"/>
      <c r="R139" s="28"/>
      <c r="S139" s="28"/>
      <c r="T139" s="28"/>
      <c r="U139" s="28"/>
      <c r="V139" s="28"/>
      <c r="W139" s="28" t="s">
        <v>2</v>
      </c>
      <c r="X139" s="28" t="s">
        <v>2</v>
      </c>
      <c r="Y139" s="28"/>
      <c r="Z139" s="28"/>
      <c r="AA139" s="28"/>
      <c r="AB139" s="28"/>
      <c r="AC139" s="28"/>
      <c r="AD139" s="28"/>
      <c r="AE139" s="28" t="s">
        <v>2</v>
      </c>
      <c r="AF139" s="17"/>
      <c r="AH139" s="12">
        <f t="shared" si="16"/>
        <v>0</v>
      </c>
      <c r="AI139" s="12">
        <f t="shared" si="17"/>
        <v>0</v>
      </c>
    </row>
    <row r="140" spans="1:35" ht="20.100000000000001" hidden="1" customHeight="1">
      <c r="A140" s="15" t="str">
        <f>ÖSSZES!$A$19</f>
        <v>Név17</v>
      </c>
      <c r="B140" s="28"/>
      <c r="C140" s="28"/>
      <c r="D140" s="28"/>
      <c r="E140" s="28"/>
      <c r="F140" s="28"/>
      <c r="G140" s="28" t="s">
        <v>2</v>
      </c>
      <c r="H140" s="28" t="s">
        <v>2</v>
      </c>
      <c r="I140" s="28"/>
      <c r="J140" s="28"/>
      <c r="K140" s="28"/>
      <c r="L140" s="28"/>
      <c r="M140" s="28"/>
      <c r="N140" s="28"/>
      <c r="O140" s="28" t="s">
        <v>2</v>
      </c>
      <c r="P140" s="28" t="s">
        <v>2</v>
      </c>
      <c r="Q140" s="28"/>
      <c r="R140" s="28"/>
      <c r="S140" s="28"/>
      <c r="T140" s="28"/>
      <c r="U140" s="28"/>
      <c r="V140" s="28"/>
      <c r="W140" s="28" t="s">
        <v>2</v>
      </c>
      <c r="X140" s="28" t="s">
        <v>2</v>
      </c>
      <c r="Y140" s="28"/>
      <c r="Z140" s="28"/>
      <c r="AA140" s="28"/>
      <c r="AB140" s="28"/>
      <c r="AC140" s="28"/>
      <c r="AD140" s="28"/>
      <c r="AE140" s="28" t="s">
        <v>2</v>
      </c>
      <c r="AF140" s="17"/>
      <c r="AH140" s="12">
        <f t="shared" si="16"/>
        <v>0</v>
      </c>
      <c r="AI140" s="12">
        <f t="shared" si="17"/>
        <v>0</v>
      </c>
    </row>
    <row r="141" spans="1:35" ht="20.100000000000001" hidden="1" customHeight="1">
      <c r="A141" s="15" t="str">
        <f>ÖSSZES!$A$20</f>
        <v>Név18</v>
      </c>
      <c r="B141" s="28"/>
      <c r="C141" s="28"/>
      <c r="D141" s="28"/>
      <c r="E141" s="28"/>
      <c r="F141" s="28"/>
      <c r="G141" s="28" t="s">
        <v>2</v>
      </c>
      <c r="H141" s="28" t="s">
        <v>2</v>
      </c>
      <c r="I141" s="28"/>
      <c r="J141" s="28"/>
      <c r="K141" s="28"/>
      <c r="L141" s="28"/>
      <c r="M141" s="28"/>
      <c r="N141" s="28"/>
      <c r="O141" s="28" t="s">
        <v>2</v>
      </c>
      <c r="P141" s="28" t="s">
        <v>2</v>
      </c>
      <c r="Q141" s="28"/>
      <c r="R141" s="28"/>
      <c r="S141" s="28"/>
      <c r="T141" s="28"/>
      <c r="U141" s="28"/>
      <c r="V141" s="28"/>
      <c r="W141" s="28" t="s">
        <v>2</v>
      </c>
      <c r="X141" s="28" t="s">
        <v>2</v>
      </c>
      <c r="Y141" s="28"/>
      <c r="Z141" s="28"/>
      <c r="AA141" s="28"/>
      <c r="AB141" s="28"/>
      <c r="AC141" s="28"/>
      <c r="AD141" s="28"/>
      <c r="AE141" s="28" t="s">
        <v>2</v>
      </c>
      <c r="AF141" s="17"/>
      <c r="AH141" s="12">
        <f t="shared" si="16"/>
        <v>0</v>
      </c>
      <c r="AI141" s="12">
        <f t="shared" si="17"/>
        <v>0</v>
      </c>
    </row>
    <row r="142" spans="1:35" ht="20.100000000000001" hidden="1" customHeight="1">
      <c r="A142" s="15" t="str">
        <f>ÖSSZES!$A$21</f>
        <v>Név19</v>
      </c>
      <c r="B142" s="28"/>
      <c r="C142" s="28"/>
      <c r="D142" s="28"/>
      <c r="E142" s="28"/>
      <c r="F142" s="28"/>
      <c r="G142" s="28" t="s">
        <v>2</v>
      </c>
      <c r="H142" s="28" t="s">
        <v>2</v>
      </c>
      <c r="I142" s="28"/>
      <c r="J142" s="28"/>
      <c r="K142" s="28"/>
      <c r="L142" s="28"/>
      <c r="M142" s="28"/>
      <c r="N142" s="28"/>
      <c r="O142" s="28" t="s">
        <v>2</v>
      </c>
      <c r="P142" s="28" t="s">
        <v>2</v>
      </c>
      <c r="Q142" s="28"/>
      <c r="R142" s="28"/>
      <c r="S142" s="28"/>
      <c r="T142" s="28"/>
      <c r="U142" s="28"/>
      <c r="V142" s="28"/>
      <c r="W142" s="28" t="s">
        <v>2</v>
      </c>
      <c r="X142" s="28" t="s">
        <v>2</v>
      </c>
      <c r="Y142" s="28"/>
      <c r="Z142" s="28"/>
      <c r="AA142" s="28"/>
      <c r="AB142" s="28"/>
      <c r="AC142" s="28"/>
      <c r="AD142" s="28"/>
      <c r="AE142" s="28" t="s">
        <v>2</v>
      </c>
      <c r="AF142" s="17"/>
      <c r="AH142" s="12">
        <f t="shared" si="16"/>
        <v>0</v>
      </c>
      <c r="AI142" s="12">
        <f t="shared" si="17"/>
        <v>0</v>
      </c>
    </row>
    <row r="143" spans="1:35" ht="20.100000000000001" hidden="1" customHeight="1">
      <c r="A143" s="15" t="str">
        <f>ÖSSZES!$A$17</f>
        <v>Név15</v>
      </c>
      <c r="B143" s="28"/>
      <c r="C143" s="28"/>
      <c r="D143" s="28"/>
      <c r="E143" s="28"/>
      <c r="F143" s="28"/>
      <c r="G143" s="28" t="s">
        <v>2</v>
      </c>
      <c r="H143" s="28" t="s">
        <v>2</v>
      </c>
      <c r="I143" s="28"/>
      <c r="J143" s="28"/>
      <c r="K143" s="28"/>
      <c r="L143" s="28"/>
      <c r="M143" s="28"/>
      <c r="N143" s="28"/>
      <c r="O143" s="28" t="s">
        <v>2</v>
      </c>
      <c r="P143" s="28" t="s">
        <v>2</v>
      </c>
      <c r="Q143" s="28"/>
      <c r="R143" s="28"/>
      <c r="S143" s="28"/>
      <c r="T143" s="28"/>
      <c r="U143" s="28"/>
      <c r="V143" s="28"/>
      <c r="W143" s="28" t="s">
        <v>2</v>
      </c>
      <c r="X143" s="28" t="s">
        <v>2</v>
      </c>
      <c r="Y143" s="28"/>
      <c r="Z143" s="28"/>
      <c r="AA143" s="28"/>
      <c r="AB143" s="28"/>
      <c r="AC143" s="28"/>
      <c r="AD143" s="28"/>
      <c r="AE143" s="28" t="s">
        <v>2</v>
      </c>
      <c r="AF143" s="17"/>
      <c r="AH143" s="12">
        <f t="shared" si="16"/>
        <v>0</v>
      </c>
      <c r="AI143" s="12">
        <f t="shared" si="17"/>
        <v>0</v>
      </c>
    </row>
    <row r="144" spans="1:35" ht="20.100000000000001" customHeight="1"/>
    <row r="145" spans="1:35" s="21" customFormat="1" ht="20.100000000000001" customHeight="1">
      <c r="A145" s="43" t="s">
        <v>11</v>
      </c>
      <c r="B145" s="20">
        <v>1</v>
      </c>
      <c r="C145" s="20">
        <v>2</v>
      </c>
      <c r="D145" s="20">
        <v>3</v>
      </c>
      <c r="E145" s="20">
        <v>4</v>
      </c>
      <c r="F145" s="20">
        <v>5</v>
      </c>
      <c r="G145" s="20">
        <v>6</v>
      </c>
      <c r="H145" s="20">
        <v>7</v>
      </c>
      <c r="I145" s="20">
        <v>8</v>
      </c>
      <c r="J145" s="20">
        <v>9</v>
      </c>
      <c r="K145" s="20">
        <v>10</v>
      </c>
      <c r="L145" s="20">
        <v>11</v>
      </c>
      <c r="M145" s="20">
        <v>12</v>
      </c>
      <c r="N145" s="20">
        <v>13</v>
      </c>
      <c r="O145" s="20">
        <v>14</v>
      </c>
      <c r="P145" s="20">
        <v>15</v>
      </c>
      <c r="Q145" s="20">
        <v>16</v>
      </c>
      <c r="R145" s="20">
        <v>17</v>
      </c>
      <c r="S145" s="20">
        <v>18</v>
      </c>
      <c r="T145" s="20">
        <v>19</v>
      </c>
      <c r="U145" s="20">
        <v>20</v>
      </c>
      <c r="V145" s="20">
        <v>21</v>
      </c>
      <c r="W145" s="20">
        <v>22</v>
      </c>
      <c r="X145" s="20">
        <v>23</v>
      </c>
      <c r="Y145" s="20">
        <v>24</v>
      </c>
      <c r="Z145" s="20">
        <v>25</v>
      </c>
      <c r="AA145" s="20">
        <v>26</v>
      </c>
      <c r="AB145" s="20">
        <v>27</v>
      </c>
      <c r="AC145" s="20">
        <v>28</v>
      </c>
      <c r="AD145" s="20">
        <v>29</v>
      </c>
      <c r="AE145" s="20">
        <v>30</v>
      </c>
      <c r="AF145" s="20">
        <v>31</v>
      </c>
      <c r="AH145" s="43" t="s">
        <v>18</v>
      </c>
      <c r="AI145" s="43" t="s">
        <v>19</v>
      </c>
    </row>
    <row r="146" spans="1:35" ht="20.100000000000001" customHeight="1">
      <c r="A146" s="44"/>
      <c r="B146" s="22" t="str">
        <f>'2021'!B52</f>
        <v>Cs</v>
      </c>
      <c r="C146" s="22" t="str">
        <f>'2021'!C52</f>
        <v>P</v>
      </c>
      <c r="D146" s="22" t="str">
        <f>'2021'!D52</f>
        <v>Szo</v>
      </c>
      <c r="E146" s="22" t="str">
        <f>'2021'!E52</f>
        <v>V</v>
      </c>
      <c r="F146" s="22" t="str">
        <f>'2021'!F52</f>
        <v>H</v>
      </c>
      <c r="G146" s="22" t="str">
        <f>'2021'!G52</f>
        <v>K</v>
      </c>
      <c r="H146" s="22" t="str">
        <f>'2021'!H52</f>
        <v>Sze</v>
      </c>
      <c r="I146" s="22" t="str">
        <f>'2021'!I52</f>
        <v>Cs</v>
      </c>
      <c r="J146" s="22" t="str">
        <f>'2021'!J52</f>
        <v>P</v>
      </c>
      <c r="K146" s="22" t="str">
        <f>'2021'!K52</f>
        <v>Szo</v>
      </c>
      <c r="L146" s="22" t="str">
        <f>'2021'!L52</f>
        <v>V</v>
      </c>
      <c r="M146" s="22" t="str">
        <f>'2021'!M52</f>
        <v>H</v>
      </c>
      <c r="N146" s="22" t="str">
        <f>'2021'!N52</f>
        <v>K</v>
      </c>
      <c r="O146" s="22" t="str">
        <f>'2021'!O52</f>
        <v>Sze</v>
      </c>
      <c r="P146" s="22" t="str">
        <f>'2021'!P52</f>
        <v>Cs</v>
      </c>
      <c r="Q146" s="22" t="str">
        <f>'2021'!Q52</f>
        <v>P</v>
      </c>
      <c r="R146" s="22" t="str">
        <f>'2021'!R52</f>
        <v>Szo</v>
      </c>
      <c r="S146" s="22" t="str">
        <f>'2021'!S52</f>
        <v>V</v>
      </c>
      <c r="T146" s="22" t="str">
        <f>'2021'!T52</f>
        <v>H</v>
      </c>
      <c r="U146" s="22" t="str">
        <f>'2021'!U52</f>
        <v>K</v>
      </c>
      <c r="V146" s="22" t="str">
        <f>'2021'!V52</f>
        <v>Sze</v>
      </c>
      <c r="W146" s="22" t="str">
        <f>'2021'!W52</f>
        <v>Cs</v>
      </c>
      <c r="X146" s="22" t="str">
        <f>'2021'!X52</f>
        <v>P</v>
      </c>
      <c r="Y146" s="22" t="str">
        <f>'2021'!Y52</f>
        <v>Szo</v>
      </c>
      <c r="Z146" s="22" t="str">
        <f>'2021'!Z52</f>
        <v>V</v>
      </c>
      <c r="AA146" s="22" t="str">
        <f>'2021'!AA52</f>
        <v>H</v>
      </c>
      <c r="AB146" s="22" t="str">
        <f>'2021'!AB52</f>
        <v>K</v>
      </c>
      <c r="AC146" s="22" t="str">
        <f>'2021'!AC52</f>
        <v>Sze</v>
      </c>
      <c r="AD146" s="22" t="str">
        <f>'2021'!AD52</f>
        <v>Cs</v>
      </c>
      <c r="AE146" s="22" t="str">
        <f>'2021'!AE52</f>
        <v>P</v>
      </c>
      <c r="AF146" s="22" t="str">
        <f>'2021'!AF52</f>
        <v>Szo</v>
      </c>
      <c r="AH146" s="45"/>
      <c r="AI146" s="45"/>
    </row>
    <row r="147" spans="1:35" ht="20.100000000000001" customHeight="1">
      <c r="A147" s="45"/>
      <c r="B147" s="22" t="str">
        <f>'2021'!B53</f>
        <v>X</v>
      </c>
      <c r="C147" s="22">
        <f>'2021'!C53</f>
        <v>3</v>
      </c>
      <c r="D147" s="22">
        <f>'2021'!D53</f>
        <v>3</v>
      </c>
      <c r="E147" s="22">
        <f>'2021'!E53</f>
        <v>3</v>
      </c>
      <c r="F147" s="22">
        <f>'2021'!F53</f>
        <v>3</v>
      </c>
      <c r="G147" s="22">
        <f>'2021'!G53</f>
        <v>3</v>
      </c>
      <c r="H147" s="22">
        <f>'2021'!H53</f>
        <v>3</v>
      </c>
      <c r="I147" s="22" t="str">
        <f>'2021'!I53</f>
        <v>X</v>
      </c>
      <c r="J147" s="22" t="str">
        <f>'2021'!J53</f>
        <v>X</v>
      </c>
      <c r="K147" s="22">
        <f>'2021'!K53</f>
        <v>2</v>
      </c>
      <c r="L147" s="22">
        <f>'2021'!L53</f>
        <v>2</v>
      </c>
      <c r="M147" s="22">
        <f>'2021'!M53</f>
        <v>2</v>
      </c>
      <c r="N147" s="22">
        <f>'2021'!N53</f>
        <v>2</v>
      </c>
      <c r="O147" s="22">
        <f>'2021'!O53</f>
        <v>2</v>
      </c>
      <c r="P147" s="22">
        <f>'2021'!P53</f>
        <v>2</v>
      </c>
      <c r="Q147" s="22" t="str">
        <f>'2021'!Q53</f>
        <v>X</v>
      </c>
      <c r="R147" s="22" t="str">
        <f>'2021'!R53</f>
        <v>X</v>
      </c>
      <c r="S147" s="22">
        <f>'2021'!S53</f>
        <v>1</v>
      </c>
      <c r="T147" s="22">
        <f>'2021'!T53</f>
        <v>1</v>
      </c>
      <c r="U147" s="22">
        <f>'2021'!U53</f>
        <v>1</v>
      </c>
      <c r="V147" s="22">
        <f>'2021'!V53</f>
        <v>1</v>
      </c>
      <c r="W147" s="22">
        <f>'2021'!W53</f>
        <v>1</v>
      </c>
      <c r="X147" s="22">
        <f>'2021'!X53</f>
        <v>1</v>
      </c>
      <c r="Y147" s="22" t="str">
        <f>'2021'!Y53</f>
        <v>X</v>
      </c>
      <c r="Z147" s="22" t="str">
        <f>'2021'!Z53</f>
        <v>X</v>
      </c>
      <c r="AA147" s="22">
        <f>'2021'!AA53</f>
        <v>3</v>
      </c>
      <c r="AB147" s="22">
        <f>'2021'!AB53</f>
        <v>3</v>
      </c>
      <c r="AC147" s="22">
        <f>'2021'!AC53</f>
        <v>3</v>
      </c>
      <c r="AD147" s="22">
        <f>'2021'!AD53</f>
        <v>3</v>
      </c>
      <c r="AE147" s="22">
        <f>'2021'!AE53</f>
        <v>3</v>
      </c>
      <c r="AF147" s="22">
        <f>'2021'!AF53</f>
        <v>3</v>
      </c>
      <c r="AH147" s="45"/>
      <c r="AI147" s="45"/>
    </row>
    <row r="148" spans="1:35" ht="20.100000000000001" customHeight="1">
      <c r="A148" s="15" t="str">
        <f>ÖSSZES!$A$3</f>
        <v>Csuka Lajos</v>
      </c>
      <c r="B148" s="28" t="s">
        <v>2</v>
      </c>
      <c r="C148" s="28"/>
      <c r="D148" s="28"/>
      <c r="E148" s="28"/>
      <c r="F148" s="28"/>
      <c r="G148" s="28"/>
      <c r="H148" s="28"/>
      <c r="I148" s="28" t="s">
        <v>2</v>
      </c>
      <c r="J148" s="28" t="s">
        <v>2</v>
      </c>
      <c r="K148" s="28"/>
      <c r="L148" s="28"/>
      <c r="M148" s="28"/>
      <c r="N148" s="28"/>
      <c r="O148" s="28"/>
      <c r="P148" s="28"/>
      <c r="Q148" s="28" t="s">
        <v>2</v>
      </c>
      <c r="R148" s="28" t="s">
        <v>2</v>
      </c>
      <c r="S148" s="28"/>
      <c r="T148" s="28"/>
      <c r="U148" s="28"/>
      <c r="V148" s="28"/>
      <c r="W148" s="28"/>
      <c r="X148" s="28"/>
      <c r="Y148" s="28" t="s">
        <v>2</v>
      </c>
      <c r="Z148" s="28" t="s">
        <v>2</v>
      </c>
      <c r="AA148" s="28"/>
      <c r="AB148" s="28"/>
      <c r="AC148" s="28"/>
      <c r="AD148" s="28"/>
      <c r="AE148" s="28"/>
      <c r="AF148" s="27"/>
      <c r="AH148" s="12">
        <f>1*COUNTIF(A148:AF148,"+")</f>
        <v>0</v>
      </c>
      <c r="AI148" s="12">
        <f t="shared" ref="AI148" si="18">1*COUNTIF(B148:AF148,"szf")</f>
        <v>0</v>
      </c>
    </row>
    <row r="149" spans="1:35" ht="20.100000000000001" customHeight="1">
      <c r="A149" s="15" t="str">
        <f>ÖSSZES!$A$4</f>
        <v>Batiz Attila</v>
      </c>
      <c r="B149" s="28" t="s">
        <v>2</v>
      </c>
      <c r="C149" s="28"/>
      <c r="D149" s="28"/>
      <c r="E149" s="28"/>
      <c r="F149" s="28"/>
      <c r="G149" s="28"/>
      <c r="H149" s="28"/>
      <c r="I149" s="28" t="s">
        <v>2</v>
      </c>
      <c r="J149" s="28" t="s">
        <v>2</v>
      </c>
      <c r="K149" s="28"/>
      <c r="L149" s="28"/>
      <c r="M149" s="28"/>
      <c r="N149" s="28"/>
      <c r="O149" s="28"/>
      <c r="P149" s="28"/>
      <c r="Q149" s="28" t="s">
        <v>2</v>
      </c>
      <c r="R149" s="28" t="s">
        <v>2</v>
      </c>
      <c r="S149" s="28"/>
      <c r="T149" s="28"/>
      <c r="U149" s="28"/>
      <c r="V149" s="28"/>
      <c r="W149" s="28"/>
      <c r="X149" s="28"/>
      <c r="Y149" s="28" t="s">
        <v>2</v>
      </c>
      <c r="Z149" s="28" t="s">
        <v>2</v>
      </c>
      <c r="AA149" s="28"/>
      <c r="AB149" s="28"/>
      <c r="AC149" s="28"/>
      <c r="AD149" s="28"/>
      <c r="AE149" s="28"/>
      <c r="AF149" s="27"/>
      <c r="AH149" s="12">
        <f t="shared" ref="AH149:AH167" si="19">1*COUNTIF(A149:AF149,"+")</f>
        <v>0</v>
      </c>
      <c r="AI149" s="12">
        <f t="shared" ref="AI149:AI167" si="20">1*COUNTIF(B149:AF149,"szf")</f>
        <v>0</v>
      </c>
    </row>
    <row r="150" spans="1:35" ht="20.100000000000001" customHeight="1">
      <c r="A150" s="15" t="str">
        <f>ÖSSZES!$A$5</f>
        <v>Füredi Antal</v>
      </c>
      <c r="B150" s="28" t="s">
        <v>2</v>
      </c>
      <c r="C150" s="28"/>
      <c r="D150" s="28"/>
      <c r="E150" s="28"/>
      <c r="F150" s="28"/>
      <c r="G150" s="28"/>
      <c r="H150" s="28"/>
      <c r="I150" s="28" t="s">
        <v>2</v>
      </c>
      <c r="J150" s="28" t="s">
        <v>2</v>
      </c>
      <c r="K150" s="28"/>
      <c r="L150" s="28"/>
      <c r="M150" s="28"/>
      <c r="N150" s="28"/>
      <c r="O150" s="28"/>
      <c r="P150" s="28"/>
      <c r="Q150" s="28" t="s">
        <v>2</v>
      </c>
      <c r="R150" s="28" t="s">
        <v>2</v>
      </c>
      <c r="S150" s="28"/>
      <c r="T150" s="28"/>
      <c r="U150" s="28"/>
      <c r="V150" s="28"/>
      <c r="W150" s="28"/>
      <c r="X150" s="28"/>
      <c r="Y150" s="28" t="s">
        <v>2</v>
      </c>
      <c r="Z150" s="28" t="s">
        <v>2</v>
      </c>
      <c r="AA150" s="28"/>
      <c r="AB150" s="28"/>
      <c r="AC150" s="28"/>
      <c r="AD150" s="28"/>
      <c r="AE150" s="28"/>
      <c r="AF150" s="27"/>
      <c r="AH150" s="12">
        <f t="shared" si="19"/>
        <v>0</v>
      </c>
      <c r="AI150" s="12">
        <f t="shared" si="20"/>
        <v>0</v>
      </c>
    </row>
    <row r="151" spans="1:35" ht="20.100000000000001" customHeight="1">
      <c r="A151" s="15" t="str">
        <f>ÖSSZES!$A$6</f>
        <v>Iványi István</v>
      </c>
      <c r="B151" s="28" t="s">
        <v>2</v>
      </c>
      <c r="C151" s="28"/>
      <c r="D151" s="28"/>
      <c r="E151" s="28"/>
      <c r="F151" s="28"/>
      <c r="G151" s="28"/>
      <c r="H151" s="28"/>
      <c r="I151" s="28" t="s">
        <v>2</v>
      </c>
      <c r="J151" s="28" t="s">
        <v>2</v>
      </c>
      <c r="K151" s="28"/>
      <c r="L151" s="28"/>
      <c r="M151" s="28"/>
      <c r="N151" s="28"/>
      <c r="O151" s="28"/>
      <c r="P151" s="28"/>
      <c r="Q151" s="28" t="s">
        <v>2</v>
      </c>
      <c r="R151" s="28" t="s">
        <v>2</v>
      </c>
      <c r="S151" s="28"/>
      <c r="T151" s="28"/>
      <c r="U151" s="28"/>
      <c r="V151" s="28"/>
      <c r="W151" s="28"/>
      <c r="X151" s="28"/>
      <c r="Y151" s="28" t="s">
        <v>2</v>
      </c>
      <c r="Z151" s="28" t="s">
        <v>2</v>
      </c>
      <c r="AA151" s="28"/>
      <c r="AB151" s="28"/>
      <c r="AC151" s="28"/>
      <c r="AD151" s="28"/>
      <c r="AE151" s="28"/>
      <c r="AF151" s="27"/>
      <c r="AH151" s="12">
        <f t="shared" si="19"/>
        <v>0</v>
      </c>
      <c r="AI151" s="12">
        <f t="shared" si="20"/>
        <v>0</v>
      </c>
    </row>
    <row r="152" spans="1:35" ht="20.100000000000001" customHeight="1">
      <c r="A152" s="15" t="str">
        <f>ÖSSZES!$A$7</f>
        <v>Katonka Tibor</v>
      </c>
      <c r="B152" s="28" t="s">
        <v>2</v>
      </c>
      <c r="C152" s="28"/>
      <c r="D152" s="28"/>
      <c r="E152" s="28"/>
      <c r="F152" s="28"/>
      <c r="G152" s="28"/>
      <c r="H152" s="28"/>
      <c r="I152" s="28" t="s">
        <v>2</v>
      </c>
      <c r="J152" s="28" t="s">
        <v>2</v>
      </c>
      <c r="K152" s="28"/>
      <c r="L152" s="28"/>
      <c r="M152" s="28"/>
      <c r="N152" s="28"/>
      <c r="O152" s="28"/>
      <c r="P152" s="28"/>
      <c r="Q152" s="28" t="s">
        <v>2</v>
      </c>
      <c r="R152" s="28" t="s">
        <v>2</v>
      </c>
      <c r="S152" s="28"/>
      <c r="T152" s="28"/>
      <c r="U152" s="28"/>
      <c r="V152" s="28"/>
      <c r="W152" s="28"/>
      <c r="X152" s="28"/>
      <c r="Y152" s="28" t="s">
        <v>2</v>
      </c>
      <c r="Z152" s="28" t="s">
        <v>2</v>
      </c>
      <c r="AA152" s="28"/>
      <c r="AB152" s="28"/>
      <c r="AC152" s="28"/>
      <c r="AD152" s="28"/>
      <c r="AE152" s="28"/>
      <c r="AF152" s="27"/>
      <c r="AH152" s="12">
        <f t="shared" si="19"/>
        <v>0</v>
      </c>
      <c r="AI152" s="12">
        <f t="shared" si="20"/>
        <v>0</v>
      </c>
    </row>
    <row r="153" spans="1:35" ht="20.100000000000001" customHeight="1">
      <c r="A153" s="15" t="str">
        <f>ÖSSZES!$A$8</f>
        <v>Mizsák Péter</v>
      </c>
      <c r="B153" s="28" t="s">
        <v>2</v>
      </c>
      <c r="C153" s="28"/>
      <c r="D153" s="28"/>
      <c r="E153" s="28"/>
      <c r="F153" s="28"/>
      <c r="G153" s="28"/>
      <c r="H153" s="28"/>
      <c r="I153" s="28" t="s">
        <v>2</v>
      </c>
      <c r="J153" s="28" t="s">
        <v>2</v>
      </c>
      <c r="K153" s="28"/>
      <c r="L153" s="28"/>
      <c r="M153" s="28"/>
      <c r="N153" s="28"/>
      <c r="O153" s="28"/>
      <c r="P153" s="28"/>
      <c r="Q153" s="28" t="s">
        <v>2</v>
      </c>
      <c r="R153" s="28" t="s">
        <v>2</v>
      </c>
      <c r="S153" s="28"/>
      <c r="T153" s="28"/>
      <c r="U153" s="28"/>
      <c r="V153" s="28"/>
      <c r="W153" s="28"/>
      <c r="X153" s="28"/>
      <c r="Y153" s="28" t="s">
        <v>2</v>
      </c>
      <c r="Z153" s="28" t="s">
        <v>2</v>
      </c>
      <c r="AA153" s="28"/>
      <c r="AB153" s="28"/>
      <c r="AC153" s="28"/>
      <c r="AD153" s="28"/>
      <c r="AE153" s="28"/>
      <c r="AF153" s="27"/>
      <c r="AH153" s="12">
        <f t="shared" si="19"/>
        <v>0</v>
      </c>
      <c r="AI153" s="12">
        <f t="shared" si="20"/>
        <v>0</v>
      </c>
    </row>
    <row r="154" spans="1:35" ht="20.100000000000001" customHeight="1">
      <c r="A154" s="15" t="str">
        <f>ÖSSZES!$A$9</f>
        <v>Vatamány Gergő</v>
      </c>
      <c r="B154" s="28" t="s">
        <v>2</v>
      </c>
      <c r="C154" s="28"/>
      <c r="D154" s="28"/>
      <c r="E154" s="28"/>
      <c r="F154" s="28"/>
      <c r="G154" s="28"/>
      <c r="H154" s="28"/>
      <c r="I154" s="28" t="s">
        <v>2</v>
      </c>
      <c r="J154" s="28" t="s">
        <v>2</v>
      </c>
      <c r="K154" s="28"/>
      <c r="L154" s="28"/>
      <c r="M154" s="28"/>
      <c r="N154" s="28"/>
      <c r="O154" s="28"/>
      <c r="P154" s="28"/>
      <c r="Q154" s="28" t="s">
        <v>2</v>
      </c>
      <c r="R154" s="28" t="s">
        <v>2</v>
      </c>
      <c r="S154" s="28"/>
      <c r="T154" s="28"/>
      <c r="U154" s="28"/>
      <c r="V154" s="28"/>
      <c r="W154" s="28"/>
      <c r="X154" s="28"/>
      <c r="Y154" s="28" t="s">
        <v>2</v>
      </c>
      <c r="Z154" s="28" t="s">
        <v>2</v>
      </c>
      <c r="AA154" s="28"/>
      <c r="AB154" s="28"/>
      <c r="AC154" s="28"/>
      <c r="AD154" s="28"/>
      <c r="AE154" s="28"/>
      <c r="AF154" s="27"/>
      <c r="AH154" s="12">
        <f t="shared" si="19"/>
        <v>0</v>
      </c>
      <c r="AI154" s="12">
        <f t="shared" si="20"/>
        <v>0</v>
      </c>
    </row>
    <row r="155" spans="1:35" ht="20.100000000000001" hidden="1" customHeight="1">
      <c r="A155" s="15" t="str">
        <f>ÖSSZES!$A$10</f>
        <v>Név8</v>
      </c>
      <c r="B155" s="28" t="s">
        <v>2</v>
      </c>
      <c r="C155" s="28"/>
      <c r="D155" s="28"/>
      <c r="E155" s="28"/>
      <c r="F155" s="28"/>
      <c r="G155" s="28"/>
      <c r="H155" s="28"/>
      <c r="I155" s="28" t="s">
        <v>2</v>
      </c>
      <c r="J155" s="28" t="s">
        <v>2</v>
      </c>
      <c r="K155" s="28"/>
      <c r="L155" s="28"/>
      <c r="M155" s="28"/>
      <c r="N155" s="28"/>
      <c r="O155" s="28"/>
      <c r="P155" s="28"/>
      <c r="Q155" s="28" t="s">
        <v>2</v>
      </c>
      <c r="R155" s="28" t="s">
        <v>2</v>
      </c>
      <c r="S155" s="28"/>
      <c r="T155" s="28"/>
      <c r="U155" s="28"/>
      <c r="V155" s="28"/>
      <c r="W155" s="28"/>
      <c r="X155" s="28"/>
      <c r="Y155" s="28" t="s">
        <v>2</v>
      </c>
      <c r="Z155" s="28" t="s">
        <v>2</v>
      </c>
      <c r="AA155" s="28"/>
      <c r="AB155" s="28"/>
      <c r="AC155" s="28"/>
      <c r="AD155" s="28"/>
      <c r="AE155" s="28"/>
      <c r="AF155" s="27"/>
      <c r="AH155" s="12">
        <f t="shared" si="19"/>
        <v>0</v>
      </c>
      <c r="AI155" s="12">
        <f t="shared" si="20"/>
        <v>0</v>
      </c>
    </row>
    <row r="156" spans="1:35" ht="20.100000000000001" hidden="1" customHeight="1">
      <c r="A156" s="15" t="str">
        <f>ÖSSZES!$A$11</f>
        <v>Név9</v>
      </c>
      <c r="B156" s="28" t="s">
        <v>2</v>
      </c>
      <c r="C156" s="28"/>
      <c r="D156" s="28"/>
      <c r="E156" s="28"/>
      <c r="F156" s="28"/>
      <c r="G156" s="28"/>
      <c r="H156" s="28"/>
      <c r="I156" s="28" t="s">
        <v>2</v>
      </c>
      <c r="J156" s="28" t="s">
        <v>2</v>
      </c>
      <c r="K156" s="28"/>
      <c r="L156" s="28"/>
      <c r="M156" s="28"/>
      <c r="N156" s="28"/>
      <c r="O156" s="28"/>
      <c r="P156" s="28"/>
      <c r="Q156" s="28" t="s">
        <v>2</v>
      </c>
      <c r="R156" s="28" t="s">
        <v>2</v>
      </c>
      <c r="S156" s="28"/>
      <c r="T156" s="28"/>
      <c r="U156" s="28"/>
      <c r="V156" s="28"/>
      <c r="W156" s="28"/>
      <c r="X156" s="28"/>
      <c r="Y156" s="28" t="s">
        <v>2</v>
      </c>
      <c r="Z156" s="28" t="s">
        <v>2</v>
      </c>
      <c r="AA156" s="28"/>
      <c r="AB156" s="28"/>
      <c r="AC156" s="28"/>
      <c r="AD156" s="28"/>
      <c r="AE156" s="28"/>
      <c r="AF156" s="27"/>
      <c r="AH156" s="12">
        <f t="shared" si="19"/>
        <v>0</v>
      </c>
      <c r="AI156" s="12">
        <f t="shared" si="20"/>
        <v>0</v>
      </c>
    </row>
    <row r="157" spans="1:35" ht="20.100000000000001" hidden="1" customHeight="1">
      <c r="A157" s="15" t="str">
        <f>ÖSSZES!$A$12</f>
        <v>Név10</v>
      </c>
      <c r="B157" s="28" t="s">
        <v>2</v>
      </c>
      <c r="C157" s="28"/>
      <c r="D157" s="28"/>
      <c r="E157" s="28"/>
      <c r="F157" s="28"/>
      <c r="G157" s="28"/>
      <c r="H157" s="28"/>
      <c r="I157" s="28" t="s">
        <v>2</v>
      </c>
      <c r="J157" s="28" t="s">
        <v>2</v>
      </c>
      <c r="K157" s="28"/>
      <c r="L157" s="28"/>
      <c r="M157" s="28"/>
      <c r="N157" s="28"/>
      <c r="O157" s="28"/>
      <c r="P157" s="28"/>
      <c r="Q157" s="28" t="s">
        <v>2</v>
      </c>
      <c r="R157" s="28" t="s">
        <v>2</v>
      </c>
      <c r="S157" s="28"/>
      <c r="T157" s="28"/>
      <c r="U157" s="28"/>
      <c r="V157" s="28"/>
      <c r="W157" s="28"/>
      <c r="X157" s="28"/>
      <c r="Y157" s="28" t="s">
        <v>2</v>
      </c>
      <c r="Z157" s="28" t="s">
        <v>2</v>
      </c>
      <c r="AA157" s="28"/>
      <c r="AB157" s="28"/>
      <c r="AC157" s="28"/>
      <c r="AD157" s="28"/>
      <c r="AE157" s="28"/>
      <c r="AF157" s="27"/>
      <c r="AH157" s="12">
        <f t="shared" si="19"/>
        <v>0</v>
      </c>
      <c r="AI157" s="12">
        <f t="shared" si="20"/>
        <v>0</v>
      </c>
    </row>
    <row r="158" spans="1:35" ht="20.100000000000001" hidden="1" customHeight="1">
      <c r="A158" s="15" t="str">
        <f>ÖSSZES!$A$13</f>
        <v>Név11</v>
      </c>
      <c r="B158" s="28" t="s">
        <v>2</v>
      </c>
      <c r="C158" s="28"/>
      <c r="D158" s="28"/>
      <c r="E158" s="28"/>
      <c r="F158" s="28"/>
      <c r="G158" s="28"/>
      <c r="H158" s="28"/>
      <c r="I158" s="28" t="s">
        <v>2</v>
      </c>
      <c r="J158" s="28" t="s">
        <v>2</v>
      </c>
      <c r="K158" s="28"/>
      <c r="L158" s="28"/>
      <c r="M158" s="28"/>
      <c r="N158" s="28"/>
      <c r="O158" s="28"/>
      <c r="P158" s="28"/>
      <c r="Q158" s="28" t="s">
        <v>2</v>
      </c>
      <c r="R158" s="28" t="s">
        <v>2</v>
      </c>
      <c r="S158" s="28"/>
      <c r="T158" s="28"/>
      <c r="U158" s="28"/>
      <c r="V158" s="28"/>
      <c r="W158" s="28"/>
      <c r="X158" s="28"/>
      <c r="Y158" s="28" t="s">
        <v>2</v>
      </c>
      <c r="Z158" s="28" t="s">
        <v>2</v>
      </c>
      <c r="AA158" s="28"/>
      <c r="AB158" s="28"/>
      <c r="AC158" s="28"/>
      <c r="AD158" s="28"/>
      <c r="AE158" s="28"/>
      <c r="AF158" s="27"/>
      <c r="AH158" s="12">
        <f t="shared" si="19"/>
        <v>0</v>
      </c>
      <c r="AI158" s="12">
        <f t="shared" si="20"/>
        <v>0</v>
      </c>
    </row>
    <row r="159" spans="1:35" ht="20.100000000000001" hidden="1" customHeight="1">
      <c r="A159" s="15" t="str">
        <f>ÖSSZES!$A$14</f>
        <v>Név12</v>
      </c>
      <c r="B159" s="28" t="s">
        <v>2</v>
      </c>
      <c r="C159" s="28"/>
      <c r="D159" s="28"/>
      <c r="E159" s="28"/>
      <c r="F159" s="28"/>
      <c r="G159" s="28"/>
      <c r="H159" s="28"/>
      <c r="I159" s="28" t="s">
        <v>2</v>
      </c>
      <c r="J159" s="28" t="s">
        <v>2</v>
      </c>
      <c r="K159" s="28"/>
      <c r="L159" s="28"/>
      <c r="M159" s="28"/>
      <c r="N159" s="28"/>
      <c r="O159" s="28"/>
      <c r="P159" s="28"/>
      <c r="Q159" s="28" t="s">
        <v>2</v>
      </c>
      <c r="R159" s="28" t="s">
        <v>2</v>
      </c>
      <c r="S159" s="28"/>
      <c r="T159" s="28"/>
      <c r="U159" s="28"/>
      <c r="V159" s="28"/>
      <c r="W159" s="28"/>
      <c r="X159" s="28"/>
      <c r="Y159" s="28" t="s">
        <v>2</v>
      </c>
      <c r="Z159" s="28" t="s">
        <v>2</v>
      </c>
      <c r="AA159" s="28"/>
      <c r="AB159" s="28"/>
      <c r="AC159" s="28"/>
      <c r="AD159" s="28"/>
      <c r="AE159" s="28"/>
      <c r="AF159" s="27"/>
      <c r="AH159" s="12">
        <f t="shared" si="19"/>
        <v>0</v>
      </c>
      <c r="AI159" s="12">
        <f t="shared" si="20"/>
        <v>0</v>
      </c>
    </row>
    <row r="160" spans="1:35" ht="20.100000000000001" hidden="1" customHeight="1">
      <c r="A160" s="15" t="str">
        <f>ÖSSZES!$A$15</f>
        <v>Név13</v>
      </c>
      <c r="B160" s="28" t="s">
        <v>2</v>
      </c>
      <c r="C160" s="28"/>
      <c r="D160" s="28"/>
      <c r="E160" s="28"/>
      <c r="F160" s="28"/>
      <c r="G160" s="28"/>
      <c r="H160" s="28"/>
      <c r="I160" s="28" t="s">
        <v>2</v>
      </c>
      <c r="J160" s="28" t="s">
        <v>2</v>
      </c>
      <c r="K160" s="28"/>
      <c r="L160" s="28"/>
      <c r="M160" s="28"/>
      <c r="N160" s="28"/>
      <c r="O160" s="28"/>
      <c r="P160" s="28"/>
      <c r="Q160" s="28" t="s">
        <v>2</v>
      </c>
      <c r="R160" s="28" t="s">
        <v>2</v>
      </c>
      <c r="S160" s="28"/>
      <c r="T160" s="28"/>
      <c r="U160" s="28"/>
      <c r="V160" s="28"/>
      <c r="W160" s="28"/>
      <c r="X160" s="28"/>
      <c r="Y160" s="28" t="s">
        <v>2</v>
      </c>
      <c r="Z160" s="28" t="s">
        <v>2</v>
      </c>
      <c r="AA160" s="28"/>
      <c r="AB160" s="28"/>
      <c r="AC160" s="28"/>
      <c r="AD160" s="28"/>
      <c r="AE160" s="28"/>
      <c r="AF160" s="27"/>
      <c r="AH160" s="12">
        <f t="shared" si="19"/>
        <v>0</v>
      </c>
      <c r="AI160" s="12">
        <f t="shared" si="20"/>
        <v>0</v>
      </c>
    </row>
    <row r="161" spans="1:35" ht="20.100000000000001" hidden="1" customHeight="1">
      <c r="A161" s="15" t="str">
        <f>ÖSSZES!$A$16</f>
        <v>Név14</v>
      </c>
      <c r="B161" s="28" t="s">
        <v>2</v>
      </c>
      <c r="C161" s="28"/>
      <c r="D161" s="28"/>
      <c r="E161" s="28"/>
      <c r="F161" s="28"/>
      <c r="G161" s="28"/>
      <c r="H161" s="28"/>
      <c r="I161" s="28" t="s">
        <v>2</v>
      </c>
      <c r="J161" s="28" t="s">
        <v>2</v>
      </c>
      <c r="K161" s="28"/>
      <c r="L161" s="28"/>
      <c r="M161" s="28"/>
      <c r="N161" s="28"/>
      <c r="O161" s="28"/>
      <c r="P161" s="28"/>
      <c r="Q161" s="28" t="s">
        <v>2</v>
      </c>
      <c r="R161" s="28" t="s">
        <v>2</v>
      </c>
      <c r="S161" s="28"/>
      <c r="T161" s="28"/>
      <c r="U161" s="28"/>
      <c r="V161" s="28"/>
      <c r="W161" s="28"/>
      <c r="X161" s="28"/>
      <c r="Y161" s="28" t="s">
        <v>2</v>
      </c>
      <c r="Z161" s="28" t="s">
        <v>2</v>
      </c>
      <c r="AA161" s="28"/>
      <c r="AB161" s="28"/>
      <c r="AC161" s="28"/>
      <c r="AD161" s="28"/>
      <c r="AE161" s="28"/>
      <c r="AF161" s="27"/>
      <c r="AH161" s="12">
        <f t="shared" si="19"/>
        <v>0</v>
      </c>
      <c r="AI161" s="12">
        <f t="shared" si="20"/>
        <v>0</v>
      </c>
    </row>
    <row r="162" spans="1:35" ht="20.100000000000001" hidden="1" customHeight="1">
      <c r="A162" s="15" t="str">
        <f>ÖSSZES!$A$17</f>
        <v>Név15</v>
      </c>
      <c r="B162" s="28" t="s">
        <v>2</v>
      </c>
      <c r="C162" s="28"/>
      <c r="D162" s="28"/>
      <c r="E162" s="28"/>
      <c r="F162" s="28"/>
      <c r="G162" s="28"/>
      <c r="H162" s="28"/>
      <c r="I162" s="28" t="s">
        <v>2</v>
      </c>
      <c r="J162" s="28" t="s">
        <v>2</v>
      </c>
      <c r="K162" s="28"/>
      <c r="L162" s="28"/>
      <c r="M162" s="28"/>
      <c r="N162" s="28"/>
      <c r="O162" s="28"/>
      <c r="P162" s="28"/>
      <c r="Q162" s="28" t="s">
        <v>2</v>
      </c>
      <c r="R162" s="28" t="s">
        <v>2</v>
      </c>
      <c r="S162" s="28"/>
      <c r="T162" s="28"/>
      <c r="U162" s="28"/>
      <c r="V162" s="28"/>
      <c r="W162" s="28"/>
      <c r="X162" s="28"/>
      <c r="Y162" s="28" t="s">
        <v>2</v>
      </c>
      <c r="Z162" s="28" t="s">
        <v>2</v>
      </c>
      <c r="AA162" s="28"/>
      <c r="AB162" s="28"/>
      <c r="AC162" s="28"/>
      <c r="AD162" s="28"/>
      <c r="AE162" s="28"/>
      <c r="AF162" s="27"/>
      <c r="AH162" s="12">
        <f t="shared" si="19"/>
        <v>0</v>
      </c>
      <c r="AI162" s="12">
        <f t="shared" si="20"/>
        <v>0</v>
      </c>
    </row>
    <row r="163" spans="1:35" ht="20.100000000000001" hidden="1" customHeight="1">
      <c r="A163" s="15" t="str">
        <f>ÖSSZES!$A$18</f>
        <v>Név16</v>
      </c>
      <c r="B163" s="28" t="s">
        <v>2</v>
      </c>
      <c r="C163" s="28"/>
      <c r="D163" s="28"/>
      <c r="E163" s="28"/>
      <c r="F163" s="28"/>
      <c r="G163" s="28"/>
      <c r="H163" s="28"/>
      <c r="I163" s="28" t="s">
        <v>2</v>
      </c>
      <c r="J163" s="28" t="s">
        <v>2</v>
      </c>
      <c r="K163" s="28"/>
      <c r="L163" s="28"/>
      <c r="M163" s="28"/>
      <c r="N163" s="28"/>
      <c r="O163" s="28"/>
      <c r="P163" s="28"/>
      <c r="Q163" s="28" t="s">
        <v>2</v>
      </c>
      <c r="R163" s="28" t="s">
        <v>2</v>
      </c>
      <c r="S163" s="28"/>
      <c r="T163" s="28"/>
      <c r="U163" s="28"/>
      <c r="V163" s="28"/>
      <c r="W163" s="28"/>
      <c r="X163" s="28"/>
      <c r="Y163" s="28" t="s">
        <v>2</v>
      </c>
      <c r="Z163" s="28" t="s">
        <v>2</v>
      </c>
      <c r="AA163" s="28"/>
      <c r="AB163" s="28"/>
      <c r="AC163" s="28"/>
      <c r="AD163" s="28"/>
      <c r="AE163" s="28"/>
      <c r="AF163" s="27"/>
      <c r="AH163" s="12">
        <f t="shared" si="19"/>
        <v>0</v>
      </c>
      <c r="AI163" s="12">
        <f t="shared" si="20"/>
        <v>0</v>
      </c>
    </row>
    <row r="164" spans="1:35" ht="20.100000000000001" hidden="1" customHeight="1">
      <c r="A164" s="15" t="str">
        <f>ÖSSZES!$A$19</f>
        <v>Név17</v>
      </c>
      <c r="B164" s="28" t="s">
        <v>2</v>
      </c>
      <c r="C164" s="28"/>
      <c r="D164" s="28"/>
      <c r="E164" s="28"/>
      <c r="F164" s="28"/>
      <c r="G164" s="28"/>
      <c r="H164" s="28"/>
      <c r="I164" s="28" t="s">
        <v>2</v>
      </c>
      <c r="J164" s="28" t="s">
        <v>2</v>
      </c>
      <c r="K164" s="28"/>
      <c r="L164" s="28"/>
      <c r="M164" s="28"/>
      <c r="N164" s="28"/>
      <c r="O164" s="28"/>
      <c r="P164" s="28"/>
      <c r="Q164" s="28" t="s">
        <v>2</v>
      </c>
      <c r="R164" s="28" t="s">
        <v>2</v>
      </c>
      <c r="S164" s="28"/>
      <c r="T164" s="28"/>
      <c r="U164" s="28"/>
      <c r="V164" s="28"/>
      <c r="W164" s="28"/>
      <c r="X164" s="28"/>
      <c r="Y164" s="28" t="s">
        <v>2</v>
      </c>
      <c r="Z164" s="28" t="s">
        <v>2</v>
      </c>
      <c r="AA164" s="28"/>
      <c r="AB164" s="28"/>
      <c r="AC164" s="28"/>
      <c r="AD164" s="28"/>
      <c r="AE164" s="28"/>
      <c r="AF164" s="27"/>
      <c r="AH164" s="12">
        <f t="shared" si="19"/>
        <v>0</v>
      </c>
      <c r="AI164" s="12">
        <f t="shared" si="20"/>
        <v>0</v>
      </c>
    </row>
    <row r="165" spans="1:35" ht="20.100000000000001" hidden="1" customHeight="1">
      <c r="A165" s="15" t="str">
        <f>ÖSSZES!$A$20</f>
        <v>Név18</v>
      </c>
      <c r="B165" s="28" t="s">
        <v>2</v>
      </c>
      <c r="C165" s="28"/>
      <c r="D165" s="28"/>
      <c r="E165" s="28"/>
      <c r="F165" s="28"/>
      <c r="G165" s="28"/>
      <c r="H165" s="28"/>
      <c r="I165" s="28" t="s">
        <v>2</v>
      </c>
      <c r="J165" s="28" t="s">
        <v>2</v>
      </c>
      <c r="K165" s="28"/>
      <c r="L165" s="28"/>
      <c r="M165" s="28"/>
      <c r="N165" s="28"/>
      <c r="O165" s="28"/>
      <c r="P165" s="28"/>
      <c r="Q165" s="28" t="s">
        <v>2</v>
      </c>
      <c r="R165" s="28" t="s">
        <v>2</v>
      </c>
      <c r="S165" s="28"/>
      <c r="T165" s="28"/>
      <c r="U165" s="28"/>
      <c r="V165" s="28"/>
      <c r="W165" s="28"/>
      <c r="X165" s="28"/>
      <c r="Y165" s="28" t="s">
        <v>2</v>
      </c>
      <c r="Z165" s="28" t="s">
        <v>2</v>
      </c>
      <c r="AA165" s="28"/>
      <c r="AB165" s="28"/>
      <c r="AC165" s="28"/>
      <c r="AD165" s="28"/>
      <c r="AE165" s="28"/>
      <c r="AF165" s="27"/>
      <c r="AH165" s="12">
        <f t="shared" si="19"/>
        <v>0</v>
      </c>
      <c r="AI165" s="12">
        <f t="shared" si="20"/>
        <v>0</v>
      </c>
    </row>
    <row r="166" spans="1:35" ht="20.100000000000001" hidden="1" customHeight="1">
      <c r="A166" s="15" t="str">
        <f>ÖSSZES!$A$21</f>
        <v>Név19</v>
      </c>
      <c r="B166" s="28" t="s">
        <v>2</v>
      </c>
      <c r="C166" s="28"/>
      <c r="D166" s="28"/>
      <c r="E166" s="28"/>
      <c r="F166" s="28"/>
      <c r="G166" s="28"/>
      <c r="H166" s="28"/>
      <c r="I166" s="28" t="s">
        <v>2</v>
      </c>
      <c r="J166" s="28" t="s">
        <v>2</v>
      </c>
      <c r="K166" s="28"/>
      <c r="L166" s="28"/>
      <c r="M166" s="28"/>
      <c r="N166" s="28"/>
      <c r="O166" s="28"/>
      <c r="P166" s="28"/>
      <c r="Q166" s="28" t="s">
        <v>2</v>
      </c>
      <c r="R166" s="28" t="s">
        <v>2</v>
      </c>
      <c r="S166" s="28"/>
      <c r="T166" s="28"/>
      <c r="U166" s="28"/>
      <c r="V166" s="28"/>
      <c r="W166" s="28"/>
      <c r="X166" s="28"/>
      <c r="Y166" s="28" t="s">
        <v>2</v>
      </c>
      <c r="Z166" s="28" t="s">
        <v>2</v>
      </c>
      <c r="AA166" s="28"/>
      <c r="AB166" s="28"/>
      <c r="AC166" s="28"/>
      <c r="AD166" s="28"/>
      <c r="AE166" s="28"/>
      <c r="AF166" s="27"/>
      <c r="AH166" s="12">
        <f t="shared" si="19"/>
        <v>0</v>
      </c>
      <c r="AI166" s="12">
        <f t="shared" si="20"/>
        <v>0</v>
      </c>
    </row>
    <row r="167" spans="1:35" ht="20.100000000000001" hidden="1" customHeight="1">
      <c r="A167" s="15" t="str">
        <f>ÖSSZES!$A$17</f>
        <v>Név15</v>
      </c>
      <c r="B167" s="28" t="s">
        <v>2</v>
      </c>
      <c r="C167" s="28"/>
      <c r="D167" s="28"/>
      <c r="E167" s="28"/>
      <c r="F167" s="28"/>
      <c r="G167" s="28"/>
      <c r="H167" s="28"/>
      <c r="I167" s="28" t="s">
        <v>2</v>
      </c>
      <c r="J167" s="28" t="s">
        <v>2</v>
      </c>
      <c r="K167" s="28"/>
      <c r="L167" s="28"/>
      <c r="M167" s="28"/>
      <c r="N167" s="28"/>
      <c r="O167" s="28"/>
      <c r="P167" s="28"/>
      <c r="Q167" s="28" t="s">
        <v>2</v>
      </c>
      <c r="R167" s="28" t="s">
        <v>2</v>
      </c>
      <c r="S167" s="28"/>
      <c r="T167" s="28"/>
      <c r="U167" s="28"/>
      <c r="V167" s="28"/>
      <c r="W167" s="28"/>
      <c r="X167" s="28"/>
      <c r="Y167" s="28" t="s">
        <v>2</v>
      </c>
      <c r="Z167" s="28" t="s">
        <v>2</v>
      </c>
      <c r="AA167" s="28"/>
      <c r="AB167" s="28"/>
      <c r="AC167" s="28"/>
      <c r="AD167" s="28"/>
      <c r="AE167" s="28"/>
      <c r="AF167" s="27"/>
      <c r="AH167" s="12">
        <f t="shared" si="19"/>
        <v>0</v>
      </c>
      <c r="AI167" s="12">
        <f t="shared" si="20"/>
        <v>0</v>
      </c>
    </row>
    <row r="168" spans="1:35" ht="20.100000000000001" customHeight="1"/>
    <row r="169" spans="1:35" s="21" customFormat="1" ht="20.100000000000001" customHeight="1">
      <c r="A169" s="43" t="s">
        <v>12</v>
      </c>
      <c r="B169" s="20">
        <v>1</v>
      </c>
      <c r="C169" s="20">
        <v>2</v>
      </c>
      <c r="D169" s="20">
        <v>3</v>
      </c>
      <c r="E169" s="20">
        <v>4</v>
      </c>
      <c r="F169" s="20">
        <v>5</v>
      </c>
      <c r="G169" s="20">
        <v>6</v>
      </c>
      <c r="H169" s="20">
        <v>7</v>
      </c>
      <c r="I169" s="20">
        <v>8</v>
      </c>
      <c r="J169" s="20">
        <v>9</v>
      </c>
      <c r="K169" s="20">
        <v>10</v>
      </c>
      <c r="L169" s="20">
        <v>11</v>
      </c>
      <c r="M169" s="20">
        <v>12</v>
      </c>
      <c r="N169" s="20">
        <v>13</v>
      </c>
      <c r="O169" s="20">
        <v>14</v>
      </c>
      <c r="P169" s="20">
        <v>15</v>
      </c>
      <c r="Q169" s="20">
        <v>16</v>
      </c>
      <c r="R169" s="20">
        <v>17</v>
      </c>
      <c r="S169" s="20">
        <v>18</v>
      </c>
      <c r="T169" s="20">
        <v>19</v>
      </c>
      <c r="U169" s="19">
        <v>20</v>
      </c>
      <c r="V169" s="20">
        <v>21</v>
      </c>
      <c r="W169" s="20">
        <v>22</v>
      </c>
      <c r="X169" s="20">
        <v>23</v>
      </c>
      <c r="Y169" s="20">
        <v>24</v>
      </c>
      <c r="Z169" s="20">
        <v>25</v>
      </c>
      <c r="AA169" s="20">
        <v>26</v>
      </c>
      <c r="AB169" s="20">
        <v>27</v>
      </c>
      <c r="AC169" s="20">
        <v>28</v>
      </c>
      <c r="AD169" s="20">
        <v>29</v>
      </c>
      <c r="AE169" s="20">
        <v>30</v>
      </c>
      <c r="AF169" s="20">
        <v>31</v>
      </c>
      <c r="AH169" s="43" t="s">
        <v>18</v>
      </c>
      <c r="AI169" s="43" t="s">
        <v>19</v>
      </c>
    </row>
    <row r="170" spans="1:35" ht="20.100000000000001" customHeight="1">
      <c r="A170" s="44"/>
      <c r="B170" s="22" t="str">
        <f>'2021'!B60</f>
        <v>V</v>
      </c>
      <c r="C170" s="22" t="str">
        <f>'2021'!C60</f>
        <v>H</v>
      </c>
      <c r="D170" s="22" t="str">
        <f>'2021'!D60</f>
        <v>K</v>
      </c>
      <c r="E170" s="22" t="str">
        <f>'2021'!E60</f>
        <v>Sze</v>
      </c>
      <c r="F170" s="22" t="str">
        <f>'2021'!F60</f>
        <v>Cs</v>
      </c>
      <c r="G170" s="22" t="str">
        <f>'2021'!G60</f>
        <v>P</v>
      </c>
      <c r="H170" s="22" t="str">
        <f>'2021'!H60</f>
        <v>Szo</v>
      </c>
      <c r="I170" s="22" t="str">
        <f>'2021'!I60</f>
        <v>V</v>
      </c>
      <c r="J170" s="22" t="str">
        <f>'2021'!J60</f>
        <v>H</v>
      </c>
      <c r="K170" s="22" t="str">
        <f>'2021'!K60</f>
        <v>K</v>
      </c>
      <c r="L170" s="22" t="str">
        <f>'2021'!L60</f>
        <v>Sze</v>
      </c>
      <c r="M170" s="22" t="str">
        <f>'2021'!M60</f>
        <v>Cs</v>
      </c>
      <c r="N170" s="22" t="str">
        <f>'2021'!N60</f>
        <v>P</v>
      </c>
      <c r="O170" s="22" t="str">
        <f>'2021'!O60</f>
        <v>Szo</v>
      </c>
      <c r="P170" s="22" t="str">
        <f>'2021'!P60</f>
        <v>V</v>
      </c>
      <c r="Q170" s="22" t="str">
        <f>'2021'!Q60</f>
        <v>H</v>
      </c>
      <c r="R170" s="22" t="str">
        <f>'2021'!R60</f>
        <v>K</v>
      </c>
      <c r="S170" s="22" t="str">
        <f>'2021'!S60</f>
        <v>Sze</v>
      </c>
      <c r="T170" s="22" t="str">
        <f>'2021'!T60</f>
        <v>Cs</v>
      </c>
      <c r="U170" s="22" t="str">
        <f>'2021'!U60</f>
        <v>P</v>
      </c>
      <c r="V170" s="22" t="str">
        <f>'2021'!V60</f>
        <v>Szo</v>
      </c>
      <c r="W170" s="22" t="str">
        <f>'2021'!W60</f>
        <v>V</v>
      </c>
      <c r="X170" s="22" t="str">
        <f>'2021'!X60</f>
        <v>H</v>
      </c>
      <c r="Y170" s="22" t="str">
        <f>'2021'!Y60</f>
        <v>K</v>
      </c>
      <c r="Z170" s="22" t="str">
        <f>'2021'!Z60</f>
        <v>Sze</v>
      </c>
      <c r="AA170" s="22" t="str">
        <f>'2021'!AA60</f>
        <v>Cs</v>
      </c>
      <c r="AB170" s="22" t="str">
        <f>'2021'!AB60</f>
        <v>P</v>
      </c>
      <c r="AC170" s="22" t="str">
        <f>'2021'!AC60</f>
        <v>Szo</v>
      </c>
      <c r="AD170" s="22" t="str">
        <f>'2021'!AD60</f>
        <v>V</v>
      </c>
      <c r="AE170" s="22" t="str">
        <f>'2021'!AE60</f>
        <v>H</v>
      </c>
      <c r="AF170" s="22" t="str">
        <f>'2021'!AF60</f>
        <v>K</v>
      </c>
      <c r="AH170" s="45"/>
      <c r="AI170" s="45"/>
    </row>
    <row r="171" spans="1:35" ht="20.100000000000001" customHeight="1">
      <c r="A171" s="45"/>
      <c r="B171" s="22" t="str">
        <f>'2021'!B61</f>
        <v>X</v>
      </c>
      <c r="C171" s="22" t="str">
        <f>'2021'!C61</f>
        <v>X</v>
      </c>
      <c r="D171" s="22">
        <f>'2021'!D61</f>
        <v>2</v>
      </c>
      <c r="E171" s="22">
        <f>'2021'!E61</f>
        <v>2</v>
      </c>
      <c r="F171" s="22">
        <f>'2021'!F61</f>
        <v>2</v>
      </c>
      <c r="G171" s="22">
        <f>'2021'!G61</f>
        <v>2</v>
      </c>
      <c r="H171" s="22">
        <f>'2021'!H61</f>
        <v>2</v>
      </c>
      <c r="I171" s="22">
        <f>'2021'!I61</f>
        <v>2</v>
      </c>
      <c r="J171" s="22" t="str">
        <f>'2021'!J61</f>
        <v>X</v>
      </c>
      <c r="K171" s="22" t="str">
        <f>'2021'!K61</f>
        <v>X</v>
      </c>
      <c r="L171" s="22">
        <f>'2021'!L61</f>
        <v>1</v>
      </c>
      <c r="M171" s="22">
        <f>'2021'!M61</f>
        <v>1</v>
      </c>
      <c r="N171" s="22">
        <f>'2021'!N61</f>
        <v>1</v>
      </c>
      <c r="O171" s="22">
        <f>'2021'!O61</f>
        <v>1</v>
      </c>
      <c r="P171" s="22">
        <f>'2021'!P61</f>
        <v>1</v>
      </c>
      <c r="Q171" s="22">
        <f>'2021'!Q61</f>
        <v>1</v>
      </c>
      <c r="R171" s="22" t="str">
        <f>'2021'!R61</f>
        <v>X</v>
      </c>
      <c r="S171" s="22" t="str">
        <f>'2021'!S61</f>
        <v>X</v>
      </c>
      <c r="T171" s="22">
        <f>'2021'!T61</f>
        <v>3</v>
      </c>
      <c r="U171" s="22">
        <f>'2021'!U61</f>
        <v>3</v>
      </c>
      <c r="V171" s="22">
        <f>'2021'!V61</f>
        <v>3</v>
      </c>
      <c r="W171" s="22">
        <f>'2021'!W61</f>
        <v>3</v>
      </c>
      <c r="X171" s="22">
        <f>'2021'!X61</f>
        <v>3</v>
      </c>
      <c r="Y171" s="22">
        <f>'2021'!Y61</f>
        <v>3</v>
      </c>
      <c r="Z171" s="22" t="str">
        <f>'2021'!Z61</f>
        <v>X</v>
      </c>
      <c r="AA171" s="22" t="str">
        <f>'2021'!AA61</f>
        <v>X</v>
      </c>
      <c r="AB171" s="22">
        <f>'2021'!AB61</f>
        <v>2</v>
      </c>
      <c r="AC171" s="22">
        <f>'2021'!AC61</f>
        <v>2</v>
      </c>
      <c r="AD171" s="22">
        <f>'2021'!AD61</f>
        <v>2</v>
      </c>
      <c r="AE171" s="22">
        <f>'2021'!AE61</f>
        <v>2</v>
      </c>
      <c r="AF171" s="22">
        <f>'2021'!AF61</f>
        <v>2</v>
      </c>
      <c r="AH171" s="45"/>
      <c r="AI171" s="45"/>
    </row>
    <row r="172" spans="1:35" ht="20.100000000000001" customHeight="1">
      <c r="A172" s="15" t="str">
        <f>ÖSSZES!$A$3</f>
        <v>Csuka Lajos</v>
      </c>
      <c r="B172" s="28" t="s">
        <v>2</v>
      </c>
      <c r="C172" s="28" t="s">
        <v>2</v>
      </c>
      <c r="D172" s="27"/>
      <c r="E172" s="27"/>
      <c r="F172" s="27"/>
      <c r="G172" s="27"/>
      <c r="H172" s="27"/>
      <c r="I172" s="27"/>
      <c r="J172" s="28" t="s">
        <v>2</v>
      </c>
      <c r="K172" s="28" t="s">
        <v>2</v>
      </c>
      <c r="L172" s="27"/>
      <c r="M172" s="27"/>
      <c r="N172" s="27"/>
      <c r="O172" s="27"/>
      <c r="P172" s="27"/>
      <c r="Q172" s="27"/>
      <c r="R172" s="28" t="s">
        <v>2</v>
      </c>
      <c r="S172" s="28" t="s">
        <v>2</v>
      </c>
      <c r="T172" s="27"/>
      <c r="U172" s="27"/>
      <c r="V172" s="27"/>
      <c r="W172" s="27"/>
      <c r="X172" s="27"/>
      <c r="Y172" s="27"/>
      <c r="Z172" s="28" t="s">
        <v>2</v>
      </c>
      <c r="AA172" s="28" t="s">
        <v>2</v>
      </c>
      <c r="AB172" s="27"/>
      <c r="AC172" s="27"/>
      <c r="AD172" s="27"/>
      <c r="AE172" s="27"/>
      <c r="AF172" s="28"/>
      <c r="AH172" s="12">
        <f>1*COUNTIF(A172:AF172,"+")</f>
        <v>0</v>
      </c>
      <c r="AI172" s="12">
        <f t="shared" ref="AI172" si="21">1*COUNTIF(B172:AF172,"szf")</f>
        <v>0</v>
      </c>
    </row>
    <row r="173" spans="1:35" ht="20.100000000000001" customHeight="1">
      <c r="A173" s="15" t="str">
        <f>ÖSSZES!$A$4</f>
        <v>Batiz Attila</v>
      </c>
      <c r="B173" s="28" t="s">
        <v>2</v>
      </c>
      <c r="C173" s="28" t="s">
        <v>2</v>
      </c>
      <c r="D173" s="27"/>
      <c r="E173" s="27"/>
      <c r="F173" s="27"/>
      <c r="G173" s="27"/>
      <c r="H173" s="27"/>
      <c r="I173" s="27"/>
      <c r="J173" s="28" t="s">
        <v>2</v>
      </c>
      <c r="K173" s="28" t="s">
        <v>2</v>
      </c>
      <c r="L173" s="27"/>
      <c r="M173" s="27"/>
      <c r="N173" s="27"/>
      <c r="O173" s="27"/>
      <c r="P173" s="27"/>
      <c r="Q173" s="27"/>
      <c r="R173" s="28" t="s">
        <v>2</v>
      </c>
      <c r="S173" s="28" t="s">
        <v>2</v>
      </c>
      <c r="T173" s="27"/>
      <c r="U173" s="27"/>
      <c r="V173" s="27"/>
      <c r="W173" s="27"/>
      <c r="X173" s="27"/>
      <c r="Y173" s="27"/>
      <c r="Z173" s="28" t="s">
        <v>2</v>
      </c>
      <c r="AA173" s="28" t="s">
        <v>2</v>
      </c>
      <c r="AB173" s="27"/>
      <c r="AC173" s="27"/>
      <c r="AD173" s="27"/>
      <c r="AE173" s="27"/>
      <c r="AF173" s="28"/>
      <c r="AH173" s="12">
        <f t="shared" ref="AH173:AH191" si="22">1*COUNTIF(A173:AF173,"+")</f>
        <v>0</v>
      </c>
      <c r="AI173" s="12">
        <f t="shared" ref="AI173:AI191" si="23">1*COUNTIF(B173:AF173,"szf")</f>
        <v>0</v>
      </c>
    </row>
    <row r="174" spans="1:35" ht="20.100000000000001" customHeight="1">
      <c r="A174" s="15" t="str">
        <f>ÖSSZES!$A$5</f>
        <v>Füredi Antal</v>
      </c>
      <c r="B174" s="28" t="s">
        <v>2</v>
      </c>
      <c r="C174" s="28" t="s">
        <v>2</v>
      </c>
      <c r="D174" s="27"/>
      <c r="E174" s="27"/>
      <c r="F174" s="27"/>
      <c r="G174" s="27"/>
      <c r="H174" s="27"/>
      <c r="I174" s="27"/>
      <c r="J174" s="28" t="s">
        <v>2</v>
      </c>
      <c r="K174" s="28" t="s">
        <v>2</v>
      </c>
      <c r="L174" s="27"/>
      <c r="M174" s="27"/>
      <c r="N174" s="27"/>
      <c r="O174" s="27"/>
      <c r="P174" s="27"/>
      <c r="Q174" s="27"/>
      <c r="R174" s="28" t="s">
        <v>2</v>
      </c>
      <c r="S174" s="28" t="s">
        <v>2</v>
      </c>
      <c r="T174" s="27"/>
      <c r="U174" s="27"/>
      <c r="V174" s="27"/>
      <c r="W174" s="27"/>
      <c r="X174" s="27"/>
      <c r="Y174" s="27"/>
      <c r="Z174" s="28" t="s">
        <v>2</v>
      </c>
      <c r="AA174" s="28" t="s">
        <v>2</v>
      </c>
      <c r="AB174" s="27"/>
      <c r="AC174" s="27"/>
      <c r="AD174" s="27"/>
      <c r="AE174" s="27"/>
      <c r="AF174" s="28"/>
      <c r="AH174" s="12">
        <f t="shared" si="22"/>
        <v>0</v>
      </c>
      <c r="AI174" s="12">
        <f t="shared" si="23"/>
        <v>0</v>
      </c>
    </row>
    <row r="175" spans="1:35" ht="20.100000000000001" customHeight="1">
      <c r="A175" s="15" t="str">
        <f>ÖSSZES!$A$6</f>
        <v>Iványi István</v>
      </c>
      <c r="B175" s="28" t="s">
        <v>2</v>
      </c>
      <c r="C175" s="28" t="s">
        <v>2</v>
      </c>
      <c r="D175" s="27"/>
      <c r="E175" s="27"/>
      <c r="F175" s="27"/>
      <c r="G175" s="27"/>
      <c r="H175" s="27"/>
      <c r="I175" s="27"/>
      <c r="J175" s="28" t="s">
        <v>2</v>
      </c>
      <c r="K175" s="28" t="s">
        <v>2</v>
      </c>
      <c r="L175" s="27"/>
      <c r="M175" s="27"/>
      <c r="N175" s="27"/>
      <c r="O175" s="27"/>
      <c r="P175" s="27"/>
      <c r="Q175" s="27"/>
      <c r="R175" s="28" t="s">
        <v>2</v>
      </c>
      <c r="S175" s="28" t="s">
        <v>2</v>
      </c>
      <c r="T175" s="27"/>
      <c r="U175" s="27"/>
      <c r="V175" s="27"/>
      <c r="W175" s="27"/>
      <c r="X175" s="27"/>
      <c r="Y175" s="27"/>
      <c r="Z175" s="28" t="s">
        <v>2</v>
      </c>
      <c r="AA175" s="28" t="s">
        <v>2</v>
      </c>
      <c r="AB175" s="27"/>
      <c r="AC175" s="27"/>
      <c r="AD175" s="27"/>
      <c r="AE175" s="27"/>
      <c r="AF175" s="28"/>
      <c r="AH175" s="12">
        <f t="shared" si="22"/>
        <v>0</v>
      </c>
      <c r="AI175" s="12">
        <f t="shared" si="23"/>
        <v>0</v>
      </c>
    </row>
    <row r="176" spans="1:35" ht="20.100000000000001" customHeight="1">
      <c r="A176" s="15" t="str">
        <f>ÖSSZES!$A$7</f>
        <v>Katonka Tibor</v>
      </c>
      <c r="B176" s="28" t="s">
        <v>2</v>
      </c>
      <c r="C176" s="28" t="s">
        <v>2</v>
      </c>
      <c r="D176" s="27"/>
      <c r="E176" s="27"/>
      <c r="F176" s="27"/>
      <c r="G176" s="27"/>
      <c r="H176" s="27"/>
      <c r="I176" s="27"/>
      <c r="J176" s="28" t="s">
        <v>2</v>
      </c>
      <c r="K176" s="28" t="s">
        <v>2</v>
      </c>
      <c r="L176" s="27"/>
      <c r="M176" s="27"/>
      <c r="N176" s="27"/>
      <c r="O176" s="27"/>
      <c r="P176" s="27"/>
      <c r="Q176" s="27"/>
      <c r="R176" s="28" t="s">
        <v>2</v>
      </c>
      <c r="S176" s="28" t="s">
        <v>2</v>
      </c>
      <c r="T176" s="27"/>
      <c r="U176" s="27"/>
      <c r="V176" s="27"/>
      <c r="W176" s="27"/>
      <c r="X176" s="27"/>
      <c r="Y176" s="27"/>
      <c r="Z176" s="28" t="s">
        <v>2</v>
      </c>
      <c r="AA176" s="28" t="s">
        <v>2</v>
      </c>
      <c r="AB176" s="27"/>
      <c r="AC176" s="27"/>
      <c r="AD176" s="27"/>
      <c r="AE176" s="27"/>
      <c r="AF176" s="28"/>
      <c r="AH176" s="12">
        <f t="shared" si="22"/>
        <v>0</v>
      </c>
      <c r="AI176" s="12">
        <f t="shared" si="23"/>
        <v>0</v>
      </c>
    </row>
    <row r="177" spans="1:35" ht="20.100000000000001" customHeight="1">
      <c r="A177" s="15" t="str">
        <f>ÖSSZES!$A$8</f>
        <v>Mizsák Péter</v>
      </c>
      <c r="B177" s="28" t="s">
        <v>2</v>
      </c>
      <c r="C177" s="28" t="s">
        <v>2</v>
      </c>
      <c r="D177" s="27"/>
      <c r="E177" s="27"/>
      <c r="F177" s="27"/>
      <c r="G177" s="27"/>
      <c r="H177" s="27"/>
      <c r="I177" s="27"/>
      <c r="J177" s="28" t="s">
        <v>2</v>
      </c>
      <c r="K177" s="28" t="s">
        <v>2</v>
      </c>
      <c r="L177" s="27"/>
      <c r="M177" s="27"/>
      <c r="N177" s="27"/>
      <c r="O177" s="27"/>
      <c r="P177" s="27"/>
      <c r="Q177" s="27"/>
      <c r="R177" s="28" t="s">
        <v>2</v>
      </c>
      <c r="S177" s="28" t="s">
        <v>2</v>
      </c>
      <c r="T177" s="27"/>
      <c r="U177" s="27"/>
      <c r="V177" s="27"/>
      <c r="W177" s="27"/>
      <c r="X177" s="27"/>
      <c r="Y177" s="27"/>
      <c r="Z177" s="28" t="s">
        <v>2</v>
      </c>
      <c r="AA177" s="28" t="s">
        <v>2</v>
      </c>
      <c r="AB177" s="27"/>
      <c r="AC177" s="27"/>
      <c r="AD177" s="27"/>
      <c r="AE177" s="27"/>
      <c r="AF177" s="28"/>
      <c r="AH177" s="12">
        <f t="shared" si="22"/>
        <v>0</v>
      </c>
      <c r="AI177" s="12">
        <f t="shared" si="23"/>
        <v>0</v>
      </c>
    </row>
    <row r="178" spans="1:35" ht="20.100000000000001" customHeight="1">
      <c r="A178" s="15" t="str">
        <f>ÖSSZES!$A$9</f>
        <v>Vatamány Gergő</v>
      </c>
      <c r="B178" s="28" t="s">
        <v>2</v>
      </c>
      <c r="C178" s="28" t="s">
        <v>2</v>
      </c>
      <c r="D178" s="27"/>
      <c r="E178" s="27"/>
      <c r="F178" s="27"/>
      <c r="G178" s="27"/>
      <c r="H178" s="27"/>
      <c r="I178" s="27"/>
      <c r="J178" s="28" t="s">
        <v>2</v>
      </c>
      <c r="K178" s="28" t="s">
        <v>2</v>
      </c>
      <c r="L178" s="27"/>
      <c r="M178" s="27"/>
      <c r="N178" s="27"/>
      <c r="O178" s="27"/>
      <c r="P178" s="27"/>
      <c r="Q178" s="27"/>
      <c r="R178" s="28" t="s">
        <v>2</v>
      </c>
      <c r="S178" s="28" t="s">
        <v>2</v>
      </c>
      <c r="T178" s="27"/>
      <c r="U178" s="27"/>
      <c r="V178" s="27"/>
      <c r="W178" s="27"/>
      <c r="X178" s="27"/>
      <c r="Y178" s="27"/>
      <c r="Z178" s="28" t="s">
        <v>2</v>
      </c>
      <c r="AA178" s="28" t="s">
        <v>2</v>
      </c>
      <c r="AB178" s="27"/>
      <c r="AC178" s="27"/>
      <c r="AD178" s="27"/>
      <c r="AE178" s="27"/>
      <c r="AF178" s="28"/>
      <c r="AH178" s="12">
        <f t="shared" si="22"/>
        <v>0</v>
      </c>
      <c r="AI178" s="12">
        <f t="shared" si="23"/>
        <v>0</v>
      </c>
    </row>
    <row r="179" spans="1:35" ht="20.100000000000001" hidden="1" customHeight="1">
      <c r="A179" s="15" t="str">
        <f>ÖSSZES!$A$10</f>
        <v>Név8</v>
      </c>
      <c r="B179" s="28" t="s">
        <v>2</v>
      </c>
      <c r="C179" s="28" t="s">
        <v>2</v>
      </c>
      <c r="D179" s="27"/>
      <c r="E179" s="27"/>
      <c r="F179" s="27"/>
      <c r="G179" s="27"/>
      <c r="H179" s="27"/>
      <c r="I179" s="27"/>
      <c r="J179" s="28" t="s">
        <v>2</v>
      </c>
      <c r="K179" s="28" t="s">
        <v>2</v>
      </c>
      <c r="L179" s="27"/>
      <c r="M179" s="27"/>
      <c r="N179" s="27"/>
      <c r="O179" s="27"/>
      <c r="P179" s="27"/>
      <c r="Q179" s="27"/>
      <c r="R179" s="28" t="s">
        <v>2</v>
      </c>
      <c r="S179" s="28" t="s">
        <v>2</v>
      </c>
      <c r="T179" s="27"/>
      <c r="U179" s="27"/>
      <c r="V179" s="27"/>
      <c r="W179" s="27"/>
      <c r="X179" s="27"/>
      <c r="Y179" s="27"/>
      <c r="Z179" s="28" t="s">
        <v>2</v>
      </c>
      <c r="AA179" s="28" t="s">
        <v>2</v>
      </c>
      <c r="AB179" s="27"/>
      <c r="AC179" s="27"/>
      <c r="AD179" s="27"/>
      <c r="AE179" s="27"/>
      <c r="AF179" s="28"/>
      <c r="AH179" s="12">
        <f t="shared" si="22"/>
        <v>0</v>
      </c>
      <c r="AI179" s="12">
        <f t="shared" si="23"/>
        <v>0</v>
      </c>
    </row>
    <row r="180" spans="1:35" ht="20.100000000000001" hidden="1" customHeight="1">
      <c r="A180" s="15" t="str">
        <f>ÖSSZES!$A$11</f>
        <v>Név9</v>
      </c>
      <c r="B180" s="28" t="s">
        <v>2</v>
      </c>
      <c r="C180" s="28" t="s">
        <v>2</v>
      </c>
      <c r="D180" s="27"/>
      <c r="E180" s="27"/>
      <c r="F180" s="27"/>
      <c r="G180" s="27"/>
      <c r="H180" s="27"/>
      <c r="I180" s="27"/>
      <c r="J180" s="28" t="s">
        <v>2</v>
      </c>
      <c r="K180" s="28" t="s">
        <v>2</v>
      </c>
      <c r="L180" s="27"/>
      <c r="M180" s="27"/>
      <c r="N180" s="27"/>
      <c r="O180" s="27"/>
      <c r="P180" s="27"/>
      <c r="Q180" s="27"/>
      <c r="R180" s="28" t="s">
        <v>2</v>
      </c>
      <c r="S180" s="28" t="s">
        <v>2</v>
      </c>
      <c r="T180" s="27"/>
      <c r="U180" s="27"/>
      <c r="V180" s="27"/>
      <c r="W180" s="27"/>
      <c r="X180" s="27"/>
      <c r="Y180" s="27"/>
      <c r="Z180" s="28" t="s">
        <v>2</v>
      </c>
      <c r="AA180" s="28" t="s">
        <v>2</v>
      </c>
      <c r="AB180" s="27"/>
      <c r="AC180" s="27"/>
      <c r="AD180" s="27"/>
      <c r="AE180" s="27"/>
      <c r="AF180" s="28"/>
      <c r="AH180" s="12">
        <f t="shared" si="22"/>
        <v>0</v>
      </c>
      <c r="AI180" s="12">
        <f t="shared" si="23"/>
        <v>0</v>
      </c>
    </row>
    <row r="181" spans="1:35" ht="20.100000000000001" hidden="1" customHeight="1">
      <c r="A181" s="15" t="str">
        <f>ÖSSZES!$A$12</f>
        <v>Név10</v>
      </c>
      <c r="B181" s="28" t="s">
        <v>2</v>
      </c>
      <c r="C181" s="28" t="s">
        <v>2</v>
      </c>
      <c r="D181" s="27"/>
      <c r="E181" s="27"/>
      <c r="F181" s="27"/>
      <c r="G181" s="27"/>
      <c r="H181" s="27"/>
      <c r="I181" s="27"/>
      <c r="J181" s="28" t="s">
        <v>2</v>
      </c>
      <c r="K181" s="28" t="s">
        <v>2</v>
      </c>
      <c r="L181" s="27"/>
      <c r="M181" s="27"/>
      <c r="N181" s="27"/>
      <c r="O181" s="27"/>
      <c r="P181" s="27"/>
      <c r="Q181" s="27"/>
      <c r="R181" s="28" t="s">
        <v>2</v>
      </c>
      <c r="S181" s="28" t="s">
        <v>2</v>
      </c>
      <c r="T181" s="27"/>
      <c r="U181" s="27"/>
      <c r="V181" s="27"/>
      <c r="W181" s="27"/>
      <c r="X181" s="27"/>
      <c r="Y181" s="27"/>
      <c r="Z181" s="28" t="s">
        <v>2</v>
      </c>
      <c r="AA181" s="28" t="s">
        <v>2</v>
      </c>
      <c r="AB181" s="27"/>
      <c r="AC181" s="27"/>
      <c r="AD181" s="27"/>
      <c r="AE181" s="27"/>
      <c r="AF181" s="28"/>
      <c r="AH181" s="12">
        <f t="shared" si="22"/>
        <v>0</v>
      </c>
      <c r="AI181" s="12">
        <f t="shared" si="23"/>
        <v>0</v>
      </c>
    </row>
    <row r="182" spans="1:35" ht="20.100000000000001" hidden="1" customHeight="1">
      <c r="A182" s="15" t="str">
        <f>ÖSSZES!$A$13</f>
        <v>Név11</v>
      </c>
      <c r="B182" s="28" t="s">
        <v>2</v>
      </c>
      <c r="C182" s="28" t="s">
        <v>2</v>
      </c>
      <c r="D182" s="27"/>
      <c r="E182" s="27"/>
      <c r="F182" s="27"/>
      <c r="G182" s="27"/>
      <c r="H182" s="27"/>
      <c r="I182" s="27"/>
      <c r="J182" s="28" t="s">
        <v>2</v>
      </c>
      <c r="K182" s="28" t="s">
        <v>2</v>
      </c>
      <c r="L182" s="27"/>
      <c r="M182" s="27"/>
      <c r="N182" s="27"/>
      <c r="O182" s="27"/>
      <c r="P182" s="27"/>
      <c r="Q182" s="27"/>
      <c r="R182" s="28" t="s">
        <v>2</v>
      </c>
      <c r="S182" s="28" t="s">
        <v>2</v>
      </c>
      <c r="T182" s="27"/>
      <c r="U182" s="27"/>
      <c r="V182" s="27"/>
      <c r="W182" s="27"/>
      <c r="X182" s="27"/>
      <c r="Y182" s="27"/>
      <c r="Z182" s="28" t="s">
        <v>2</v>
      </c>
      <c r="AA182" s="28" t="s">
        <v>2</v>
      </c>
      <c r="AB182" s="27"/>
      <c r="AC182" s="27"/>
      <c r="AD182" s="27"/>
      <c r="AE182" s="27"/>
      <c r="AF182" s="28"/>
      <c r="AH182" s="12">
        <f t="shared" si="22"/>
        <v>0</v>
      </c>
      <c r="AI182" s="12">
        <f t="shared" si="23"/>
        <v>0</v>
      </c>
    </row>
    <row r="183" spans="1:35" ht="20.100000000000001" hidden="1" customHeight="1">
      <c r="A183" s="15" t="str">
        <f>ÖSSZES!$A$14</f>
        <v>Név12</v>
      </c>
      <c r="B183" s="28" t="s">
        <v>2</v>
      </c>
      <c r="C183" s="28" t="s">
        <v>2</v>
      </c>
      <c r="D183" s="27"/>
      <c r="E183" s="27"/>
      <c r="F183" s="27"/>
      <c r="G183" s="27"/>
      <c r="H183" s="27"/>
      <c r="I183" s="27"/>
      <c r="J183" s="28" t="s">
        <v>2</v>
      </c>
      <c r="K183" s="28" t="s">
        <v>2</v>
      </c>
      <c r="L183" s="27"/>
      <c r="M183" s="27"/>
      <c r="N183" s="27"/>
      <c r="O183" s="27"/>
      <c r="P183" s="27"/>
      <c r="Q183" s="27"/>
      <c r="R183" s="28" t="s">
        <v>2</v>
      </c>
      <c r="S183" s="28" t="s">
        <v>2</v>
      </c>
      <c r="T183" s="27"/>
      <c r="U183" s="27"/>
      <c r="V183" s="27"/>
      <c r="W183" s="27"/>
      <c r="X183" s="27"/>
      <c r="Y183" s="27"/>
      <c r="Z183" s="28" t="s">
        <v>2</v>
      </c>
      <c r="AA183" s="28" t="s">
        <v>2</v>
      </c>
      <c r="AB183" s="27"/>
      <c r="AC183" s="27"/>
      <c r="AD183" s="27"/>
      <c r="AE183" s="27"/>
      <c r="AF183" s="28"/>
      <c r="AH183" s="12">
        <f t="shared" si="22"/>
        <v>0</v>
      </c>
      <c r="AI183" s="12">
        <f t="shared" si="23"/>
        <v>0</v>
      </c>
    </row>
    <row r="184" spans="1:35" ht="20.100000000000001" hidden="1" customHeight="1">
      <c r="A184" s="15" t="str">
        <f>ÖSSZES!$A$15</f>
        <v>Név13</v>
      </c>
      <c r="B184" s="28" t="s">
        <v>2</v>
      </c>
      <c r="C184" s="28" t="s">
        <v>2</v>
      </c>
      <c r="D184" s="27"/>
      <c r="E184" s="27"/>
      <c r="F184" s="27"/>
      <c r="G184" s="27"/>
      <c r="H184" s="27"/>
      <c r="I184" s="27"/>
      <c r="J184" s="28" t="s">
        <v>2</v>
      </c>
      <c r="K184" s="28" t="s">
        <v>2</v>
      </c>
      <c r="L184" s="27"/>
      <c r="M184" s="27"/>
      <c r="N184" s="27"/>
      <c r="O184" s="27"/>
      <c r="P184" s="27"/>
      <c r="Q184" s="27"/>
      <c r="R184" s="28" t="s">
        <v>2</v>
      </c>
      <c r="S184" s="28" t="s">
        <v>2</v>
      </c>
      <c r="T184" s="27"/>
      <c r="U184" s="27"/>
      <c r="V184" s="27"/>
      <c r="W184" s="27"/>
      <c r="X184" s="27"/>
      <c r="Y184" s="27"/>
      <c r="Z184" s="28" t="s">
        <v>2</v>
      </c>
      <c r="AA184" s="28" t="s">
        <v>2</v>
      </c>
      <c r="AB184" s="27"/>
      <c r="AC184" s="27"/>
      <c r="AD184" s="27"/>
      <c r="AE184" s="27"/>
      <c r="AF184" s="28"/>
      <c r="AH184" s="12">
        <f t="shared" si="22"/>
        <v>0</v>
      </c>
      <c r="AI184" s="12">
        <f t="shared" si="23"/>
        <v>0</v>
      </c>
    </row>
    <row r="185" spans="1:35" ht="20.100000000000001" hidden="1" customHeight="1">
      <c r="A185" s="15" t="str">
        <f>ÖSSZES!$A$16</f>
        <v>Név14</v>
      </c>
      <c r="B185" s="28" t="s">
        <v>2</v>
      </c>
      <c r="C185" s="28" t="s">
        <v>2</v>
      </c>
      <c r="D185" s="27"/>
      <c r="E185" s="27"/>
      <c r="F185" s="27"/>
      <c r="G185" s="27"/>
      <c r="H185" s="27"/>
      <c r="I185" s="27"/>
      <c r="J185" s="28" t="s">
        <v>2</v>
      </c>
      <c r="K185" s="28" t="s">
        <v>2</v>
      </c>
      <c r="L185" s="27"/>
      <c r="M185" s="27"/>
      <c r="N185" s="27"/>
      <c r="O185" s="27"/>
      <c r="P185" s="27"/>
      <c r="Q185" s="27"/>
      <c r="R185" s="28" t="s">
        <v>2</v>
      </c>
      <c r="S185" s="28" t="s">
        <v>2</v>
      </c>
      <c r="T185" s="27"/>
      <c r="U185" s="27"/>
      <c r="V185" s="27"/>
      <c r="W185" s="27"/>
      <c r="X185" s="27"/>
      <c r="Y185" s="27"/>
      <c r="Z185" s="28" t="s">
        <v>2</v>
      </c>
      <c r="AA185" s="28" t="s">
        <v>2</v>
      </c>
      <c r="AB185" s="27"/>
      <c r="AC185" s="27"/>
      <c r="AD185" s="27"/>
      <c r="AE185" s="27"/>
      <c r="AF185" s="28"/>
      <c r="AH185" s="12">
        <f t="shared" si="22"/>
        <v>0</v>
      </c>
      <c r="AI185" s="12">
        <f t="shared" si="23"/>
        <v>0</v>
      </c>
    </row>
    <row r="186" spans="1:35" ht="20.100000000000001" hidden="1" customHeight="1">
      <c r="A186" s="15" t="str">
        <f>ÖSSZES!$A$17</f>
        <v>Név15</v>
      </c>
      <c r="B186" s="28" t="s">
        <v>2</v>
      </c>
      <c r="C186" s="28" t="s">
        <v>2</v>
      </c>
      <c r="D186" s="27"/>
      <c r="E186" s="27"/>
      <c r="F186" s="27"/>
      <c r="G186" s="27"/>
      <c r="H186" s="27"/>
      <c r="I186" s="27"/>
      <c r="J186" s="28" t="s">
        <v>2</v>
      </c>
      <c r="K186" s="28" t="s">
        <v>2</v>
      </c>
      <c r="L186" s="27"/>
      <c r="M186" s="27"/>
      <c r="N186" s="27"/>
      <c r="O186" s="27"/>
      <c r="P186" s="27"/>
      <c r="Q186" s="27"/>
      <c r="R186" s="28" t="s">
        <v>2</v>
      </c>
      <c r="S186" s="28" t="s">
        <v>2</v>
      </c>
      <c r="T186" s="27"/>
      <c r="U186" s="27"/>
      <c r="V186" s="27"/>
      <c r="W186" s="27"/>
      <c r="X186" s="27"/>
      <c r="Y186" s="27"/>
      <c r="Z186" s="28" t="s">
        <v>2</v>
      </c>
      <c r="AA186" s="28" t="s">
        <v>2</v>
      </c>
      <c r="AB186" s="27"/>
      <c r="AC186" s="27"/>
      <c r="AD186" s="27"/>
      <c r="AE186" s="27"/>
      <c r="AF186" s="28"/>
      <c r="AH186" s="12">
        <f t="shared" si="22"/>
        <v>0</v>
      </c>
      <c r="AI186" s="12">
        <f t="shared" si="23"/>
        <v>0</v>
      </c>
    </row>
    <row r="187" spans="1:35" ht="20.100000000000001" hidden="1" customHeight="1">
      <c r="A187" s="15" t="str">
        <f>ÖSSZES!$A$18</f>
        <v>Név16</v>
      </c>
      <c r="B187" s="28" t="s">
        <v>2</v>
      </c>
      <c r="C187" s="28" t="s">
        <v>2</v>
      </c>
      <c r="D187" s="27"/>
      <c r="E187" s="27"/>
      <c r="F187" s="27"/>
      <c r="G187" s="27"/>
      <c r="H187" s="27"/>
      <c r="I187" s="27"/>
      <c r="J187" s="28" t="s">
        <v>2</v>
      </c>
      <c r="K187" s="28" t="s">
        <v>2</v>
      </c>
      <c r="L187" s="27"/>
      <c r="M187" s="27"/>
      <c r="N187" s="27"/>
      <c r="O187" s="27"/>
      <c r="P187" s="27"/>
      <c r="Q187" s="27"/>
      <c r="R187" s="28" t="s">
        <v>2</v>
      </c>
      <c r="S187" s="28" t="s">
        <v>2</v>
      </c>
      <c r="T187" s="27"/>
      <c r="U187" s="27"/>
      <c r="V187" s="27"/>
      <c r="W187" s="27"/>
      <c r="X187" s="27"/>
      <c r="Y187" s="27"/>
      <c r="Z187" s="28" t="s">
        <v>2</v>
      </c>
      <c r="AA187" s="28" t="s">
        <v>2</v>
      </c>
      <c r="AB187" s="27"/>
      <c r="AC187" s="27"/>
      <c r="AD187" s="27"/>
      <c r="AE187" s="27"/>
      <c r="AF187" s="28"/>
      <c r="AH187" s="12">
        <f t="shared" si="22"/>
        <v>0</v>
      </c>
      <c r="AI187" s="12">
        <f t="shared" si="23"/>
        <v>0</v>
      </c>
    </row>
    <row r="188" spans="1:35" ht="20.100000000000001" hidden="1" customHeight="1">
      <c r="A188" s="15" t="str">
        <f>ÖSSZES!$A$19</f>
        <v>Név17</v>
      </c>
      <c r="B188" s="28" t="s">
        <v>2</v>
      </c>
      <c r="C188" s="28" t="s">
        <v>2</v>
      </c>
      <c r="D188" s="27"/>
      <c r="E188" s="27"/>
      <c r="F188" s="27"/>
      <c r="G188" s="27"/>
      <c r="H188" s="27"/>
      <c r="I188" s="27"/>
      <c r="J188" s="28" t="s">
        <v>2</v>
      </c>
      <c r="K188" s="28" t="s">
        <v>2</v>
      </c>
      <c r="L188" s="27"/>
      <c r="M188" s="27"/>
      <c r="N188" s="27"/>
      <c r="O188" s="27"/>
      <c r="P188" s="27"/>
      <c r="Q188" s="27"/>
      <c r="R188" s="28" t="s">
        <v>2</v>
      </c>
      <c r="S188" s="28" t="s">
        <v>2</v>
      </c>
      <c r="T188" s="27"/>
      <c r="U188" s="27"/>
      <c r="V188" s="27"/>
      <c r="W188" s="27"/>
      <c r="X188" s="27"/>
      <c r="Y188" s="27"/>
      <c r="Z188" s="28" t="s">
        <v>2</v>
      </c>
      <c r="AA188" s="28" t="s">
        <v>2</v>
      </c>
      <c r="AB188" s="27"/>
      <c r="AC188" s="27"/>
      <c r="AD188" s="27"/>
      <c r="AE188" s="27"/>
      <c r="AF188" s="28"/>
      <c r="AH188" s="12">
        <f t="shared" si="22"/>
        <v>0</v>
      </c>
      <c r="AI188" s="12">
        <f t="shared" si="23"/>
        <v>0</v>
      </c>
    </row>
    <row r="189" spans="1:35" ht="20.100000000000001" hidden="1" customHeight="1">
      <c r="A189" s="15" t="str">
        <f>ÖSSZES!$A$20</f>
        <v>Név18</v>
      </c>
      <c r="B189" s="28" t="s">
        <v>2</v>
      </c>
      <c r="C189" s="28" t="s">
        <v>2</v>
      </c>
      <c r="D189" s="27"/>
      <c r="E189" s="27"/>
      <c r="F189" s="27"/>
      <c r="G189" s="27"/>
      <c r="H189" s="27"/>
      <c r="I189" s="27"/>
      <c r="J189" s="28" t="s">
        <v>2</v>
      </c>
      <c r="K189" s="28" t="s">
        <v>2</v>
      </c>
      <c r="L189" s="27"/>
      <c r="M189" s="27"/>
      <c r="N189" s="27"/>
      <c r="O189" s="27"/>
      <c r="P189" s="27"/>
      <c r="Q189" s="27"/>
      <c r="R189" s="28" t="s">
        <v>2</v>
      </c>
      <c r="S189" s="28" t="s">
        <v>2</v>
      </c>
      <c r="T189" s="27"/>
      <c r="U189" s="27"/>
      <c r="V189" s="27"/>
      <c r="W189" s="27"/>
      <c r="X189" s="27"/>
      <c r="Y189" s="27"/>
      <c r="Z189" s="28" t="s">
        <v>2</v>
      </c>
      <c r="AA189" s="28" t="s">
        <v>2</v>
      </c>
      <c r="AB189" s="27"/>
      <c r="AC189" s="27"/>
      <c r="AD189" s="27"/>
      <c r="AE189" s="27"/>
      <c r="AF189" s="28"/>
      <c r="AH189" s="12">
        <f t="shared" si="22"/>
        <v>0</v>
      </c>
      <c r="AI189" s="12">
        <f t="shared" si="23"/>
        <v>0</v>
      </c>
    </row>
    <row r="190" spans="1:35" ht="20.100000000000001" hidden="1" customHeight="1">
      <c r="A190" s="15" t="str">
        <f>ÖSSZES!$A$21</f>
        <v>Név19</v>
      </c>
      <c r="B190" s="28" t="s">
        <v>2</v>
      </c>
      <c r="C190" s="28" t="s">
        <v>2</v>
      </c>
      <c r="D190" s="27"/>
      <c r="E190" s="27"/>
      <c r="F190" s="27"/>
      <c r="G190" s="27"/>
      <c r="H190" s="27"/>
      <c r="I190" s="27"/>
      <c r="J190" s="28" t="s">
        <v>2</v>
      </c>
      <c r="K190" s="28" t="s">
        <v>2</v>
      </c>
      <c r="L190" s="27"/>
      <c r="M190" s="27"/>
      <c r="N190" s="27"/>
      <c r="O190" s="27"/>
      <c r="P190" s="27"/>
      <c r="Q190" s="27"/>
      <c r="R190" s="28" t="s">
        <v>2</v>
      </c>
      <c r="S190" s="28" t="s">
        <v>2</v>
      </c>
      <c r="T190" s="27"/>
      <c r="U190" s="27"/>
      <c r="V190" s="27"/>
      <c r="W190" s="27"/>
      <c r="X190" s="27"/>
      <c r="Y190" s="27"/>
      <c r="Z190" s="28" t="s">
        <v>2</v>
      </c>
      <c r="AA190" s="28" t="s">
        <v>2</v>
      </c>
      <c r="AB190" s="27"/>
      <c r="AC190" s="27"/>
      <c r="AD190" s="27"/>
      <c r="AE190" s="27"/>
      <c r="AF190" s="28"/>
      <c r="AH190" s="12">
        <f t="shared" si="22"/>
        <v>0</v>
      </c>
      <c r="AI190" s="12">
        <f t="shared" si="23"/>
        <v>0</v>
      </c>
    </row>
    <row r="191" spans="1:35" ht="20.100000000000001" hidden="1" customHeight="1">
      <c r="A191" s="15" t="str">
        <f>ÖSSZES!$A$17</f>
        <v>Név15</v>
      </c>
      <c r="B191" s="28" t="s">
        <v>2</v>
      </c>
      <c r="C191" s="28" t="s">
        <v>2</v>
      </c>
      <c r="D191" s="27"/>
      <c r="E191" s="27"/>
      <c r="F191" s="27"/>
      <c r="G191" s="27"/>
      <c r="H191" s="27"/>
      <c r="I191" s="27"/>
      <c r="J191" s="28" t="s">
        <v>2</v>
      </c>
      <c r="K191" s="28" t="s">
        <v>2</v>
      </c>
      <c r="L191" s="27"/>
      <c r="M191" s="27"/>
      <c r="N191" s="27"/>
      <c r="O191" s="27"/>
      <c r="P191" s="27"/>
      <c r="Q191" s="27"/>
      <c r="R191" s="28" t="s">
        <v>2</v>
      </c>
      <c r="S191" s="28" t="s">
        <v>2</v>
      </c>
      <c r="T191" s="27"/>
      <c r="U191" s="27"/>
      <c r="V191" s="27"/>
      <c r="W191" s="27"/>
      <c r="X191" s="27"/>
      <c r="Y191" s="27"/>
      <c r="Z191" s="28" t="s">
        <v>2</v>
      </c>
      <c r="AA191" s="28" t="s">
        <v>2</v>
      </c>
      <c r="AB191" s="27"/>
      <c r="AC191" s="27"/>
      <c r="AD191" s="27"/>
      <c r="AE191" s="27"/>
      <c r="AF191" s="28"/>
      <c r="AH191" s="12">
        <f t="shared" si="22"/>
        <v>0</v>
      </c>
      <c r="AI191" s="12">
        <f t="shared" si="23"/>
        <v>0</v>
      </c>
    </row>
    <row r="192" spans="1:35" ht="20.100000000000001" customHeight="1"/>
    <row r="193" spans="1:35" s="21" customFormat="1" ht="20.100000000000001" customHeight="1">
      <c r="A193" s="43" t="s">
        <v>13</v>
      </c>
      <c r="B193" s="20">
        <v>1</v>
      </c>
      <c r="C193" s="20">
        <v>2</v>
      </c>
      <c r="D193" s="20">
        <v>3</v>
      </c>
      <c r="E193" s="20">
        <v>4</v>
      </c>
      <c r="F193" s="20">
        <v>5</v>
      </c>
      <c r="G193" s="20">
        <v>6</v>
      </c>
      <c r="H193" s="20">
        <v>7</v>
      </c>
      <c r="I193" s="20">
        <v>8</v>
      </c>
      <c r="J193" s="20">
        <v>9</v>
      </c>
      <c r="K193" s="20">
        <v>10</v>
      </c>
      <c r="L193" s="20">
        <v>11</v>
      </c>
      <c r="M193" s="20">
        <v>12</v>
      </c>
      <c r="N193" s="20">
        <v>13</v>
      </c>
      <c r="O193" s="20">
        <v>14</v>
      </c>
      <c r="P193" s="20">
        <v>15</v>
      </c>
      <c r="Q193" s="20">
        <v>16</v>
      </c>
      <c r="R193" s="20">
        <v>17</v>
      </c>
      <c r="S193" s="20">
        <v>18</v>
      </c>
      <c r="T193" s="20">
        <v>19</v>
      </c>
      <c r="U193" s="20">
        <v>20</v>
      </c>
      <c r="V193" s="20">
        <v>21</v>
      </c>
      <c r="W193" s="20">
        <v>22</v>
      </c>
      <c r="X193" s="20">
        <v>23</v>
      </c>
      <c r="Y193" s="20">
        <v>24</v>
      </c>
      <c r="Z193" s="20">
        <v>25</v>
      </c>
      <c r="AA193" s="20">
        <v>26</v>
      </c>
      <c r="AB193" s="20">
        <v>27</v>
      </c>
      <c r="AC193" s="20">
        <v>28</v>
      </c>
      <c r="AD193" s="20">
        <v>29</v>
      </c>
      <c r="AE193" s="20">
        <v>30</v>
      </c>
      <c r="AH193" s="43" t="s">
        <v>18</v>
      </c>
      <c r="AI193" s="43" t="s">
        <v>19</v>
      </c>
    </row>
    <row r="194" spans="1:35" ht="20.100000000000001" customHeight="1">
      <c r="A194" s="44"/>
      <c r="B194" s="22" t="str">
        <f>'2021'!B68</f>
        <v>Sze</v>
      </c>
      <c r="C194" s="22" t="str">
        <f>'2021'!C68</f>
        <v>Cs</v>
      </c>
      <c r="D194" s="22" t="str">
        <f>'2021'!D68</f>
        <v>P</v>
      </c>
      <c r="E194" s="22" t="str">
        <f>'2021'!E68</f>
        <v>Szo</v>
      </c>
      <c r="F194" s="22" t="str">
        <f>'2021'!F68</f>
        <v>V</v>
      </c>
      <c r="G194" s="22" t="str">
        <f>'2021'!G68</f>
        <v>H</v>
      </c>
      <c r="H194" s="22" t="str">
        <f>'2021'!H68</f>
        <v>K</v>
      </c>
      <c r="I194" s="22" t="str">
        <f>'2021'!I68</f>
        <v>Sze</v>
      </c>
      <c r="J194" s="22" t="str">
        <f>'2021'!J68</f>
        <v>Cs</v>
      </c>
      <c r="K194" s="22" t="str">
        <f>'2021'!K68</f>
        <v>P</v>
      </c>
      <c r="L194" s="22" t="str">
        <f>'2021'!L68</f>
        <v>Szo</v>
      </c>
      <c r="M194" s="22" t="str">
        <f>'2021'!M68</f>
        <v>V</v>
      </c>
      <c r="N194" s="22" t="str">
        <f>'2021'!N68</f>
        <v>H</v>
      </c>
      <c r="O194" s="22" t="str">
        <f>'2021'!O68</f>
        <v>K</v>
      </c>
      <c r="P194" s="22" t="str">
        <f>'2021'!P68</f>
        <v>Sze</v>
      </c>
      <c r="Q194" s="22" t="str">
        <f>'2021'!Q68</f>
        <v>Cs</v>
      </c>
      <c r="R194" s="22" t="str">
        <f>'2021'!R68</f>
        <v>P</v>
      </c>
      <c r="S194" s="22" t="str">
        <f>'2021'!S68</f>
        <v>Szo</v>
      </c>
      <c r="T194" s="22" t="str">
        <f>'2021'!T68</f>
        <v>V</v>
      </c>
      <c r="U194" s="22" t="str">
        <f>'2021'!U68</f>
        <v>H</v>
      </c>
      <c r="V194" s="22" t="str">
        <f>'2021'!V68</f>
        <v>K</v>
      </c>
      <c r="W194" s="22" t="str">
        <f>'2021'!W68</f>
        <v>Sze</v>
      </c>
      <c r="X194" s="22" t="str">
        <f>'2021'!X68</f>
        <v>Cs</v>
      </c>
      <c r="Y194" s="22" t="str">
        <f>'2021'!Y68</f>
        <v>P</v>
      </c>
      <c r="Z194" s="22" t="str">
        <f>'2021'!Z68</f>
        <v>Szo</v>
      </c>
      <c r="AA194" s="22" t="str">
        <f>'2021'!AA68</f>
        <v>V</v>
      </c>
      <c r="AB194" s="22" t="str">
        <f>'2021'!AB68</f>
        <v>H</v>
      </c>
      <c r="AC194" s="22" t="str">
        <f>'2021'!AC68</f>
        <v>K</v>
      </c>
      <c r="AD194" s="22" t="str">
        <f>'2021'!AD68</f>
        <v>Sze</v>
      </c>
      <c r="AE194" s="22" t="str">
        <f>'2021'!AE68</f>
        <v>Cs</v>
      </c>
      <c r="AF194" s="17"/>
      <c r="AH194" s="45"/>
      <c r="AI194" s="45"/>
    </row>
    <row r="195" spans="1:35" ht="20.100000000000001" customHeight="1">
      <c r="A195" s="45"/>
      <c r="B195" s="22">
        <f>'2021'!B69</f>
        <v>2</v>
      </c>
      <c r="C195" s="22" t="str">
        <f>'2021'!C69</f>
        <v>X</v>
      </c>
      <c r="D195" s="22" t="str">
        <f>'2021'!D69</f>
        <v>X</v>
      </c>
      <c r="E195" s="22">
        <f>'2021'!E69</f>
        <v>1</v>
      </c>
      <c r="F195" s="22">
        <f>'2021'!F69</f>
        <v>1</v>
      </c>
      <c r="G195" s="22">
        <f>'2021'!G69</f>
        <v>1</v>
      </c>
      <c r="H195" s="22">
        <f>'2021'!H69</f>
        <v>1</v>
      </c>
      <c r="I195" s="22">
        <f>'2021'!I69</f>
        <v>1</v>
      </c>
      <c r="J195" s="22">
        <f>'2021'!J69</f>
        <v>1</v>
      </c>
      <c r="K195" s="22" t="str">
        <f>'2021'!K69</f>
        <v>X</v>
      </c>
      <c r="L195" s="22" t="str">
        <f>'2021'!L69</f>
        <v>X</v>
      </c>
      <c r="M195" s="22">
        <f>'2021'!M69</f>
        <v>3</v>
      </c>
      <c r="N195" s="22">
        <f>'2021'!N69</f>
        <v>3</v>
      </c>
      <c r="O195" s="22">
        <f>'2021'!O69</f>
        <v>3</v>
      </c>
      <c r="P195" s="22">
        <f>'2021'!P69</f>
        <v>3</v>
      </c>
      <c r="Q195" s="22">
        <f>'2021'!Q69</f>
        <v>3</v>
      </c>
      <c r="R195" s="22">
        <f>'2021'!R69</f>
        <v>3</v>
      </c>
      <c r="S195" s="22" t="str">
        <f>'2021'!S69</f>
        <v>X</v>
      </c>
      <c r="T195" s="22" t="str">
        <f>'2021'!T69</f>
        <v>X</v>
      </c>
      <c r="U195" s="22">
        <f>'2021'!U69</f>
        <v>2</v>
      </c>
      <c r="V195" s="22">
        <f>'2021'!V69</f>
        <v>2</v>
      </c>
      <c r="W195" s="22">
        <f>'2021'!W69</f>
        <v>2</v>
      </c>
      <c r="X195" s="22">
        <f>'2021'!X69</f>
        <v>2</v>
      </c>
      <c r="Y195" s="22">
        <f>'2021'!Y69</f>
        <v>2</v>
      </c>
      <c r="Z195" s="22">
        <f>'2021'!Z69</f>
        <v>2</v>
      </c>
      <c r="AA195" s="22" t="str">
        <f>'2021'!AA69</f>
        <v>X</v>
      </c>
      <c r="AB195" s="22" t="str">
        <f>'2021'!AB69</f>
        <v>X</v>
      </c>
      <c r="AC195" s="22">
        <f>'2021'!AC69</f>
        <v>1</v>
      </c>
      <c r="AD195" s="22">
        <f>'2021'!AD69</f>
        <v>1</v>
      </c>
      <c r="AE195" s="22">
        <f>'2021'!AE69</f>
        <v>1</v>
      </c>
      <c r="AF195" s="17"/>
      <c r="AH195" s="45"/>
      <c r="AI195" s="45"/>
    </row>
    <row r="196" spans="1:35" ht="20.100000000000001" customHeight="1">
      <c r="A196" s="15" t="str">
        <f>ÖSSZES!$A$3</f>
        <v>Csuka Lajos</v>
      </c>
      <c r="B196" s="27"/>
      <c r="C196" s="28" t="s">
        <v>2</v>
      </c>
      <c r="D196" s="28" t="s">
        <v>2</v>
      </c>
      <c r="E196" s="27"/>
      <c r="F196" s="27"/>
      <c r="G196" s="27"/>
      <c r="H196" s="27"/>
      <c r="I196" s="27"/>
      <c r="J196" s="27"/>
      <c r="K196" s="28" t="s">
        <v>2</v>
      </c>
      <c r="L196" s="28" t="s">
        <v>2</v>
      </c>
      <c r="M196" s="27"/>
      <c r="N196" s="27"/>
      <c r="O196" s="27"/>
      <c r="P196" s="27"/>
      <c r="Q196" s="27"/>
      <c r="R196" s="27"/>
      <c r="S196" s="28" t="s">
        <v>2</v>
      </c>
      <c r="T196" s="28" t="s">
        <v>2</v>
      </c>
      <c r="U196" s="27"/>
      <c r="V196" s="27"/>
      <c r="W196" s="27"/>
      <c r="X196" s="27"/>
      <c r="Y196" s="27"/>
      <c r="Z196" s="27"/>
      <c r="AA196" s="28" t="s">
        <v>2</v>
      </c>
      <c r="AB196" s="28" t="s">
        <v>2</v>
      </c>
      <c r="AC196" s="27"/>
      <c r="AD196" s="27"/>
      <c r="AE196" s="27"/>
      <c r="AF196" s="17"/>
      <c r="AH196" s="12">
        <f>1*COUNTIF(A196:AF196,"+")</f>
        <v>0</v>
      </c>
      <c r="AI196" s="12">
        <f t="shared" ref="AI196" si="24">1*COUNTIF(B196:AF196,"szf")</f>
        <v>0</v>
      </c>
    </row>
    <row r="197" spans="1:35" ht="20.100000000000001" customHeight="1">
      <c r="A197" s="15" t="str">
        <f>ÖSSZES!$A$4</f>
        <v>Batiz Attila</v>
      </c>
      <c r="B197" s="27"/>
      <c r="C197" s="28" t="s">
        <v>2</v>
      </c>
      <c r="D197" s="28" t="s">
        <v>2</v>
      </c>
      <c r="E197" s="27"/>
      <c r="F197" s="27"/>
      <c r="G197" s="27"/>
      <c r="H197" s="27"/>
      <c r="I197" s="27"/>
      <c r="J197" s="27"/>
      <c r="K197" s="28" t="s">
        <v>2</v>
      </c>
      <c r="L197" s="28" t="s">
        <v>2</v>
      </c>
      <c r="M197" s="27"/>
      <c r="N197" s="27"/>
      <c r="O197" s="27"/>
      <c r="P197" s="27"/>
      <c r="Q197" s="27"/>
      <c r="R197" s="27"/>
      <c r="S197" s="28" t="s">
        <v>2</v>
      </c>
      <c r="T197" s="28" t="s">
        <v>2</v>
      </c>
      <c r="U197" s="27"/>
      <c r="V197" s="27"/>
      <c r="W197" s="27"/>
      <c r="X197" s="27"/>
      <c r="Y197" s="27"/>
      <c r="Z197" s="27"/>
      <c r="AA197" s="28" t="s">
        <v>2</v>
      </c>
      <c r="AB197" s="28" t="s">
        <v>2</v>
      </c>
      <c r="AC197" s="27"/>
      <c r="AD197" s="27"/>
      <c r="AE197" s="27"/>
      <c r="AF197" s="17"/>
      <c r="AH197" s="12">
        <f t="shared" ref="AH197:AH215" si="25">1*COUNTIF(A197:AF197,"+")</f>
        <v>0</v>
      </c>
      <c r="AI197" s="12">
        <f t="shared" ref="AI197:AI215" si="26">1*COUNTIF(B197:AF197,"szf")</f>
        <v>0</v>
      </c>
    </row>
    <row r="198" spans="1:35" ht="20.100000000000001" customHeight="1">
      <c r="A198" s="15" t="str">
        <f>ÖSSZES!$A$5</f>
        <v>Füredi Antal</v>
      </c>
      <c r="B198" s="27"/>
      <c r="C198" s="28" t="s">
        <v>2</v>
      </c>
      <c r="D198" s="28" t="s">
        <v>2</v>
      </c>
      <c r="E198" s="27"/>
      <c r="F198" s="27"/>
      <c r="G198" s="27"/>
      <c r="H198" s="27"/>
      <c r="I198" s="27"/>
      <c r="J198" s="27"/>
      <c r="K198" s="28" t="s">
        <v>2</v>
      </c>
      <c r="L198" s="28" t="s">
        <v>2</v>
      </c>
      <c r="M198" s="27"/>
      <c r="N198" s="27"/>
      <c r="O198" s="27"/>
      <c r="P198" s="27"/>
      <c r="Q198" s="27"/>
      <c r="R198" s="27"/>
      <c r="S198" s="28" t="s">
        <v>2</v>
      </c>
      <c r="T198" s="28" t="s">
        <v>2</v>
      </c>
      <c r="U198" s="27"/>
      <c r="V198" s="27"/>
      <c r="W198" s="27"/>
      <c r="X198" s="27"/>
      <c r="Y198" s="27"/>
      <c r="Z198" s="27"/>
      <c r="AA198" s="28" t="s">
        <v>2</v>
      </c>
      <c r="AB198" s="28" t="s">
        <v>2</v>
      </c>
      <c r="AC198" s="27"/>
      <c r="AD198" s="27"/>
      <c r="AE198" s="27"/>
      <c r="AF198" s="17"/>
      <c r="AH198" s="12">
        <f t="shared" si="25"/>
        <v>0</v>
      </c>
      <c r="AI198" s="12">
        <f t="shared" si="26"/>
        <v>0</v>
      </c>
    </row>
    <row r="199" spans="1:35" ht="20.100000000000001" customHeight="1">
      <c r="A199" s="15" t="str">
        <f>ÖSSZES!$A$6</f>
        <v>Iványi István</v>
      </c>
      <c r="B199" s="27"/>
      <c r="C199" s="28" t="s">
        <v>2</v>
      </c>
      <c r="D199" s="28" t="s">
        <v>2</v>
      </c>
      <c r="E199" s="27"/>
      <c r="F199" s="27"/>
      <c r="G199" s="27"/>
      <c r="H199" s="27"/>
      <c r="I199" s="27"/>
      <c r="J199" s="27"/>
      <c r="K199" s="28" t="s">
        <v>2</v>
      </c>
      <c r="L199" s="28" t="s">
        <v>2</v>
      </c>
      <c r="M199" s="27"/>
      <c r="N199" s="27"/>
      <c r="O199" s="27"/>
      <c r="P199" s="27"/>
      <c r="Q199" s="27"/>
      <c r="R199" s="27"/>
      <c r="S199" s="28" t="s">
        <v>2</v>
      </c>
      <c r="T199" s="28" t="s">
        <v>2</v>
      </c>
      <c r="U199" s="27"/>
      <c r="V199" s="27"/>
      <c r="W199" s="27"/>
      <c r="X199" s="27"/>
      <c r="Y199" s="27"/>
      <c r="Z199" s="27"/>
      <c r="AA199" s="28" t="s">
        <v>2</v>
      </c>
      <c r="AB199" s="28" t="s">
        <v>2</v>
      </c>
      <c r="AC199" s="27"/>
      <c r="AD199" s="27"/>
      <c r="AE199" s="27"/>
      <c r="AF199" s="17"/>
      <c r="AH199" s="12">
        <f t="shared" si="25"/>
        <v>0</v>
      </c>
      <c r="AI199" s="12">
        <f t="shared" si="26"/>
        <v>0</v>
      </c>
    </row>
    <row r="200" spans="1:35" ht="20.100000000000001" customHeight="1">
      <c r="A200" s="15" t="str">
        <f>ÖSSZES!$A$7</f>
        <v>Katonka Tibor</v>
      </c>
      <c r="B200" s="27"/>
      <c r="C200" s="28" t="s">
        <v>2</v>
      </c>
      <c r="D200" s="28" t="s">
        <v>2</v>
      </c>
      <c r="E200" s="27"/>
      <c r="F200" s="27"/>
      <c r="G200" s="27"/>
      <c r="H200" s="27"/>
      <c r="I200" s="27"/>
      <c r="J200" s="27"/>
      <c r="K200" s="28" t="s">
        <v>2</v>
      </c>
      <c r="L200" s="28" t="s">
        <v>2</v>
      </c>
      <c r="M200" s="27"/>
      <c r="N200" s="27"/>
      <c r="O200" s="27"/>
      <c r="P200" s="27"/>
      <c r="Q200" s="27"/>
      <c r="R200" s="27"/>
      <c r="S200" s="28" t="s">
        <v>2</v>
      </c>
      <c r="T200" s="28" t="s">
        <v>2</v>
      </c>
      <c r="U200" s="27"/>
      <c r="V200" s="27"/>
      <c r="W200" s="27"/>
      <c r="X200" s="27"/>
      <c r="Y200" s="27"/>
      <c r="Z200" s="27"/>
      <c r="AA200" s="28" t="s">
        <v>2</v>
      </c>
      <c r="AB200" s="28" t="s">
        <v>2</v>
      </c>
      <c r="AC200" s="27"/>
      <c r="AD200" s="27"/>
      <c r="AE200" s="27"/>
      <c r="AF200" s="17"/>
      <c r="AH200" s="12">
        <f t="shared" si="25"/>
        <v>0</v>
      </c>
      <c r="AI200" s="12">
        <f t="shared" si="26"/>
        <v>0</v>
      </c>
    </row>
    <row r="201" spans="1:35" ht="20.100000000000001" customHeight="1">
      <c r="A201" s="15" t="str">
        <f>ÖSSZES!$A$8</f>
        <v>Mizsák Péter</v>
      </c>
      <c r="B201" s="27"/>
      <c r="C201" s="28" t="s">
        <v>2</v>
      </c>
      <c r="D201" s="28" t="s">
        <v>2</v>
      </c>
      <c r="E201" s="27"/>
      <c r="F201" s="27"/>
      <c r="G201" s="27"/>
      <c r="H201" s="27"/>
      <c r="I201" s="27"/>
      <c r="J201" s="27"/>
      <c r="K201" s="28" t="s">
        <v>2</v>
      </c>
      <c r="L201" s="28" t="s">
        <v>2</v>
      </c>
      <c r="M201" s="27"/>
      <c r="N201" s="27"/>
      <c r="O201" s="27"/>
      <c r="P201" s="27"/>
      <c r="Q201" s="27"/>
      <c r="R201" s="27"/>
      <c r="S201" s="28" t="s">
        <v>2</v>
      </c>
      <c r="T201" s="28" t="s">
        <v>2</v>
      </c>
      <c r="U201" s="27"/>
      <c r="V201" s="27"/>
      <c r="W201" s="27"/>
      <c r="X201" s="27"/>
      <c r="Y201" s="27"/>
      <c r="Z201" s="27"/>
      <c r="AA201" s="28" t="s">
        <v>2</v>
      </c>
      <c r="AB201" s="28" t="s">
        <v>2</v>
      </c>
      <c r="AC201" s="27"/>
      <c r="AD201" s="27"/>
      <c r="AE201" s="27"/>
      <c r="AF201" s="17"/>
      <c r="AH201" s="12">
        <f t="shared" si="25"/>
        <v>0</v>
      </c>
      <c r="AI201" s="12">
        <f t="shared" si="26"/>
        <v>0</v>
      </c>
    </row>
    <row r="202" spans="1:35" ht="20.100000000000001" customHeight="1">
      <c r="A202" s="15" t="str">
        <f>ÖSSZES!$A$9</f>
        <v>Vatamány Gergő</v>
      </c>
      <c r="B202" s="27"/>
      <c r="C202" s="28" t="s">
        <v>2</v>
      </c>
      <c r="D202" s="28" t="s">
        <v>2</v>
      </c>
      <c r="E202" s="27"/>
      <c r="F202" s="27"/>
      <c r="G202" s="27"/>
      <c r="H202" s="27"/>
      <c r="I202" s="27"/>
      <c r="J202" s="27"/>
      <c r="K202" s="28" t="s">
        <v>2</v>
      </c>
      <c r="L202" s="28" t="s">
        <v>2</v>
      </c>
      <c r="M202" s="27"/>
      <c r="N202" s="27"/>
      <c r="O202" s="27"/>
      <c r="P202" s="27"/>
      <c r="Q202" s="27"/>
      <c r="R202" s="27"/>
      <c r="S202" s="28" t="s">
        <v>2</v>
      </c>
      <c r="T202" s="28" t="s">
        <v>2</v>
      </c>
      <c r="U202" s="27"/>
      <c r="V202" s="27"/>
      <c r="W202" s="27"/>
      <c r="X202" s="27"/>
      <c r="Y202" s="27"/>
      <c r="Z202" s="27"/>
      <c r="AA202" s="28" t="s">
        <v>2</v>
      </c>
      <c r="AB202" s="28" t="s">
        <v>2</v>
      </c>
      <c r="AC202" s="27"/>
      <c r="AD202" s="27"/>
      <c r="AE202" s="27"/>
      <c r="AF202" s="17"/>
      <c r="AH202" s="12">
        <f t="shared" si="25"/>
        <v>0</v>
      </c>
      <c r="AI202" s="12">
        <f t="shared" si="26"/>
        <v>0</v>
      </c>
    </row>
    <row r="203" spans="1:35" ht="20.100000000000001" hidden="1" customHeight="1">
      <c r="A203" s="15" t="str">
        <f>ÖSSZES!$A$10</f>
        <v>Név8</v>
      </c>
      <c r="B203" s="27"/>
      <c r="C203" s="28" t="s">
        <v>2</v>
      </c>
      <c r="D203" s="28" t="s">
        <v>2</v>
      </c>
      <c r="E203" s="27"/>
      <c r="F203" s="27"/>
      <c r="G203" s="27"/>
      <c r="H203" s="27"/>
      <c r="I203" s="27"/>
      <c r="J203" s="27"/>
      <c r="K203" s="28" t="s">
        <v>2</v>
      </c>
      <c r="L203" s="28" t="s">
        <v>2</v>
      </c>
      <c r="M203" s="27"/>
      <c r="N203" s="27"/>
      <c r="O203" s="27"/>
      <c r="P203" s="27"/>
      <c r="Q203" s="27"/>
      <c r="R203" s="27"/>
      <c r="S203" s="28" t="s">
        <v>2</v>
      </c>
      <c r="T203" s="28" t="s">
        <v>2</v>
      </c>
      <c r="U203" s="27"/>
      <c r="V203" s="27"/>
      <c r="W203" s="27"/>
      <c r="X203" s="27"/>
      <c r="Y203" s="27"/>
      <c r="Z203" s="27"/>
      <c r="AA203" s="28" t="s">
        <v>2</v>
      </c>
      <c r="AB203" s="28" t="s">
        <v>2</v>
      </c>
      <c r="AC203" s="27"/>
      <c r="AD203" s="27"/>
      <c r="AE203" s="27"/>
      <c r="AF203" s="17"/>
      <c r="AH203" s="12">
        <f t="shared" si="25"/>
        <v>0</v>
      </c>
      <c r="AI203" s="12">
        <f t="shared" si="26"/>
        <v>0</v>
      </c>
    </row>
    <row r="204" spans="1:35" ht="20.100000000000001" hidden="1" customHeight="1">
      <c r="A204" s="15" t="str">
        <f>ÖSSZES!$A$11</f>
        <v>Név9</v>
      </c>
      <c r="B204" s="27"/>
      <c r="C204" s="28" t="s">
        <v>2</v>
      </c>
      <c r="D204" s="28" t="s">
        <v>2</v>
      </c>
      <c r="E204" s="27"/>
      <c r="F204" s="27"/>
      <c r="G204" s="27"/>
      <c r="H204" s="27"/>
      <c r="I204" s="27"/>
      <c r="J204" s="27"/>
      <c r="K204" s="28" t="s">
        <v>2</v>
      </c>
      <c r="L204" s="28" t="s">
        <v>2</v>
      </c>
      <c r="M204" s="27"/>
      <c r="N204" s="27"/>
      <c r="O204" s="27"/>
      <c r="P204" s="27"/>
      <c r="Q204" s="27"/>
      <c r="R204" s="27"/>
      <c r="S204" s="28" t="s">
        <v>2</v>
      </c>
      <c r="T204" s="28" t="s">
        <v>2</v>
      </c>
      <c r="U204" s="27"/>
      <c r="V204" s="27"/>
      <c r="W204" s="27"/>
      <c r="X204" s="27"/>
      <c r="Y204" s="27"/>
      <c r="Z204" s="27"/>
      <c r="AA204" s="28" t="s">
        <v>2</v>
      </c>
      <c r="AB204" s="28" t="s">
        <v>2</v>
      </c>
      <c r="AC204" s="27"/>
      <c r="AD204" s="27"/>
      <c r="AE204" s="27"/>
      <c r="AF204" s="17"/>
      <c r="AH204" s="12">
        <f t="shared" si="25"/>
        <v>0</v>
      </c>
      <c r="AI204" s="12">
        <f t="shared" si="26"/>
        <v>0</v>
      </c>
    </row>
    <row r="205" spans="1:35" ht="20.100000000000001" hidden="1" customHeight="1">
      <c r="A205" s="15" t="str">
        <f>ÖSSZES!$A$12</f>
        <v>Név10</v>
      </c>
      <c r="B205" s="27"/>
      <c r="C205" s="28" t="s">
        <v>2</v>
      </c>
      <c r="D205" s="28" t="s">
        <v>2</v>
      </c>
      <c r="E205" s="27"/>
      <c r="F205" s="27"/>
      <c r="G205" s="27"/>
      <c r="H205" s="27"/>
      <c r="I205" s="27"/>
      <c r="J205" s="27"/>
      <c r="K205" s="28" t="s">
        <v>2</v>
      </c>
      <c r="L205" s="28" t="s">
        <v>2</v>
      </c>
      <c r="M205" s="27"/>
      <c r="N205" s="27"/>
      <c r="O205" s="27"/>
      <c r="P205" s="27"/>
      <c r="Q205" s="27"/>
      <c r="R205" s="27"/>
      <c r="S205" s="28" t="s">
        <v>2</v>
      </c>
      <c r="T205" s="28" t="s">
        <v>2</v>
      </c>
      <c r="U205" s="27"/>
      <c r="V205" s="27"/>
      <c r="W205" s="27"/>
      <c r="X205" s="27"/>
      <c r="Y205" s="27"/>
      <c r="Z205" s="27"/>
      <c r="AA205" s="28" t="s">
        <v>2</v>
      </c>
      <c r="AB205" s="28" t="s">
        <v>2</v>
      </c>
      <c r="AC205" s="27"/>
      <c r="AD205" s="27"/>
      <c r="AE205" s="27"/>
      <c r="AF205" s="17"/>
      <c r="AH205" s="12">
        <f t="shared" si="25"/>
        <v>0</v>
      </c>
      <c r="AI205" s="12">
        <f t="shared" si="26"/>
        <v>0</v>
      </c>
    </row>
    <row r="206" spans="1:35" ht="20.100000000000001" hidden="1" customHeight="1">
      <c r="A206" s="15" t="str">
        <f>ÖSSZES!$A$13</f>
        <v>Név11</v>
      </c>
      <c r="B206" s="27"/>
      <c r="C206" s="28" t="s">
        <v>2</v>
      </c>
      <c r="D206" s="28" t="s">
        <v>2</v>
      </c>
      <c r="E206" s="27"/>
      <c r="F206" s="27"/>
      <c r="G206" s="27"/>
      <c r="H206" s="27"/>
      <c r="I206" s="27"/>
      <c r="J206" s="27"/>
      <c r="K206" s="28" t="s">
        <v>2</v>
      </c>
      <c r="L206" s="28" t="s">
        <v>2</v>
      </c>
      <c r="M206" s="27"/>
      <c r="N206" s="27"/>
      <c r="O206" s="27"/>
      <c r="P206" s="27"/>
      <c r="Q206" s="27"/>
      <c r="R206" s="27"/>
      <c r="S206" s="28" t="s">
        <v>2</v>
      </c>
      <c r="T206" s="28" t="s">
        <v>2</v>
      </c>
      <c r="U206" s="27"/>
      <c r="V206" s="27"/>
      <c r="W206" s="27"/>
      <c r="X206" s="27"/>
      <c r="Y206" s="27"/>
      <c r="Z206" s="27"/>
      <c r="AA206" s="28" t="s">
        <v>2</v>
      </c>
      <c r="AB206" s="28" t="s">
        <v>2</v>
      </c>
      <c r="AC206" s="27"/>
      <c r="AD206" s="27"/>
      <c r="AE206" s="27"/>
      <c r="AF206" s="17"/>
      <c r="AH206" s="12">
        <f t="shared" si="25"/>
        <v>0</v>
      </c>
      <c r="AI206" s="12">
        <f t="shared" si="26"/>
        <v>0</v>
      </c>
    </row>
    <row r="207" spans="1:35" ht="20.100000000000001" hidden="1" customHeight="1">
      <c r="A207" s="15" t="str">
        <f>ÖSSZES!$A$14</f>
        <v>Név12</v>
      </c>
      <c r="B207" s="27"/>
      <c r="C207" s="28" t="s">
        <v>2</v>
      </c>
      <c r="D207" s="28" t="s">
        <v>2</v>
      </c>
      <c r="E207" s="27"/>
      <c r="F207" s="27"/>
      <c r="G207" s="27"/>
      <c r="H207" s="27"/>
      <c r="I207" s="27"/>
      <c r="J207" s="27"/>
      <c r="K207" s="28" t="s">
        <v>2</v>
      </c>
      <c r="L207" s="28" t="s">
        <v>2</v>
      </c>
      <c r="M207" s="27"/>
      <c r="N207" s="27"/>
      <c r="O207" s="27"/>
      <c r="P207" s="27"/>
      <c r="Q207" s="27"/>
      <c r="R207" s="27"/>
      <c r="S207" s="28" t="s">
        <v>2</v>
      </c>
      <c r="T207" s="28" t="s">
        <v>2</v>
      </c>
      <c r="U207" s="27"/>
      <c r="V207" s="27"/>
      <c r="W207" s="27"/>
      <c r="X207" s="27"/>
      <c r="Y207" s="27"/>
      <c r="Z207" s="27"/>
      <c r="AA207" s="28" t="s">
        <v>2</v>
      </c>
      <c r="AB207" s="28" t="s">
        <v>2</v>
      </c>
      <c r="AC207" s="27"/>
      <c r="AD207" s="27"/>
      <c r="AE207" s="27"/>
      <c r="AF207" s="17"/>
      <c r="AH207" s="12">
        <f t="shared" si="25"/>
        <v>0</v>
      </c>
      <c r="AI207" s="12">
        <f t="shared" si="26"/>
        <v>0</v>
      </c>
    </row>
    <row r="208" spans="1:35" ht="20.100000000000001" hidden="1" customHeight="1">
      <c r="A208" s="15" t="str">
        <f>ÖSSZES!$A$15</f>
        <v>Név13</v>
      </c>
      <c r="B208" s="27"/>
      <c r="C208" s="28" t="s">
        <v>2</v>
      </c>
      <c r="D208" s="28" t="s">
        <v>2</v>
      </c>
      <c r="E208" s="27"/>
      <c r="F208" s="27"/>
      <c r="G208" s="27"/>
      <c r="H208" s="27"/>
      <c r="I208" s="27"/>
      <c r="J208" s="27"/>
      <c r="K208" s="28" t="s">
        <v>2</v>
      </c>
      <c r="L208" s="28" t="s">
        <v>2</v>
      </c>
      <c r="M208" s="27"/>
      <c r="N208" s="27"/>
      <c r="O208" s="27"/>
      <c r="P208" s="27"/>
      <c r="Q208" s="27"/>
      <c r="R208" s="27"/>
      <c r="S208" s="28" t="s">
        <v>2</v>
      </c>
      <c r="T208" s="28" t="s">
        <v>2</v>
      </c>
      <c r="U208" s="27"/>
      <c r="V208" s="27"/>
      <c r="W208" s="27"/>
      <c r="X208" s="27"/>
      <c r="Y208" s="27"/>
      <c r="Z208" s="27"/>
      <c r="AA208" s="28" t="s">
        <v>2</v>
      </c>
      <c r="AB208" s="28" t="s">
        <v>2</v>
      </c>
      <c r="AC208" s="27"/>
      <c r="AD208" s="27"/>
      <c r="AE208" s="27"/>
      <c r="AF208" s="17"/>
      <c r="AH208" s="12">
        <f t="shared" si="25"/>
        <v>0</v>
      </c>
      <c r="AI208" s="12">
        <f t="shared" si="26"/>
        <v>0</v>
      </c>
    </row>
    <row r="209" spans="1:35" ht="20.100000000000001" hidden="1" customHeight="1">
      <c r="A209" s="15" t="str">
        <f>ÖSSZES!$A$16</f>
        <v>Név14</v>
      </c>
      <c r="B209" s="27"/>
      <c r="C209" s="28" t="s">
        <v>2</v>
      </c>
      <c r="D209" s="28" t="s">
        <v>2</v>
      </c>
      <c r="E209" s="27"/>
      <c r="F209" s="27"/>
      <c r="G209" s="27"/>
      <c r="H209" s="27"/>
      <c r="I209" s="27"/>
      <c r="J209" s="27"/>
      <c r="K209" s="28" t="s">
        <v>2</v>
      </c>
      <c r="L209" s="28" t="s">
        <v>2</v>
      </c>
      <c r="M209" s="27"/>
      <c r="N209" s="27"/>
      <c r="O209" s="27"/>
      <c r="P209" s="27"/>
      <c r="Q209" s="27"/>
      <c r="R209" s="27"/>
      <c r="S209" s="28" t="s">
        <v>2</v>
      </c>
      <c r="T209" s="28" t="s">
        <v>2</v>
      </c>
      <c r="U209" s="27"/>
      <c r="V209" s="27"/>
      <c r="W209" s="27"/>
      <c r="X209" s="27"/>
      <c r="Y209" s="27"/>
      <c r="Z209" s="27"/>
      <c r="AA209" s="28" t="s">
        <v>2</v>
      </c>
      <c r="AB209" s="28" t="s">
        <v>2</v>
      </c>
      <c r="AC209" s="27"/>
      <c r="AD209" s="27"/>
      <c r="AE209" s="27"/>
      <c r="AF209" s="17"/>
      <c r="AH209" s="12">
        <f t="shared" si="25"/>
        <v>0</v>
      </c>
      <c r="AI209" s="12">
        <f t="shared" si="26"/>
        <v>0</v>
      </c>
    </row>
    <row r="210" spans="1:35" ht="20.100000000000001" hidden="1" customHeight="1">
      <c r="A210" s="15" t="str">
        <f>ÖSSZES!$A$17</f>
        <v>Név15</v>
      </c>
      <c r="B210" s="27"/>
      <c r="C210" s="28" t="s">
        <v>2</v>
      </c>
      <c r="D210" s="28" t="s">
        <v>2</v>
      </c>
      <c r="E210" s="27"/>
      <c r="F210" s="27"/>
      <c r="G210" s="27"/>
      <c r="H210" s="27"/>
      <c r="I210" s="27"/>
      <c r="J210" s="27"/>
      <c r="K210" s="28" t="s">
        <v>2</v>
      </c>
      <c r="L210" s="28" t="s">
        <v>2</v>
      </c>
      <c r="M210" s="27"/>
      <c r="N210" s="27"/>
      <c r="O210" s="27"/>
      <c r="P210" s="27"/>
      <c r="Q210" s="27"/>
      <c r="R210" s="27"/>
      <c r="S210" s="28" t="s">
        <v>2</v>
      </c>
      <c r="T210" s="28" t="s">
        <v>2</v>
      </c>
      <c r="U210" s="27"/>
      <c r="V210" s="27"/>
      <c r="W210" s="27"/>
      <c r="X210" s="27"/>
      <c r="Y210" s="27"/>
      <c r="Z210" s="27"/>
      <c r="AA210" s="28" t="s">
        <v>2</v>
      </c>
      <c r="AB210" s="28" t="s">
        <v>2</v>
      </c>
      <c r="AC210" s="27"/>
      <c r="AD210" s="27"/>
      <c r="AE210" s="27"/>
      <c r="AF210" s="17"/>
      <c r="AH210" s="12">
        <f t="shared" si="25"/>
        <v>0</v>
      </c>
      <c r="AI210" s="12">
        <f t="shared" si="26"/>
        <v>0</v>
      </c>
    </row>
    <row r="211" spans="1:35" ht="20.100000000000001" hidden="1" customHeight="1">
      <c r="A211" s="15" t="str">
        <f>ÖSSZES!$A$18</f>
        <v>Név16</v>
      </c>
      <c r="B211" s="27"/>
      <c r="C211" s="28" t="s">
        <v>2</v>
      </c>
      <c r="D211" s="28" t="s">
        <v>2</v>
      </c>
      <c r="E211" s="27"/>
      <c r="F211" s="27"/>
      <c r="G211" s="27"/>
      <c r="H211" s="27"/>
      <c r="I211" s="27"/>
      <c r="J211" s="27"/>
      <c r="K211" s="28" t="s">
        <v>2</v>
      </c>
      <c r="L211" s="28" t="s">
        <v>2</v>
      </c>
      <c r="M211" s="27"/>
      <c r="N211" s="27"/>
      <c r="O211" s="27"/>
      <c r="P211" s="27"/>
      <c r="Q211" s="27"/>
      <c r="R211" s="27"/>
      <c r="S211" s="28" t="s">
        <v>2</v>
      </c>
      <c r="T211" s="28" t="s">
        <v>2</v>
      </c>
      <c r="U211" s="27"/>
      <c r="V211" s="27"/>
      <c r="W211" s="27"/>
      <c r="X211" s="27"/>
      <c r="Y211" s="27"/>
      <c r="Z211" s="27"/>
      <c r="AA211" s="28" t="s">
        <v>2</v>
      </c>
      <c r="AB211" s="28" t="s">
        <v>2</v>
      </c>
      <c r="AC211" s="27"/>
      <c r="AD211" s="27"/>
      <c r="AE211" s="27"/>
      <c r="AF211" s="17"/>
      <c r="AH211" s="12">
        <f t="shared" si="25"/>
        <v>0</v>
      </c>
      <c r="AI211" s="12">
        <f t="shared" si="26"/>
        <v>0</v>
      </c>
    </row>
    <row r="212" spans="1:35" ht="20.100000000000001" hidden="1" customHeight="1">
      <c r="A212" s="15" t="str">
        <f>ÖSSZES!$A$19</f>
        <v>Név17</v>
      </c>
      <c r="B212" s="27"/>
      <c r="C212" s="28" t="s">
        <v>2</v>
      </c>
      <c r="D212" s="28" t="s">
        <v>2</v>
      </c>
      <c r="E212" s="27"/>
      <c r="F212" s="27"/>
      <c r="G212" s="27"/>
      <c r="H212" s="27"/>
      <c r="I212" s="27"/>
      <c r="J212" s="27"/>
      <c r="K212" s="28" t="s">
        <v>2</v>
      </c>
      <c r="L212" s="28" t="s">
        <v>2</v>
      </c>
      <c r="M212" s="27"/>
      <c r="N212" s="27"/>
      <c r="O212" s="27"/>
      <c r="P212" s="27"/>
      <c r="Q212" s="27"/>
      <c r="R212" s="27"/>
      <c r="S212" s="28" t="s">
        <v>2</v>
      </c>
      <c r="T212" s="28" t="s">
        <v>2</v>
      </c>
      <c r="U212" s="27"/>
      <c r="V212" s="27"/>
      <c r="W212" s="27"/>
      <c r="X212" s="27"/>
      <c r="Y212" s="27"/>
      <c r="Z212" s="27"/>
      <c r="AA212" s="28" t="s">
        <v>2</v>
      </c>
      <c r="AB212" s="28" t="s">
        <v>2</v>
      </c>
      <c r="AC212" s="27"/>
      <c r="AD212" s="27"/>
      <c r="AE212" s="27"/>
      <c r="AF212" s="17"/>
      <c r="AH212" s="12">
        <f t="shared" si="25"/>
        <v>0</v>
      </c>
      <c r="AI212" s="12">
        <f t="shared" si="26"/>
        <v>0</v>
      </c>
    </row>
    <row r="213" spans="1:35" ht="20.100000000000001" hidden="1" customHeight="1">
      <c r="A213" s="15" t="str">
        <f>ÖSSZES!$A$20</f>
        <v>Név18</v>
      </c>
      <c r="B213" s="27"/>
      <c r="C213" s="28" t="s">
        <v>2</v>
      </c>
      <c r="D213" s="28" t="s">
        <v>2</v>
      </c>
      <c r="E213" s="27"/>
      <c r="F213" s="27"/>
      <c r="G213" s="27"/>
      <c r="H213" s="27"/>
      <c r="I213" s="27"/>
      <c r="J213" s="27"/>
      <c r="K213" s="28" t="s">
        <v>2</v>
      </c>
      <c r="L213" s="28" t="s">
        <v>2</v>
      </c>
      <c r="M213" s="27"/>
      <c r="N213" s="27"/>
      <c r="O213" s="27"/>
      <c r="P213" s="27"/>
      <c r="Q213" s="27"/>
      <c r="R213" s="27"/>
      <c r="S213" s="28" t="s">
        <v>2</v>
      </c>
      <c r="T213" s="28" t="s">
        <v>2</v>
      </c>
      <c r="U213" s="27"/>
      <c r="V213" s="27"/>
      <c r="W213" s="27"/>
      <c r="X213" s="27"/>
      <c r="Y213" s="27"/>
      <c r="Z213" s="27"/>
      <c r="AA213" s="28" t="s">
        <v>2</v>
      </c>
      <c r="AB213" s="28" t="s">
        <v>2</v>
      </c>
      <c r="AC213" s="27"/>
      <c r="AD213" s="27"/>
      <c r="AE213" s="27"/>
      <c r="AF213" s="17"/>
      <c r="AH213" s="12">
        <f t="shared" si="25"/>
        <v>0</v>
      </c>
      <c r="AI213" s="12">
        <f t="shared" si="26"/>
        <v>0</v>
      </c>
    </row>
    <row r="214" spans="1:35" ht="20.100000000000001" hidden="1" customHeight="1">
      <c r="A214" s="15" t="str">
        <f>ÖSSZES!$A$21</f>
        <v>Név19</v>
      </c>
      <c r="B214" s="27"/>
      <c r="C214" s="28" t="s">
        <v>2</v>
      </c>
      <c r="D214" s="28" t="s">
        <v>2</v>
      </c>
      <c r="E214" s="27"/>
      <c r="F214" s="27"/>
      <c r="G214" s="27"/>
      <c r="H214" s="27"/>
      <c r="I214" s="27"/>
      <c r="J214" s="27"/>
      <c r="K214" s="28" t="s">
        <v>2</v>
      </c>
      <c r="L214" s="28" t="s">
        <v>2</v>
      </c>
      <c r="M214" s="27"/>
      <c r="N214" s="27"/>
      <c r="O214" s="27"/>
      <c r="P214" s="27"/>
      <c r="Q214" s="27"/>
      <c r="R214" s="27"/>
      <c r="S214" s="28" t="s">
        <v>2</v>
      </c>
      <c r="T214" s="28" t="s">
        <v>2</v>
      </c>
      <c r="U214" s="27"/>
      <c r="V214" s="27"/>
      <c r="W214" s="27"/>
      <c r="X214" s="27"/>
      <c r="Y214" s="27"/>
      <c r="Z214" s="27"/>
      <c r="AA214" s="28" t="s">
        <v>2</v>
      </c>
      <c r="AB214" s="28" t="s">
        <v>2</v>
      </c>
      <c r="AC214" s="27"/>
      <c r="AD214" s="27"/>
      <c r="AE214" s="27"/>
      <c r="AF214" s="17"/>
      <c r="AH214" s="12">
        <f t="shared" si="25"/>
        <v>0</v>
      </c>
      <c r="AI214" s="12">
        <f t="shared" si="26"/>
        <v>0</v>
      </c>
    </row>
    <row r="215" spans="1:35" ht="20.100000000000001" hidden="1" customHeight="1">
      <c r="A215" s="15" t="str">
        <f>ÖSSZES!$A$17</f>
        <v>Név15</v>
      </c>
      <c r="B215" s="27"/>
      <c r="C215" s="28" t="s">
        <v>2</v>
      </c>
      <c r="D215" s="28" t="s">
        <v>2</v>
      </c>
      <c r="E215" s="27"/>
      <c r="F215" s="27"/>
      <c r="G215" s="27"/>
      <c r="H215" s="27"/>
      <c r="I215" s="27"/>
      <c r="J215" s="27"/>
      <c r="K215" s="28" t="s">
        <v>2</v>
      </c>
      <c r="L215" s="28" t="s">
        <v>2</v>
      </c>
      <c r="M215" s="27"/>
      <c r="N215" s="27"/>
      <c r="O215" s="27"/>
      <c r="P215" s="27"/>
      <c r="Q215" s="27"/>
      <c r="R215" s="27"/>
      <c r="S215" s="28" t="s">
        <v>2</v>
      </c>
      <c r="T215" s="28" t="s">
        <v>2</v>
      </c>
      <c r="U215" s="27"/>
      <c r="V215" s="27"/>
      <c r="W215" s="27"/>
      <c r="X215" s="27"/>
      <c r="Y215" s="27"/>
      <c r="Z215" s="27"/>
      <c r="AA215" s="28" t="s">
        <v>2</v>
      </c>
      <c r="AB215" s="28" t="s">
        <v>2</v>
      </c>
      <c r="AC215" s="27"/>
      <c r="AD215" s="27"/>
      <c r="AE215" s="27"/>
      <c r="AF215" s="17"/>
      <c r="AH215" s="12">
        <f t="shared" si="25"/>
        <v>0</v>
      </c>
      <c r="AI215" s="12">
        <f t="shared" si="26"/>
        <v>0</v>
      </c>
    </row>
    <row r="216" spans="1:35" ht="20.100000000000001" customHeight="1">
      <c r="A216" s="18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18"/>
    </row>
    <row r="217" spans="1:35" s="21" customFormat="1" ht="20.100000000000001" customHeight="1">
      <c r="A217" s="43" t="s">
        <v>14</v>
      </c>
      <c r="B217" s="20">
        <v>1</v>
      </c>
      <c r="C217" s="20">
        <v>2</v>
      </c>
      <c r="D217" s="20">
        <v>3</v>
      </c>
      <c r="E217" s="20">
        <v>4</v>
      </c>
      <c r="F217" s="20">
        <v>5</v>
      </c>
      <c r="G217" s="20">
        <v>6</v>
      </c>
      <c r="H217" s="20">
        <v>7</v>
      </c>
      <c r="I217" s="20">
        <v>8</v>
      </c>
      <c r="J217" s="20">
        <v>9</v>
      </c>
      <c r="K217" s="20">
        <v>10</v>
      </c>
      <c r="L217" s="20">
        <v>11</v>
      </c>
      <c r="M217" s="20">
        <v>12</v>
      </c>
      <c r="N217" s="20">
        <v>13</v>
      </c>
      <c r="O217" s="20">
        <v>14</v>
      </c>
      <c r="P217" s="20">
        <v>15</v>
      </c>
      <c r="Q217" s="20">
        <v>16</v>
      </c>
      <c r="R217" s="20">
        <v>17</v>
      </c>
      <c r="S217" s="20">
        <v>18</v>
      </c>
      <c r="T217" s="20">
        <v>19</v>
      </c>
      <c r="U217" s="20">
        <v>20</v>
      </c>
      <c r="V217" s="20">
        <v>21</v>
      </c>
      <c r="W217" s="20">
        <v>22</v>
      </c>
      <c r="X217" s="19">
        <v>23</v>
      </c>
      <c r="Y217" s="20">
        <v>24</v>
      </c>
      <c r="Z217" s="20">
        <v>25</v>
      </c>
      <c r="AA217" s="20">
        <v>26</v>
      </c>
      <c r="AB217" s="20">
        <v>27</v>
      </c>
      <c r="AC217" s="20">
        <v>28</v>
      </c>
      <c r="AD217" s="20">
        <v>29</v>
      </c>
      <c r="AE217" s="20">
        <v>30</v>
      </c>
      <c r="AF217" s="20">
        <v>31</v>
      </c>
      <c r="AH217" s="43" t="s">
        <v>18</v>
      </c>
      <c r="AI217" s="43" t="s">
        <v>19</v>
      </c>
    </row>
    <row r="218" spans="1:35" ht="20.100000000000001" customHeight="1">
      <c r="A218" s="44"/>
      <c r="B218" s="22" t="str">
        <f>'2021'!B76</f>
        <v>P</v>
      </c>
      <c r="C218" s="22" t="str">
        <f>'2021'!C76</f>
        <v>Szo</v>
      </c>
      <c r="D218" s="22" t="str">
        <f>'2021'!D76</f>
        <v>V</v>
      </c>
      <c r="E218" s="22" t="str">
        <f>'2021'!E76</f>
        <v>H</v>
      </c>
      <c r="F218" s="22" t="str">
        <f>'2021'!F76</f>
        <v>K</v>
      </c>
      <c r="G218" s="22" t="str">
        <f>'2021'!G76</f>
        <v>Sze</v>
      </c>
      <c r="H218" s="22" t="str">
        <f>'2021'!H76</f>
        <v>Cs</v>
      </c>
      <c r="I218" s="22" t="str">
        <f>'2021'!I76</f>
        <v>P</v>
      </c>
      <c r="J218" s="22" t="str">
        <f>'2021'!J76</f>
        <v>Szo</v>
      </c>
      <c r="K218" s="22" t="str">
        <f>'2021'!K76</f>
        <v>V</v>
      </c>
      <c r="L218" s="22" t="str">
        <f>'2021'!L76</f>
        <v>H</v>
      </c>
      <c r="M218" s="22" t="str">
        <f>'2021'!M76</f>
        <v>K</v>
      </c>
      <c r="N218" s="22" t="str">
        <f>'2021'!N76</f>
        <v>Sze</v>
      </c>
      <c r="O218" s="22" t="str">
        <f>'2021'!O76</f>
        <v>Cs</v>
      </c>
      <c r="P218" s="22" t="str">
        <f>'2021'!P76</f>
        <v>P</v>
      </c>
      <c r="Q218" s="22" t="str">
        <f>'2021'!Q76</f>
        <v>Szo</v>
      </c>
      <c r="R218" s="22" t="str">
        <f>'2021'!R76</f>
        <v>V</v>
      </c>
      <c r="S218" s="22" t="str">
        <f>'2021'!S76</f>
        <v>H</v>
      </c>
      <c r="T218" s="22" t="str">
        <f>'2021'!T76</f>
        <v>K</v>
      </c>
      <c r="U218" s="22" t="str">
        <f>'2021'!U76</f>
        <v>Sze</v>
      </c>
      <c r="V218" s="22" t="str">
        <f>'2021'!V76</f>
        <v>Cs</v>
      </c>
      <c r="W218" s="22" t="str">
        <f>'2021'!W76</f>
        <v>P</v>
      </c>
      <c r="X218" s="22" t="str">
        <f>'2021'!X76</f>
        <v>Szo</v>
      </c>
      <c r="Y218" s="22" t="str">
        <f>'2021'!Y76</f>
        <v>V</v>
      </c>
      <c r="Z218" s="22" t="str">
        <f>'2021'!Z76</f>
        <v>H</v>
      </c>
      <c r="AA218" s="22" t="str">
        <f>'2021'!AA76</f>
        <v>K</v>
      </c>
      <c r="AB218" s="22" t="str">
        <f>'2021'!AB76</f>
        <v>Sze</v>
      </c>
      <c r="AC218" s="22" t="str">
        <f>'2021'!AC76</f>
        <v>Cs</v>
      </c>
      <c r="AD218" s="22" t="str">
        <f>'2021'!AD76</f>
        <v>P</v>
      </c>
      <c r="AE218" s="22" t="str">
        <f>'2021'!AE76</f>
        <v>Szo</v>
      </c>
      <c r="AF218" s="22" t="str">
        <f>'2021'!AF76</f>
        <v>V</v>
      </c>
      <c r="AH218" s="45"/>
      <c r="AI218" s="45"/>
    </row>
    <row r="219" spans="1:35" ht="20.100000000000001" customHeight="1">
      <c r="A219" s="45"/>
      <c r="B219" s="22">
        <f>'2021'!B77</f>
        <v>1</v>
      </c>
      <c r="C219" s="22">
        <f>'2021'!C77</f>
        <v>1</v>
      </c>
      <c r="D219" s="22">
        <f>'2021'!D77</f>
        <v>1</v>
      </c>
      <c r="E219" s="22" t="str">
        <f>'2021'!E77</f>
        <v>X</v>
      </c>
      <c r="F219" s="22" t="str">
        <f>'2021'!F77</f>
        <v>X</v>
      </c>
      <c r="G219" s="22">
        <f>'2021'!G77</f>
        <v>3</v>
      </c>
      <c r="H219" s="22">
        <f>'2021'!H77</f>
        <v>3</v>
      </c>
      <c r="I219" s="22">
        <f>'2021'!I77</f>
        <v>3</v>
      </c>
      <c r="J219" s="22">
        <f>'2021'!J77</f>
        <v>3</v>
      </c>
      <c r="K219" s="22">
        <f>'2021'!K77</f>
        <v>3</v>
      </c>
      <c r="L219" s="22">
        <f>'2021'!L77</f>
        <v>3</v>
      </c>
      <c r="M219" s="22" t="str">
        <f>'2021'!M77</f>
        <v>X</v>
      </c>
      <c r="N219" s="22" t="str">
        <f>'2021'!N77</f>
        <v>X</v>
      </c>
      <c r="O219" s="22">
        <f>'2021'!O77</f>
        <v>2</v>
      </c>
      <c r="P219" s="22">
        <f>'2021'!P77</f>
        <v>2</v>
      </c>
      <c r="Q219" s="22">
        <f>'2021'!Q77</f>
        <v>2</v>
      </c>
      <c r="R219" s="22">
        <f>'2021'!R77</f>
        <v>2</v>
      </c>
      <c r="S219" s="22">
        <f>'2021'!S77</f>
        <v>2</v>
      </c>
      <c r="T219" s="22">
        <f>'2021'!T77</f>
        <v>2</v>
      </c>
      <c r="U219" s="22" t="str">
        <f>'2021'!U77</f>
        <v>X</v>
      </c>
      <c r="V219" s="22" t="str">
        <f>'2021'!V77</f>
        <v>X</v>
      </c>
      <c r="W219" s="22">
        <f>'2021'!W77</f>
        <v>1</v>
      </c>
      <c r="X219" s="22">
        <f>'2021'!X77</f>
        <v>1</v>
      </c>
      <c r="Y219" s="22">
        <f>'2021'!Y77</f>
        <v>1</v>
      </c>
      <c r="Z219" s="22">
        <f>'2021'!Z77</f>
        <v>1</v>
      </c>
      <c r="AA219" s="22">
        <f>'2021'!AA77</f>
        <v>1</v>
      </c>
      <c r="AB219" s="22">
        <f>'2021'!AB77</f>
        <v>1</v>
      </c>
      <c r="AC219" s="22" t="str">
        <f>'2021'!AC77</f>
        <v>X</v>
      </c>
      <c r="AD219" s="22" t="str">
        <f>'2021'!AD77</f>
        <v>X</v>
      </c>
      <c r="AE219" s="22">
        <f>'2021'!AE77</f>
        <v>3</v>
      </c>
      <c r="AF219" s="22">
        <f>'2021'!AF77</f>
        <v>3</v>
      </c>
      <c r="AH219" s="45"/>
      <c r="AI219" s="45"/>
    </row>
    <row r="220" spans="1:35" ht="20.100000000000001" customHeight="1">
      <c r="A220" s="15" t="str">
        <f>ÖSSZES!$A$3</f>
        <v>Csuka Lajos</v>
      </c>
      <c r="B220" s="28"/>
      <c r="C220" s="28"/>
      <c r="D220" s="28"/>
      <c r="E220" s="28" t="s">
        <v>2</v>
      </c>
      <c r="F220" s="28" t="s">
        <v>2</v>
      </c>
      <c r="G220" s="28"/>
      <c r="H220" s="28"/>
      <c r="I220" s="28"/>
      <c r="J220" s="28"/>
      <c r="K220" s="28"/>
      <c r="L220" s="28"/>
      <c r="M220" s="28" t="s">
        <v>2</v>
      </c>
      <c r="N220" s="28" t="s">
        <v>2</v>
      </c>
      <c r="O220" s="28"/>
      <c r="P220" s="28"/>
      <c r="Q220" s="28"/>
      <c r="R220" s="28"/>
      <c r="S220" s="28"/>
      <c r="T220" s="28"/>
      <c r="U220" s="28" t="s">
        <v>2</v>
      </c>
      <c r="V220" s="28" t="s">
        <v>2</v>
      </c>
      <c r="W220" s="28"/>
      <c r="X220" s="28"/>
      <c r="Y220" s="28"/>
      <c r="Z220" s="28"/>
      <c r="AA220" s="28"/>
      <c r="AB220" s="28"/>
      <c r="AC220" s="28" t="s">
        <v>2</v>
      </c>
      <c r="AD220" s="28" t="s">
        <v>2</v>
      </c>
      <c r="AE220" s="28"/>
      <c r="AF220" s="28"/>
      <c r="AH220" s="12">
        <f>1*COUNTIF(A220:AF220,"+")</f>
        <v>0</v>
      </c>
      <c r="AI220" s="12">
        <f t="shared" ref="AI220" si="27">1*COUNTIF(B220:AF220,"szf")</f>
        <v>0</v>
      </c>
    </row>
    <row r="221" spans="1:35" ht="20.100000000000001" customHeight="1">
      <c r="A221" s="15" t="str">
        <f>ÖSSZES!$A$4</f>
        <v>Batiz Attila</v>
      </c>
      <c r="B221" s="28"/>
      <c r="C221" s="28"/>
      <c r="D221" s="28"/>
      <c r="E221" s="28" t="s">
        <v>2</v>
      </c>
      <c r="F221" s="28" t="s">
        <v>2</v>
      </c>
      <c r="G221" s="28"/>
      <c r="H221" s="28"/>
      <c r="I221" s="28"/>
      <c r="J221" s="28"/>
      <c r="K221" s="28"/>
      <c r="L221" s="28"/>
      <c r="M221" s="28" t="s">
        <v>2</v>
      </c>
      <c r="N221" s="28" t="s">
        <v>2</v>
      </c>
      <c r="O221" s="28"/>
      <c r="P221" s="28"/>
      <c r="Q221" s="28"/>
      <c r="R221" s="28"/>
      <c r="S221" s="28"/>
      <c r="T221" s="28"/>
      <c r="U221" s="28" t="s">
        <v>2</v>
      </c>
      <c r="V221" s="28" t="s">
        <v>2</v>
      </c>
      <c r="W221" s="28"/>
      <c r="X221" s="28"/>
      <c r="Y221" s="28"/>
      <c r="Z221" s="28"/>
      <c r="AA221" s="28"/>
      <c r="AB221" s="28"/>
      <c r="AC221" s="28" t="s">
        <v>2</v>
      </c>
      <c r="AD221" s="28" t="s">
        <v>2</v>
      </c>
      <c r="AE221" s="28"/>
      <c r="AF221" s="28"/>
      <c r="AH221" s="12">
        <f t="shared" ref="AH221:AH239" si="28">1*COUNTIF(A221:AF221,"+")</f>
        <v>0</v>
      </c>
      <c r="AI221" s="12">
        <f t="shared" ref="AI221:AI239" si="29">1*COUNTIF(B221:AF221,"szf")</f>
        <v>0</v>
      </c>
    </row>
    <row r="222" spans="1:35" ht="20.100000000000001" customHeight="1">
      <c r="A222" s="15" t="str">
        <f>ÖSSZES!$A$5</f>
        <v>Füredi Antal</v>
      </c>
      <c r="B222" s="28"/>
      <c r="C222" s="28"/>
      <c r="D222" s="28"/>
      <c r="E222" s="28" t="s">
        <v>2</v>
      </c>
      <c r="F222" s="28" t="s">
        <v>2</v>
      </c>
      <c r="G222" s="28"/>
      <c r="H222" s="28"/>
      <c r="I222" s="28"/>
      <c r="J222" s="28"/>
      <c r="K222" s="28"/>
      <c r="L222" s="28"/>
      <c r="M222" s="28" t="s">
        <v>2</v>
      </c>
      <c r="N222" s="28" t="s">
        <v>2</v>
      </c>
      <c r="O222" s="28"/>
      <c r="P222" s="28"/>
      <c r="Q222" s="28"/>
      <c r="R222" s="28"/>
      <c r="S222" s="28"/>
      <c r="T222" s="28"/>
      <c r="U222" s="28" t="s">
        <v>2</v>
      </c>
      <c r="V222" s="28" t="s">
        <v>2</v>
      </c>
      <c r="W222" s="28"/>
      <c r="X222" s="28"/>
      <c r="Y222" s="28"/>
      <c r="Z222" s="28"/>
      <c r="AA222" s="28"/>
      <c r="AB222" s="28"/>
      <c r="AC222" s="28" t="s">
        <v>2</v>
      </c>
      <c r="AD222" s="28" t="s">
        <v>2</v>
      </c>
      <c r="AE222" s="28"/>
      <c r="AF222" s="28"/>
      <c r="AH222" s="12">
        <f t="shared" si="28"/>
        <v>0</v>
      </c>
      <c r="AI222" s="12">
        <f t="shared" si="29"/>
        <v>0</v>
      </c>
    </row>
    <row r="223" spans="1:35" ht="20.100000000000001" customHeight="1">
      <c r="A223" s="15" t="str">
        <f>ÖSSZES!$A$6</f>
        <v>Iványi István</v>
      </c>
      <c r="B223" s="28"/>
      <c r="C223" s="28"/>
      <c r="D223" s="28"/>
      <c r="E223" s="28" t="s">
        <v>2</v>
      </c>
      <c r="F223" s="28" t="s">
        <v>2</v>
      </c>
      <c r="G223" s="28"/>
      <c r="H223" s="28"/>
      <c r="I223" s="28"/>
      <c r="J223" s="28"/>
      <c r="K223" s="28"/>
      <c r="L223" s="28"/>
      <c r="M223" s="28" t="s">
        <v>2</v>
      </c>
      <c r="N223" s="28" t="s">
        <v>2</v>
      </c>
      <c r="O223" s="28"/>
      <c r="P223" s="28"/>
      <c r="Q223" s="28"/>
      <c r="R223" s="28"/>
      <c r="S223" s="28"/>
      <c r="T223" s="28"/>
      <c r="U223" s="28" t="s">
        <v>2</v>
      </c>
      <c r="V223" s="28" t="s">
        <v>2</v>
      </c>
      <c r="W223" s="28"/>
      <c r="X223" s="28"/>
      <c r="Y223" s="28"/>
      <c r="Z223" s="28"/>
      <c r="AA223" s="28"/>
      <c r="AB223" s="28"/>
      <c r="AC223" s="28" t="s">
        <v>2</v>
      </c>
      <c r="AD223" s="28" t="s">
        <v>2</v>
      </c>
      <c r="AE223" s="28"/>
      <c r="AF223" s="28"/>
      <c r="AH223" s="12">
        <f t="shared" si="28"/>
        <v>0</v>
      </c>
      <c r="AI223" s="12">
        <f t="shared" si="29"/>
        <v>0</v>
      </c>
    </row>
    <row r="224" spans="1:35" ht="20.100000000000001" customHeight="1">
      <c r="A224" s="15" t="str">
        <f>ÖSSZES!$A$7</f>
        <v>Katonka Tibor</v>
      </c>
      <c r="B224" s="28"/>
      <c r="C224" s="28"/>
      <c r="D224" s="28"/>
      <c r="E224" s="28" t="s">
        <v>2</v>
      </c>
      <c r="F224" s="28" t="s">
        <v>2</v>
      </c>
      <c r="G224" s="28"/>
      <c r="H224" s="28"/>
      <c r="I224" s="28"/>
      <c r="J224" s="28"/>
      <c r="K224" s="28"/>
      <c r="L224" s="28"/>
      <c r="M224" s="28" t="s">
        <v>2</v>
      </c>
      <c r="N224" s="28" t="s">
        <v>2</v>
      </c>
      <c r="O224" s="28"/>
      <c r="P224" s="28"/>
      <c r="Q224" s="28"/>
      <c r="R224" s="28"/>
      <c r="S224" s="28"/>
      <c r="T224" s="28"/>
      <c r="U224" s="28" t="s">
        <v>2</v>
      </c>
      <c r="V224" s="28" t="s">
        <v>2</v>
      </c>
      <c r="W224" s="28"/>
      <c r="X224" s="28"/>
      <c r="Y224" s="28"/>
      <c r="Z224" s="28"/>
      <c r="AA224" s="28"/>
      <c r="AB224" s="28"/>
      <c r="AC224" s="28" t="s">
        <v>2</v>
      </c>
      <c r="AD224" s="28" t="s">
        <v>2</v>
      </c>
      <c r="AE224" s="28"/>
      <c r="AF224" s="28"/>
      <c r="AH224" s="12">
        <f t="shared" si="28"/>
        <v>0</v>
      </c>
      <c r="AI224" s="12">
        <f t="shared" si="29"/>
        <v>0</v>
      </c>
    </row>
    <row r="225" spans="1:35" ht="20.100000000000001" customHeight="1">
      <c r="A225" s="15" t="str">
        <f>ÖSSZES!$A$8</f>
        <v>Mizsák Péter</v>
      </c>
      <c r="B225" s="28"/>
      <c r="C225" s="28"/>
      <c r="D225" s="28"/>
      <c r="E225" s="28" t="s">
        <v>2</v>
      </c>
      <c r="F225" s="28" t="s">
        <v>2</v>
      </c>
      <c r="G225" s="28"/>
      <c r="H225" s="28"/>
      <c r="I225" s="28"/>
      <c r="J225" s="28"/>
      <c r="K225" s="28"/>
      <c r="L225" s="28"/>
      <c r="M225" s="28" t="s">
        <v>2</v>
      </c>
      <c r="N225" s="28" t="s">
        <v>2</v>
      </c>
      <c r="O225" s="28"/>
      <c r="P225" s="28"/>
      <c r="Q225" s="28"/>
      <c r="R225" s="28"/>
      <c r="S225" s="28"/>
      <c r="T225" s="28"/>
      <c r="U225" s="28" t="s">
        <v>2</v>
      </c>
      <c r="V225" s="28" t="s">
        <v>2</v>
      </c>
      <c r="W225" s="28"/>
      <c r="X225" s="28"/>
      <c r="Y225" s="28"/>
      <c r="Z225" s="28"/>
      <c r="AA225" s="28"/>
      <c r="AB225" s="28"/>
      <c r="AC225" s="28" t="s">
        <v>2</v>
      </c>
      <c r="AD225" s="28" t="s">
        <v>2</v>
      </c>
      <c r="AE225" s="28"/>
      <c r="AF225" s="28"/>
      <c r="AH225" s="12">
        <f t="shared" si="28"/>
        <v>0</v>
      </c>
      <c r="AI225" s="12">
        <f t="shared" si="29"/>
        <v>0</v>
      </c>
    </row>
    <row r="226" spans="1:35" ht="20.100000000000001" customHeight="1">
      <c r="A226" s="15" t="str">
        <f>ÖSSZES!$A$9</f>
        <v>Vatamány Gergő</v>
      </c>
      <c r="B226" s="28"/>
      <c r="C226" s="28"/>
      <c r="D226" s="28"/>
      <c r="E226" s="28" t="s">
        <v>2</v>
      </c>
      <c r="F226" s="28" t="s">
        <v>2</v>
      </c>
      <c r="G226" s="28"/>
      <c r="H226" s="28"/>
      <c r="I226" s="28"/>
      <c r="J226" s="28"/>
      <c r="K226" s="28"/>
      <c r="L226" s="28"/>
      <c r="M226" s="28" t="s">
        <v>2</v>
      </c>
      <c r="N226" s="28" t="s">
        <v>2</v>
      </c>
      <c r="O226" s="28"/>
      <c r="P226" s="28"/>
      <c r="Q226" s="28"/>
      <c r="R226" s="28"/>
      <c r="S226" s="28"/>
      <c r="T226" s="28"/>
      <c r="U226" s="28" t="s">
        <v>2</v>
      </c>
      <c r="V226" s="28" t="s">
        <v>2</v>
      </c>
      <c r="W226" s="28"/>
      <c r="X226" s="28"/>
      <c r="Y226" s="28"/>
      <c r="Z226" s="28"/>
      <c r="AA226" s="28"/>
      <c r="AB226" s="28"/>
      <c r="AC226" s="28" t="s">
        <v>2</v>
      </c>
      <c r="AD226" s="28" t="s">
        <v>2</v>
      </c>
      <c r="AE226" s="28"/>
      <c r="AF226" s="28"/>
      <c r="AH226" s="12">
        <f t="shared" si="28"/>
        <v>0</v>
      </c>
      <c r="AI226" s="12">
        <f t="shared" si="29"/>
        <v>0</v>
      </c>
    </row>
    <row r="227" spans="1:35" ht="20.100000000000001" hidden="1" customHeight="1">
      <c r="A227" s="15" t="str">
        <f>ÖSSZES!$A$10</f>
        <v>Név8</v>
      </c>
      <c r="B227" s="28"/>
      <c r="C227" s="28"/>
      <c r="D227" s="28"/>
      <c r="E227" s="28" t="s">
        <v>2</v>
      </c>
      <c r="F227" s="28" t="s">
        <v>2</v>
      </c>
      <c r="G227" s="28"/>
      <c r="H227" s="28"/>
      <c r="I227" s="28"/>
      <c r="J227" s="28"/>
      <c r="K227" s="28"/>
      <c r="L227" s="28"/>
      <c r="M227" s="28" t="s">
        <v>2</v>
      </c>
      <c r="N227" s="28" t="s">
        <v>2</v>
      </c>
      <c r="O227" s="28"/>
      <c r="P227" s="28"/>
      <c r="Q227" s="28"/>
      <c r="R227" s="28"/>
      <c r="S227" s="28"/>
      <c r="T227" s="28"/>
      <c r="U227" s="28" t="s">
        <v>2</v>
      </c>
      <c r="V227" s="28" t="s">
        <v>2</v>
      </c>
      <c r="W227" s="28"/>
      <c r="X227" s="28"/>
      <c r="Y227" s="28"/>
      <c r="Z227" s="28"/>
      <c r="AA227" s="28"/>
      <c r="AB227" s="28"/>
      <c r="AC227" s="28" t="s">
        <v>2</v>
      </c>
      <c r="AD227" s="28" t="s">
        <v>2</v>
      </c>
      <c r="AE227" s="28"/>
      <c r="AF227" s="28"/>
      <c r="AH227" s="12">
        <f t="shared" si="28"/>
        <v>0</v>
      </c>
      <c r="AI227" s="12">
        <f t="shared" si="29"/>
        <v>0</v>
      </c>
    </row>
    <row r="228" spans="1:35" ht="20.100000000000001" hidden="1" customHeight="1">
      <c r="A228" s="15" t="str">
        <f>ÖSSZES!$A$11</f>
        <v>Név9</v>
      </c>
      <c r="B228" s="28"/>
      <c r="C228" s="28"/>
      <c r="D228" s="28"/>
      <c r="E228" s="28" t="s">
        <v>2</v>
      </c>
      <c r="F228" s="28" t="s">
        <v>2</v>
      </c>
      <c r="G228" s="28"/>
      <c r="H228" s="28"/>
      <c r="I228" s="28"/>
      <c r="J228" s="28"/>
      <c r="K228" s="28"/>
      <c r="L228" s="28"/>
      <c r="M228" s="28" t="s">
        <v>2</v>
      </c>
      <c r="N228" s="28" t="s">
        <v>2</v>
      </c>
      <c r="O228" s="28"/>
      <c r="P228" s="28"/>
      <c r="Q228" s="28"/>
      <c r="R228" s="28"/>
      <c r="S228" s="28"/>
      <c r="T228" s="28"/>
      <c r="U228" s="28" t="s">
        <v>2</v>
      </c>
      <c r="V228" s="28" t="s">
        <v>2</v>
      </c>
      <c r="W228" s="28"/>
      <c r="X228" s="28"/>
      <c r="Y228" s="28"/>
      <c r="Z228" s="28"/>
      <c r="AA228" s="28"/>
      <c r="AB228" s="28"/>
      <c r="AC228" s="28" t="s">
        <v>2</v>
      </c>
      <c r="AD228" s="28" t="s">
        <v>2</v>
      </c>
      <c r="AE228" s="28"/>
      <c r="AF228" s="28"/>
      <c r="AH228" s="12">
        <f t="shared" si="28"/>
        <v>0</v>
      </c>
      <c r="AI228" s="12">
        <f t="shared" si="29"/>
        <v>0</v>
      </c>
    </row>
    <row r="229" spans="1:35" ht="20.100000000000001" hidden="1" customHeight="1">
      <c r="A229" s="15" t="str">
        <f>ÖSSZES!$A$12</f>
        <v>Név10</v>
      </c>
      <c r="B229" s="28"/>
      <c r="C229" s="28"/>
      <c r="D229" s="28"/>
      <c r="E229" s="28" t="s">
        <v>2</v>
      </c>
      <c r="F229" s="28" t="s">
        <v>2</v>
      </c>
      <c r="G229" s="28"/>
      <c r="H229" s="28"/>
      <c r="I229" s="28"/>
      <c r="J229" s="28"/>
      <c r="K229" s="28"/>
      <c r="L229" s="28"/>
      <c r="M229" s="28" t="s">
        <v>2</v>
      </c>
      <c r="N229" s="28" t="s">
        <v>2</v>
      </c>
      <c r="O229" s="28"/>
      <c r="P229" s="28"/>
      <c r="Q229" s="28"/>
      <c r="R229" s="28"/>
      <c r="S229" s="28"/>
      <c r="T229" s="28"/>
      <c r="U229" s="28" t="s">
        <v>2</v>
      </c>
      <c r="V229" s="28" t="s">
        <v>2</v>
      </c>
      <c r="W229" s="28"/>
      <c r="X229" s="28"/>
      <c r="Y229" s="28"/>
      <c r="Z229" s="28"/>
      <c r="AA229" s="28"/>
      <c r="AB229" s="28"/>
      <c r="AC229" s="28" t="s">
        <v>2</v>
      </c>
      <c r="AD229" s="28" t="s">
        <v>2</v>
      </c>
      <c r="AE229" s="28"/>
      <c r="AF229" s="28"/>
      <c r="AH229" s="12">
        <f t="shared" si="28"/>
        <v>0</v>
      </c>
      <c r="AI229" s="12">
        <f t="shared" si="29"/>
        <v>0</v>
      </c>
    </row>
    <row r="230" spans="1:35" ht="20.100000000000001" hidden="1" customHeight="1">
      <c r="A230" s="15" t="str">
        <f>ÖSSZES!$A$13</f>
        <v>Név11</v>
      </c>
      <c r="B230" s="28"/>
      <c r="C230" s="28"/>
      <c r="D230" s="28"/>
      <c r="E230" s="28" t="s">
        <v>2</v>
      </c>
      <c r="F230" s="28" t="s">
        <v>2</v>
      </c>
      <c r="G230" s="28"/>
      <c r="H230" s="28"/>
      <c r="I230" s="28"/>
      <c r="J230" s="28"/>
      <c r="K230" s="28"/>
      <c r="L230" s="28"/>
      <c r="M230" s="28" t="s">
        <v>2</v>
      </c>
      <c r="N230" s="28" t="s">
        <v>2</v>
      </c>
      <c r="O230" s="28"/>
      <c r="P230" s="28"/>
      <c r="Q230" s="28"/>
      <c r="R230" s="28"/>
      <c r="S230" s="28"/>
      <c r="T230" s="28"/>
      <c r="U230" s="28" t="s">
        <v>2</v>
      </c>
      <c r="V230" s="28" t="s">
        <v>2</v>
      </c>
      <c r="W230" s="28"/>
      <c r="X230" s="28"/>
      <c r="Y230" s="28"/>
      <c r="Z230" s="28"/>
      <c r="AA230" s="28"/>
      <c r="AB230" s="28"/>
      <c r="AC230" s="28" t="s">
        <v>2</v>
      </c>
      <c r="AD230" s="28" t="s">
        <v>2</v>
      </c>
      <c r="AE230" s="28"/>
      <c r="AF230" s="28"/>
      <c r="AH230" s="12">
        <f t="shared" si="28"/>
        <v>0</v>
      </c>
      <c r="AI230" s="12">
        <f t="shared" si="29"/>
        <v>0</v>
      </c>
    </row>
    <row r="231" spans="1:35" ht="20.100000000000001" hidden="1" customHeight="1">
      <c r="A231" s="15" t="str">
        <f>ÖSSZES!$A$14</f>
        <v>Név12</v>
      </c>
      <c r="B231" s="28"/>
      <c r="C231" s="28"/>
      <c r="D231" s="28"/>
      <c r="E231" s="28" t="s">
        <v>2</v>
      </c>
      <c r="F231" s="28" t="s">
        <v>2</v>
      </c>
      <c r="G231" s="28"/>
      <c r="H231" s="28"/>
      <c r="I231" s="28"/>
      <c r="J231" s="28"/>
      <c r="K231" s="28"/>
      <c r="L231" s="28"/>
      <c r="M231" s="28" t="s">
        <v>2</v>
      </c>
      <c r="N231" s="28" t="s">
        <v>2</v>
      </c>
      <c r="O231" s="28"/>
      <c r="P231" s="28"/>
      <c r="Q231" s="28"/>
      <c r="R231" s="28"/>
      <c r="S231" s="28"/>
      <c r="T231" s="28"/>
      <c r="U231" s="28" t="s">
        <v>2</v>
      </c>
      <c r="V231" s="28" t="s">
        <v>2</v>
      </c>
      <c r="W231" s="28"/>
      <c r="X231" s="28"/>
      <c r="Y231" s="28"/>
      <c r="Z231" s="28"/>
      <c r="AA231" s="28"/>
      <c r="AB231" s="28"/>
      <c r="AC231" s="28" t="s">
        <v>2</v>
      </c>
      <c r="AD231" s="28" t="s">
        <v>2</v>
      </c>
      <c r="AE231" s="28"/>
      <c r="AF231" s="28"/>
      <c r="AH231" s="12">
        <f t="shared" si="28"/>
        <v>0</v>
      </c>
      <c r="AI231" s="12">
        <f t="shared" si="29"/>
        <v>0</v>
      </c>
    </row>
    <row r="232" spans="1:35" ht="20.100000000000001" hidden="1" customHeight="1">
      <c r="A232" s="15" t="str">
        <f>ÖSSZES!$A$15</f>
        <v>Név13</v>
      </c>
      <c r="B232" s="28"/>
      <c r="C232" s="28"/>
      <c r="D232" s="28"/>
      <c r="E232" s="28" t="s">
        <v>2</v>
      </c>
      <c r="F232" s="28" t="s">
        <v>2</v>
      </c>
      <c r="G232" s="28"/>
      <c r="H232" s="28"/>
      <c r="I232" s="28"/>
      <c r="J232" s="28"/>
      <c r="K232" s="28"/>
      <c r="L232" s="28"/>
      <c r="M232" s="28" t="s">
        <v>2</v>
      </c>
      <c r="N232" s="28" t="s">
        <v>2</v>
      </c>
      <c r="O232" s="28"/>
      <c r="P232" s="28"/>
      <c r="Q232" s="28"/>
      <c r="R232" s="28"/>
      <c r="S232" s="28"/>
      <c r="T232" s="28"/>
      <c r="U232" s="28" t="s">
        <v>2</v>
      </c>
      <c r="V232" s="28" t="s">
        <v>2</v>
      </c>
      <c r="W232" s="28"/>
      <c r="X232" s="28"/>
      <c r="Y232" s="28"/>
      <c r="Z232" s="28"/>
      <c r="AA232" s="28"/>
      <c r="AB232" s="28"/>
      <c r="AC232" s="28" t="s">
        <v>2</v>
      </c>
      <c r="AD232" s="28" t="s">
        <v>2</v>
      </c>
      <c r="AE232" s="28"/>
      <c r="AF232" s="28"/>
      <c r="AH232" s="12">
        <f t="shared" si="28"/>
        <v>0</v>
      </c>
      <c r="AI232" s="12">
        <f t="shared" si="29"/>
        <v>0</v>
      </c>
    </row>
    <row r="233" spans="1:35" ht="20.100000000000001" hidden="1" customHeight="1">
      <c r="A233" s="15" t="str">
        <f>ÖSSZES!$A$16</f>
        <v>Név14</v>
      </c>
      <c r="B233" s="28"/>
      <c r="C233" s="28"/>
      <c r="D233" s="28"/>
      <c r="E233" s="28" t="s">
        <v>2</v>
      </c>
      <c r="F233" s="28" t="s">
        <v>2</v>
      </c>
      <c r="G233" s="28"/>
      <c r="H233" s="28"/>
      <c r="I233" s="28"/>
      <c r="J233" s="28"/>
      <c r="K233" s="28"/>
      <c r="L233" s="28"/>
      <c r="M233" s="28" t="s">
        <v>2</v>
      </c>
      <c r="N233" s="28" t="s">
        <v>2</v>
      </c>
      <c r="O233" s="28"/>
      <c r="P233" s="28"/>
      <c r="Q233" s="28"/>
      <c r="R233" s="28"/>
      <c r="S233" s="28"/>
      <c r="T233" s="28"/>
      <c r="U233" s="28" t="s">
        <v>2</v>
      </c>
      <c r="V233" s="28" t="s">
        <v>2</v>
      </c>
      <c r="W233" s="28"/>
      <c r="X233" s="28"/>
      <c r="Y233" s="28"/>
      <c r="Z233" s="28"/>
      <c r="AA233" s="28"/>
      <c r="AB233" s="28"/>
      <c r="AC233" s="28" t="s">
        <v>2</v>
      </c>
      <c r="AD233" s="28" t="s">
        <v>2</v>
      </c>
      <c r="AE233" s="28"/>
      <c r="AF233" s="28"/>
      <c r="AH233" s="12">
        <f t="shared" si="28"/>
        <v>0</v>
      </c>
      <c r="AI233" s="12">
        <f t="shared" si="29"/>
        <v>0</v>
      </c>
    </row>
    <row r="234" spans="1:35" ht="20.100000000000001" hidden="1" customHeight="1">
      <c r="A234" s="15" t="str">
        <f>ÖSSZES!$A$17</f>
        <v>Név15</v>
      </c>
      <c r="B234" s="28"/>
      <c r="C234" s="28"/>
      <c r="D234" s="28"/>
      <c r="E234" s="28" t="s">
        <v>2</v>
      </c>
      <c r="F234" s="28" t="s">
        <v>2</v>
      </c>
      <c r="G234" s="28"/>
      <c r="H234" s="28"/>
      <c r="I234" s="28"/>
      <c r="J234" s="28"/>
      <c r="K234" s="28"/>
      <c r="L234" s="28"/>
      <c r="M234" s="28" t="s">
        <v>2</v>
      </c>
      <c r="N234" s="28" t="s">
        <v>2</v>
      </c>
      <c r="O234" s="28"/>
      <c r="P234" s="28"/>
      <c r="Q234" s="28"/>
      <c r="R234" s="28"/>
      <c r="S234" s="28"/>
      <c r="T234" s="28"/>
      <c r="U234" s="28" t="s">
        <v>2</v>
      </c>
      <c r="V234" s="28" t="s">
        <v>2</v>
      </c>
      <c r="W234" s="28"/>
      <c r="X234" s="28"/>
      <c r="Y234" s="28"/>
      <c r="Z234" s="28"/>
      <c r="AA234" s="28"/>
      <c r="AB234" s="28"/>
      <c r="AC234" s="28" t="s">
        <v>2</v>
      </c>
      <c r="AD234" s="28" t="s">
        <v>2</v>
      </c>
      <c r="AE234" s="28"/>
      <c r="AF234" s="28"/>
      <c r="AH234" s="12">
        <f t="shared" si="28"/>
        <v>0</v>
      </c>
      <c r="AI234" s="12">
        <f t="shared" si="29"/>
        <v>0</v>
      </c>
    </row>
    <row r="235" spans="1:35" ht="20.100000000000001" hidden="1" customHeight="1">
      <c r="A235" s="15" t="str">
        <f>ÖSSZES!$A$18</f>
        <v>Név16</v>
      </c>
      <c r="B235" s="28"/>
      <c r="C235" s="28"/>
      <c r="D235" s="28"/>
      <c r="E235" s="28" t="s">
        <v>2</v>
      </c>
      <c r="F235" s="28" t="s">
        <v>2</v>
      </c>
      <c r="G235" s="28"/>
      <c r="H235" s="28"/>
      <c r="I235" s="28"/>
      <c r="J235" s="28"/>
      <c r="K235" s="28"/>
      <c r="L235" s="28"/>
      <c r="M235" s="28" t="s">
        <v>2</v>
      </c>
      <c r="N235" s="28" t="s">
        <v>2</v>
      </c>
      <c r="O235" s="28"/>
      <c r="P235" s="28"/>
      <c r="Q235" s="28"/>
      <c r="R235" s="28"/>
      <c r="S235" s="28"/>
      <c r="T235" s="28"/>
      <c r="U235" s="28" t="s">
        <v>2</v>
      </c>
      <c r="V235" s="28" t="s">
        <v>2</v>
      </c>
      <c r="W235" s="28"/>
      <c r="X235" s="28"/>
      <c r="Y235" s="28"/>
      <c r="Z235" s="28"/>
      <c r="AA235" s="28"/>
      <c r="AB235" s="28"/>
      <c r="AC235" s="28" t="s">
        <v>2</v>
      </c>
      <c r="AD235" s="28" t="s">
        <v>2</v>
      </c>
      <c r="AE235" s="28"/>
      <c r="AF235" s="28"/>
      <c r="AH235" s="12">
        <f t="shared" si="28"/>
        <v>0</v>
      </c>
      <c r="AI235" s="12">
        <f t="shared" si="29"/>
        <v>0</v>
      </c>
    </row>
    <row r="236" spans="1:35" ht="20.100000000000001" hidden="1" customHeight="1">
      <c r="A236" s="15" t="str">
        <f>ÖSSZES!$A$19</f>
        <v>Név17</v>
      </c>
      <c r="B236" s="28"/>
      <c r="C236" s="28"/>
      <c r="D236" s="28"/>
      <c r="E236" s="28" t="s">
        <v>2</v>
      </c>
      <c r="F236" s="28" t="s">
        <v>2</v>
      </c>
      <c r="G236" s="28"/>
      <c r="H236" s="28"/>
      <c r="I236" s="28"/>
      <c r="J236" s="28"/>
      <c r="K236" s="28"/>
      <c r="L236" s="28"/>
      <c r="M236" s="28" t="s">
        <v>2</v>
      </c>
      <c r="N236" s="28" t="s">
        <v>2</v>
      </c>
      <c r="O236" s="28"/>
      <c r="P236" s="28"/>
      <c r="Q236" s="28"/>
      <c r="R236" s="28"/>
      <c r="S236" s="28"/>
      <c r="T236" s="28"/>
      <c r="U236" s="28" t="s">
        <v>2</v>
      </c>
      <c r="V236" s="28" t="s">
        <v>2</v>
      </c>
      <c r="W236" s="28"/>
      <c r="X236" s="28"/>
      <c r="Y236" s="28"/>
      <c r="Z236" s="28"/>
      <c r="AA236" s="28"/>
      <c r="AB236" s="28"/>
      <c r="AC236" s="28" t="s">
        <v>2</v>
      </c>
      <c r="AD236" s="28" t="s">
        <v>2</v>
      </c>
      <c r="AE236" s="28"/>
      <c r="AF236" s="28"/>
      <c r="AH236" s="12">
        <f t="shared" si="28"/>
        <v>0</v>
      </c>
      <c r="AI236" s="12">
        <f t="shared" si="29"/>
        <v>0</v>
      </c>
    </row>
    <row r="237" spans="1:35" ht="20.100000000000001" hidden="1" customHeight="1">
      <c r="A237" s="15" t="str">
        <f>ÖSSZES!$A$20</f>
        <v>Név18</v>
      </c>
      <c r="B237" s="28"/>
      <c r="C237" s="28"/>
      <c r="D237" s="28"/>
      <c r="E237" s="28" t="s">
        <v>2</v>
      </c>
      <c r="F237" s="28" t="s">
        <v>2</v>
      </c>
      <c r="G237" s="28"/>
      <c r="H237" s="28"/>
      <c r="I237" s="28"/>
      <c r="J237" s="28"/>
      <c r="K237" s="28"/>
      <c r="L237" s="28"/>
      <c r="M237" s="28" t="s">
        <v>2</v>
      </c>
      <c r="N237" s="28" t="s">
        <v>2</v>
      </c>
      <c r="O237" s="28"/>
      <c r="P237" s="28"/>
      <c r="Q237" s="28"/>
      <c r="R237" s="28"/>
      <c r="S237" s="28"/>
      <c r="T237" s="28"/>
      <c r="U237" s="28" t="s">
        <v>2</v>
      </c>
      <c r="V237" s="28" t="s">
        <v>2</v>
      </c>
      <c r="W237" s="28"/>
      <c r="X237" s="28"/>
      <c r="Y237" s="28"/>
      <c r="Z237" s="28"/>
      <c r="AA237" s="28"/>
      <c r="AB237" s="28"/>
      <c r="AC237" s="28" t="s">
        <v>2</v>
      </c>
      <c r="AD237" s="28" t="s">
        <v>2</v>
      </c>
      <c r="AE237" s="28"/>
      <c r="AF237" s="28"/>
      <c r="AH237" s="12">
        <f t="shared" si="28"/>
        <v>0</v>
      </c>
      <c r="AI237" s="12">
        <f t="shared" si="29"/>
        <v>0</v>
      </c>
    </row>
    <row r="238" spans="1:35" ht="20.100000000000001" hidden="1" customHeight="1">
      <c r="A238" s="15" t="str">
        <f>ÖSSZES!$A$21</f>
        <v>Név19</v>
      </c>
      <c r="B238" s="28"/>
      <c r="C238" s="28"/>
      <c r="D238" s="28"/>
      <c r="E238" s="28" t="s">
        <v>2</v>
      </c>
      <c r="F238" s="28" t="s">
        <v>2</v>
      </c>
      <c r="G238" s="28"/>
      <c r="H238" s="28"/>
      <c r="I238" s="28"/>
      <c r="J238" s="28"/>
      <c r="K238" s="28"/>
      <c r="L238" s="28"/>
      <c r="M238" s="28" t="s">
        <v>2</v>
      </c>
      <c r="N238" s="28" t="s">
        <v>2</v>
      </c>
      <c r="O238" s="28"/>
      <c r="P238" s="28"/>
      <c r="Q238" s="28"/>
      <c r="R238" s="28"/>
      <c r="S238" s="28"/>
      <c r="T238" s="28"/>
      <c r="U238" s="28" t="s">
        <v>2</v>
      </c>
      <c r="V238" s="28" t="s">
        <v>2</v>
      </c>
      <c r="W238" s="28"/>
      <c r="X238" s="28"/>
      <c r="Y238" s="28"/>
      <c r="Z238" s="28"/>
      <c r="AA238" s="28"/>
      <c r="AB238" s="28"/>
      <c r="AC238" s="28" t="s">
        <v>2</v>
      </c>
      <c r="AD238" s="28" t="s">
        <v>2</v>
      </c>
      <c r="AE238" s="28"/>
      <c r="AF238" s="28"/>
      <c r="AH238" s="12">
        <f t="shared" si="28"/>
        <v>0</v>
      </c>
      <c r="AI238" s="12">
        <f t="shared" si="29"/>
        <v>0</v>
      </c>
    </row>
    <row r="239" spans="1:35" ht="20.100000000000001" hidden="1" customHeight="1">
      <c r="A239" s="15" t="str">
        <f>ÖSSZES!$A$17</f>
        <v>Név15</v>
      </c>
      <c r="B239" s="28"/>
      <c r="C239" s="28"/>
      <c r="D239" s="28"/>
      <c r="E239" s="28" t="s">
        <v>2</v>
      </c>
      <c r="F239" s="28" t="s">
        <v>2</v>
      </c>
      <c r="G239" s="28"/>
      <c r="H239" s="28"/>
      <c r="I239" s="28"/>
      <c r="J239" s="28"/>
      <c r="K239" s="28"/>
      <c r="L239" s="28"/>
      <c r="M239" s="28" t="s">
        <v>2</v>
      </c>
      <c r="N239" s="28" t="s">
        <v>2</v>
      </c>
      <c r="O239" s="28"/>
      <c r="P239" s="28"/>
      <c r="Q239" s="28"/>
      <c r="R239" s="28"/>
      <c r="S239" s="28"/>
      <c r="T239" s="28"/>
      <c r="U239" s="28" t="s">
        <v>2</v>
      </c>
      <c r="V239" s="28" t="s">
        <v>2</v>
      </c>
      <c r="W239" s="28"/>
      <c r="X239" s="28"/>
      <c r="Y239" s="28"/>
      <c r="Z239" s="28"/>
      <c r="AA239" s="28"/>
      <c r="AB239" s="28"/>
      <c r="AC239" s="28" t="s">
        <v>2</v>
      </c>
      <c r="AD239" s="28" t="s">
        <v>2</v>
      </c>
      <c r="AE239" s="28"/>
      <c r="AF239" s="28"/>
      <c r="AH239" s="12">
        <f t="shared" si="28"/>
        <v>0</v>
      </c>
      <c r="AI239" s="12">
        <f t="shared" si="29"/>
        <v>0</v>
      </c>
    </row>
    <row r="240" spans="1:35" ht="20.100000000000001" customHeight="1">
      <c r="A240" s="10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H240" s="26"/>
      <c r="AI240" s="26"/>
    </row>
    <row r="241" spans="1:35" s="21" customFormat="1" ht="20.100000000000001" customHeight="1">
      <c r="A241" s="43" t="s">
        <v>15</v>
      </c>
      <c r="B241" s="19">
        <v>1</v>
      </c>
      <c r="C241" s="20">
        <v>2</v>
      </c>
      <c r="D241" s="20">
        <v>3</v>
      </c>
      <c r="E241" s="20">
        <v>4</v>
      </c>
      <c r="F241" s="20">
        <v>5</v>
      </c>
      <c r="G241" s="20">
        <v>6</v>
      </c>
      <c r="H241" s="20">
        <v>7</v>
      </c>
      <c r="I241" s="20">
        <v>8</v>
      </c>
      <c r="J241" s="20">
        <v>9</v>
      </c>
      <c r="K241" s="20">
        <v>10</v>
      </c>
      <c r="L241" s="20">
        <v>11</v>
      </c>
      <c r="M241" s="20">
        <v>12</v>
      </c>
      <c r="N241" s="20">
        <v>13</v>
      </c>
      <c r="O241" s="20">
        <v>14</v>
      </c>
      <c r="P241" s="20">
        <v>15</v>
      </c>
      <c r="Q241" s="20">
        <v>16</v>
      </c>
      <c r="R241" s="20">
        <v>17</v>
      </c>
      <c r="S241" s="20">
        <v>18</v>
      </c>
      <c r="T241" s="20">
        <v>19</v>
      </c>
      <c r="U241" s="20">
        <v>20</v>
      </c>
      <c r="V241" s="20">
        <v>21</v>
      </c>
      <c r="W241" s="20">
        <v>22</v>
      </c>
      <c r="X241" s="20">
        <v>23</v>
      </c>
      <c r="Y241" s="20">
        <v>24</v>
      </c>
      <c r="Z241" s="20">
        <v>25</v>
      </c>
      <c r="AA241" s="20">
        <v>26</v>
      </c>
      <c r="AB241" s="20">
        <v>27</v>
      </c>
      <c r="AC241" s="20">
        <v>28</v>
      </c>
      <c r="AD241" s="20">
        <v>29</v>
      </c>
      <c r="AE241" s="20">
        <v>30</v>
      </c>
      <c r="AH241" s="43" t="s">
        <v>18</v>
      </c>
      <c r="AI241" s="43" t="s">
        <v>19</v>
      </c>
    </row>
    <row r="242" spans="1:35" ht="20.100000000000001" customHeight="1">
      <c r="A242" s="44"/>
      <c r="B242" s="22" t="str">
        <f>'2021'!B84</f>
        <v>H</v>
      </c>
      <c r="C242" s="22" t="str">
        <f>'2021'!C84</f>
        <v>K</v>
      </c>
      <c r="D242" s="22" t="str">
        <f>'2021'!D84</f>
        <v>Sze</v>
      </c>
      <c r="E242" s="22" t="str">
        <f>'2021'!E84</f>
        <v>Cs</v>
      </c>
      <c r="F242" s="22" t="str">
        <f>'2021'!F84</f>
        <v>P</v>
      </c>
      <c r="G242" s="22" t="str">
        <f>'2021'!G84</f>
        <v>Szo</v>
      </c>
      <c r="H242" s="22" t="str">
        <f>'2021'!H84</f>
        <v>V</v>
      </c>
      <c r="I242" s="22" t="str">
        <f>'2021'!I84</f>
        <v>H</v>
      </c>
      <c r="J242" s="22" t="str">
        <f>'2021'!J84</f>
        <v>K</v>
      </c>
      <c r="K242" s="22" t="str">
        <f>'2021'!K84</f>
        <v>Sze</v>
      </c>
      <c r="L242" s="22" t="str">
        <f>'2021'!L84</f>
        <v>Cs</v>
      </c>
      <c r="M242" s="22" t="str">
        <f>'2021'!M84</f>
        <v>P</v>
      </c>
      <c r="N242" s="22" t="str">
        <f>'2021'!N84</f>
        <v>Szo</v>
      </c>
      <c r="O242" s="22" t="str">
        <f>'2021'!O84</f>
        <v>V</v>
      </c>
      <c r="P242" s="22" t="str">
        <f>'2021'!P84</f>
        <v>H</v>
      </c>
      <c r="Q242" s="22" t="str">
        <f>'2021'!Q84</f>
        <v>K</v>
      </c>
      <c r="R242" s="22" t="str">
        <f>'2021'!R84</f>
        <v>Sze</v>
      </c>
      <c r="S242" s="22" t="str">
        <f>'2021'!S84</f>
        <v>Cs</v>
      </c>
      <c r="T242" s="22" t="str">
        <f>'2021'!T84</f>
        <v>P</v>
      </c>
      <c r="U242" s="22" t="str">
        <f>'2021'!U84</f>
        <v>Szo</v>
      </c>
      <c r="V242" s="22" t="str">
        <f>'2021'!V84</f>
        <v>V</v>
      </c>
      <c r="W242" s="22" t="str">
        <f>'2021'!W84</f>
        <v>H</v>
      </c>
      <c r="X242" s="22" t="str">
        <f>'2021'!X84</f>
        <v>K</v>
      </c>
      <c r="Y242" s="22" t="str">
        <f>'2021'!Y84</f>
        <v>Sze</v>
      </c>
      <c r="Z242" s="22" t="str">
        <f>'2021'!Z84</f>
        <v>Cs</v>
      </c>
      <c r="AA242" s="22" t="str">
        <f>'2021'!AA84</f>
        <v>P</v>
      </c>
      <c r="AB242" s="22" t="str">
        <f>'2021'!AB84</f>
        <v>Szo</v>
      </c>
      <c r="AC242" s="22" t="str">
        <f>'2021'!AC84</f>
        <v>V</v>
      </c>
      <c r="AD242" s="22" t="str">
        <f>'2021'!AD84</f>
        <v>H</v>
      </c>
      <c r="AE242" s="22" t="str">
        <f>'2021'!AE84</f>
        <v>K</v>
      </c>
      <c r="AF242" s="17"/>
      <c r="AH242" s="45"/>
      <c r="AI242" s="45"/>
    </row>
    <row r="243" spans="1:35" ht="20.100000000000001" customHeight="1">
      <c r="A243" s="45"/>
      <c r="B243" s="22">
        <f>'2021'!B85</f>
        <v>3</v>
      </c>
      <c r="C243" s="22">
        <f>'2021'!C85</f>
        <v>3</v>
      </c>
      <c r="D243" s="22">
        <f>'2021'!D85</f>
        <v>3</v>
      </c>
      <c r="E243" s="22">
        <f>'2021'!E85</f>
        <v>3</v>
      </c>
      <c r="F243" s="22" t="str">
        <f>'2021'!F85</f>
        <v>X</v>
      </c>
      <c r="G243" s="22" t="str">
        <f>'2021'!G85</f>
        <v>X</v>
      </c>
      <c r="H243" s="22">
        <f>'2021'!H85</f>
        <v>2</v>
      </c>
      <c r="I243" s="22">
        <f>'2021'!I85</f>
        <v>2</v>
      </c>
      <c r="J243" s="22">
        <f>'2021'!J85</f>
        <v>2</v>
      </c>
      <c r="K243" s="22">
        <f>'2021'!K85</f>
        <v>2</v>
      </c>
      <c r="L243" s="22">
        <f>'2021'!L85</f>
        <v>2</v>
      </c>
      <c r="M243" s="22">
        <f>'2021'!M85</f>
        <v>2</v>
      </c>
      <c r="N243" s="22" t="str">
        <f>'2021'!N85</f>
        <v>X</v>
      </c>
      <c r="O243" s="22" t="str">
        <f>'2021'!O85</f>
        <v>X</v>
      </c>
      <c r="P243" s="22">
        <f>'2021'!P85</f>
        <v>1</v>
      </c>
      <c r="Q243" s="22">
        <f>'2021'!Q85</f>
        <v>1</v>
      </c>
      <c r="R243" s="22">
        <f>'2021'!R85</f>
        <v>1</v>
      </c>
      <c r="S243" s="22">
        <f>'2021'!S85</f>
        <v>1</v>
      </c>
      <c r="T243" s="22">
        <f>'2021'!T85</f>
        <v>1</v>
      </c>
      <c r="U243" s="22">
        <f>'2021'!U85</f>
        <v>1</v>
      </c>
      <c r="V243" s="22" t="str">
        <f>'2021'!V85</f>
        <v>X</v>
      </c>
      <c r="W243" s="22" t="str">
        <f>'2021'!W85</f>
        <v>X</v>
      </c>
      <c r="X243" s="22">
        <f>'2021'!X85</f>
        <v>3</v>
      </c>
      <c r="Y243" s="22">
        <f>'2021'!Y85</f>
        <v>3</v>
      </c>
      <c r="Z243" s="22">
        <f>'2021'!Z85</f>
        <v>3</v>
      </c>
      <c r="AA243" s="22">
        <f>'2021'!AA85</f>
        <v>3</v>
      </c>
      <c r="AB243" s="22">
        <f>'2021'!AB85</f>
        <v>3</v>
      </c>
      <c r="AC243" s="22">
        <f>'2021'!AC85</f>
        <v>3</v>
      </c>
      <c r="AD243" s="22" t="str">
        <f>'2021'!AD85</f>
        <v>X</v>
      </c>
      <c r="AE243" s="22" t="str">
        <f>'2021'!AE85</f>
        <v>X</v>
      </c>
      <c r="AF243" s="17"/>
      <c r="AH243" s="45"/>
      <c r="AI243" s="45"/>
    </row>
    <row r="244" spans="1:35" ht="20.100000000000001" customHeight="1">
      <c r="A244" s="15" t="str">
        <f>ÖSSZES!$A$3</f>
        <v>Csuka Lajos</v>
      </c>
      <c r="B244" s="28"/>
      <c r="C244" s="28"/>
      <c r="D244" s="28"/>
      <c r="E244" s="28"/>
      <c r="F244" s="28" t="s">
        <v>2</v>
      </c>
      <c r="G244" s="28" t="s">
        <v>2</v>
      </c>
      <c r="H244" s="28"/>
      <c r="I244" s="28"/>
      <c r="J244" s="28"/>
      <c r="K244" s="28"/>
      <c r="L244" s="28"/>
      <c r="M244" s="28"/>
      <c r="N244" s="28" t="s">
        <v>2</v>
      </c>
      <c r="O244" s="28" t="s">
        <v>2</v>
      </c>
      <c r="P244" s="28"/>
      <c r="Q244" s="28"/>
      <c r="R244" s="28"/>
      <c r="S244" s="28"/>
      <c r="T244" s="28"/>
      <c r="U244" s="28"/>
      <c r="V244" s="28" t="s">
        <v>2</v>
      </c>
      <c r="W244" s="28" t="s">
        <v>2</v>
      </c>
      <c r="X244" s="28"/>
      <c r="Y244" s="28"/>
      <c r="Z244" s="28"/>
      <c r="AA244" s="28"/>
      <c r="AB244" s="28"/>
      <c r="AC244" s="28"/>
      <c r="AD244" s="28" t="s">
        <v>2</v>
      </c>
      <c r="AE244" s="28" t="s">
        <v>2</v>
      </c>
      <c r="AF244" s="17"/>
      <c r="AH244" s="12">
        <f>1*COUNTIF(A244:AF244,"+")</f>
        <v>0</v>
      </c>
      <c r="AI244" s="12">
        <f t="shared" ref="AI244" si="30">1*COUNTIF(B244:AF244,"szf")</f>
        <v>0</v>
      </c>
    </row>
    <row r="245" spans="1:35" ht="20.100000000000001" customHeight="1">
      <c r="A245" s="15" t="str">
        <f>ÖSSZES!$A$4</f>
        <v>Batiz Attila</v>
      </c>
      <c r="B245" s="28"/>
      <c r="C245" s="28"/>
      <c r="D245" s="28"/>
      <c r="E245" s="28"/>
      <c r="F245" s="28" t="s">
        <v>2</v>
      </c>
      <c r="G245" s="28" t="s">
        <v>2</v>
      </c>
      <c r="H245" s="28"/>
      <c r="I245" s="28"/>
      <c r="J245" s="28"/>
      <c r="K245" s="28"/>
      <c r="L245" s="28"/>
      <c r="M245" s="28"/>
      <c r="N245" s="28" t="s">
        <v>2</v>
      </c>
      <c r="O245" s="28" t="s">
        <v>2</v>
      </c>
      <c r="P245" s="28"/>
      <c r="Q245" s="28"/>
      <c r="R245" s="28"/>
      <c r="S245" s="28"/>
      <c r="T245" s="28"/>
      <c r="U245" s="28"/>
      <c r="V245" s="28" t="s">
        <v>2</v>
      </c>
      <c r="W245" s="28" t="s">
        <v>2</v>
      </c>
      <c r="X245" s="28"/>
      <c r="Y245" s="28"/>
      <c r="Z245" s="28"/>
      <c r="AA245" s="28"/>
      <c r="AB245" s="28"/>
      <c r="AC245" s="28"/>
      <c r="AD245" s="28" t="s">
        <v>2</v>
      </c>
      <c r="AE245" s="28" t="s">
        <v>2</v>
      </c>
      <c r="AF245" s="17"/>
      <c r="AH245" s="12">
        <f t="shared" ref="AH245:AH263" si="31">1*COUNTIF(A245:AF245,"+")</f>
        <v>0</v>
      </c>
      <c r="AI245" s="12">
        <f t="shared" ref="AI245:AI263" si="32">1*COUNTIF(B245:AF245,"szf")</f>
        <v>0</v>
      </c>
    </row>
    <row r="246" spans="1:35" ht="20.100000000000001" customHeight="1">
      <c r="A246" s="15" t="str">
        <f>ÖSSZES!$A$5</f>
        <v>Füredi Antal</v>
      </c>
      <c r="B246" s="28"/>
      <c r="C246" s="28"/>
      <c r="D246" s="28"/>
      <c r="E246" s="28"/>
      <c r="F246" s="28" t="s">
        <v>2</v>
      </c>
      <c r="G246" s="28" t="s">
        <v>2</v>
      </c>
      <c r="H246" s="28"/>
      <c r="I246" s="28"/>
      <c r="J246" s="28"/>
      <c r="K246" s="28"/>
      <c r="L246" s="28"/>
      <c r="M246" s="28"/>
      <c r="N246" s="28" t="s">
        <v>2</v>
      </c>
      <c r="O246" s="28" t="s">
        <v>2</v>
      </c>
      <c r="P246" s="28"/>
      <c r="Q246" s="28"/>
      <c r="R246" s="28"/>
      <c r="S246" s="28"/>
      <c r="T246" s="28"/>
      <c r="U246" s="28"/>
      <c r="V246" s="28" t="s">
        <v>2</v>
      </c>
      <c r="W246" s="28" t="s">
        <v>2</v>
      </c>
      <c r="X246" s="28"/>
      <c r="Y246" s="28"/>
      <c r="Z246" s="28"/>
      <c r="AA246" s="28"/>
      <c r="AB246" s="28"/>
      <c r="AC246" s="28"/>
      <c r="AD246" s="28" t="s">
        <v>2</v>
      </c>
      <c r="AE246" s="28" t="s">
        <v>2</v>
      </c>
      <c r="AF246" s="17"/>
      <c r="AH246" s="12">
        <f t="shared" si="31"/>
        <v>0</v>
      </c>
      <c r="AI246" s="12">
        <f t="shared" si="32"/>
        <v>0</v>
      </c>
    </row>
    <row r="247" spans="1:35" ht="20.100000000000001" customHeight="1">
      <c r="A247" s="15" t="str">
        <f>ÖSSZES!$A$6</f>
        <v>Iványi István</v>
      </c>
      <c r="B247" s="28"/>
      <c r="C247" s="28"/>
      <c r="D247" s="28"/>
      <c r="E247" s="28"/>
      <c r="F247" s="28" t="s">
        <v>2</v>
      </c>
      <c r="G247" s="28" t="s">
        <v>2</v>
      </c>
      <c r="H247" s="28"/>
      <c r="I247" s="28"/>
      <c r="J247" s="28"/>
      <c r="K247" s="28"/>
      <c r="L247" s="28"/>
      <c r="M247" s="28"/>
      <c r="N247" s="28" t="s">
        <v>2</v>
      </c>
      <c r="O247" s="28" t="s">
        <v>2</v>
      </c>
      <c r="P247" s="28"/>
      <c r="Q247" s="28"/>
      <c r="R247" s="28"/>
      <c r="S247" s="28"/>
      <c r="T247" s="28"/>
      <c r="U247" s="28"/>
      <c r="V247" s="28" t="s">
        <v>2</v>
      </c>
      <c r="W247" s="28" t="s">
        <v>2</v>
      </c>
      <c r="X247" s="28"/>
      <c r="Y247" s="28"/>
      <c r="Z247" s="28"/>
      <c r="AA247" s="28"/>
      <c r="AB247" s="28"/>
      <c r="AC247" s="28"/>
      <c r="AD247" s="28" t="s">
        <v>2</v>
      </c>
      <c r="AE247" s="28" t="s">
        <v>2</v>
      </c>
      <c r="AF247" s="17"/>
      <c r="AH247" s="12">
        <f t="shared" si="31"/>
        <v>0</v>
      </c>
      <c r="AI247" s="12">
        <f t="shared" si="32"/>
        <v>0</v>
      </c>
    </row>
    <row r="248" spans="1:35" ht="20.100000000000001" customHeight="1">
      <c r="A248" s="15" t="str">
        <f>ÖSSZES!$A$7</f>
        <v>Katonka Tibor</v>
      </c>
      <c r="B248" s="28"/>
      <c r="C248" s="28"/>
      <c r="D248" s="28"/>
      <c r="E248" s="28"/>
      <c r="F248" s="28" t="s">
        <v>2</v>
      </c>
      <c r="G248" s="28" t="s">
        <v>2</v>
      </c>
      <c r="H248" s="28"/>
      <c r="I248" s="28"/>
      <c r="J248" s="28"/>
      <c r="K248" s="28"/>
      <c r="L248" s="28"/>
      <c r="M248" s="28"/>
      <c r="N248" s="28" t="s">
        <v>2</v>
      </c>
      <c r="O248" s="28" t="s">
        <v>2</v>
      </c>
      <c r="P248" s="28"/>
      <c r="Q248" s="28"/>
      <c r="R248" s="28"/>
      <c r="S248" s="28"/>
      <c r="T248" s="28"/>
      <c r="U248" s="28"/>
      <c r="V248" s="28" t="s">
        <v>2</v>
      </c>
      <c r="W248" s="28" t="s">
        <v>2</v>
      </c>
      <c r="X248" s="28"/>
      <c r="Y248" s="28"/>
      <c r="Z248" s="28"/>
      <c r="AA248" s="28"/>
      <c r="AB248" s="28"/>
      <c r="AC248" s="28"/>
      <c r="AD248" s="28" t="s">
        <v>2</v>
      </c>
      <c r="AE248" s="28" t="s">
        <v>2</v>
      </c>
      <c r="AF248" s="17"/>
      <c r="AH248" s="12">
        <f t="shared" si="31"/>
        <v>0</v>
      </c>
      <c r="AI248" s="12">
        <f t="shared" si="32"/>
        <v>0</v>
      </c>
    </row>
    <row r="249" spans="1:35" ht="20.100000000000001" customHeight="1">
      <c r="A249" s="15" t="str">
        <f>ÖSSZES!$A$8</f>
        <v>Mizsák Péter</v>
      </c>
      <c r="B249" s="28"/>
      <c r="C249" s="28"/>
      <c r="D249" s="28"/>
      <c r="E249" s="28"/>
      <c r="F249" s="28" t="s">
        <v>2</v>
      </c>
      <c r="G249" s="28" t="s">
        <v>2</v>
      </c>
      <c r="H249" s="28"/>
      <c r="I249" s="28"/>
      <c r="J249" s="28"/>
      <c r="K249" s="28"/>
      <c r="L249" s="28"/>
      <c r="M249" s="28"/>
      <c r="N249" s="28" t="s">
        <v>2</v>
      </c>
      <c r="O249" s="28" t="s">
        <v>2</v>
      </c>
      <c r="P249" s="28"/>
      <c r="Q249" s="28"/>
      <c r="R249" s="28"/>
      <c r="S249" s="28"/>
      <c r="T249" s="28"/>
      <c r="U249" s="28"/>
      <c r="V249" s="28" t="s">
        <v>2</v>
      </c>
      <c r="W249" s="28" t="s">
        <v>2</v>
      </c>
      <c r="X249" s="28"/>
      <c r="Y249" s="28"/>
      <c r="Z249" s="28"/>
      <c r="AA249" s="28"/>
      <c r="AB249" s="28"/>
      <c r="AC249" s="28"/>
      <c r="AD249" s="28" t="s">
        <v>2</v>
      </c>
      <c r="AE249" s="28" t="s">
        <v>2</v>
      </c>
      <c r="AF249" s="17"/>
      <c r="AH249" s="12">
        <f t="shared" si="31"/>
        <v>0</v>
      </c>
      <c r="AI249" s="12">
        <f t="shared" si="32"/>
        <v>0</v>
      </c>
    </row>
    <row r="250" spans="1:35" ht="20.100000000000001" customHeight="1">
      <c r="A250" s="15" t="str">
        <f>ÖSSZES!$A$9</f>
        <v>Vatamány Gergő</v>
      </c>
      <c r="B250" s="28"/>
      <c r="C250" s="28"/>
      <c r="D250" s="28"/>
      <c r="E250" s="28"/>
      <c r="F250" s="28" t="s">
        <v>2</v>
      </c>
      <c r="G250" s="28" t="s">
        <v>2</v>
      </c>
      <c r="H250" s="28"/>
      <c r="I250" s="28"/>
      <c r="J250" s="28"/>
      <c r="K250" s="28"/>
      <c r="L250" s="28"/>
      <c r="M250" s="28"/>
      <c r="N250" s="28" t="s">
        <v>2</v>
      </c>
      <c r="O250" s="28" t="s">
        <v>2</v>
      </c>
      <c r="P250" s="28"/>
      <c r="Q250" s="28"/>
      <c r="R250" s="28"/>
      <c r="S250" s="28"/>
      <c r="T250" s="28"/>
      <c r="U250" s="28"/>
      <c r="V250" s="28" t="s">
        <v>2</v>
      </c>
      <c r="W250" s="28" t="s">
        <v>2</v>
      </c>
      <c r="X250" s="28"/>
      <c r="Y250" s="28"/>
      <c r="Z250" s="28"/>
      <c r="AA250" s="28"/>
      <c r="AB250" s="28"/>
      <c r="AC250" s="28"/>
      <c r="AD250" s="28" t="s">
        <v>2</v>
      </c>
      <c r="AE250" s="28" t="s">
        <v>2</v>
      </c>
      <c r="AF250" s="17"/>
      <c r="AH250" s="12">
        <f t="shared" si="31"/>
        <v>0</v>
      </c>
      <c r="AI250" s="12">
        <f t="shared" si="32"/>
        <v>0</v>
      </c>
    </row>
    <row r="251" spans="1:35" ht="20.100000000000001" hidden="1" customHeight="1">
      <c r="A251" s="15" t="str">
        <f>ÖSSZES!$A$10</f>
        <v>Név8</v>
      </c>
      <c r="B251" s="28"/>
      <c r="C251" s="28"/>
      <c r="D251" s="28"/>
      <c r="E251" s="28"/>
      <c r="F251" s="28" t="s">
        <v>2</v>
      </c>
      <c r="G251" s="28" t="s">
        <v>2</v>
      </c>
      <c r="H251" s="28"/>
      <c r="I251" s="28"/>
      <c r="J251" s="28"/>
      <c r="K251" s="28"/>
      <c r="L251" s="28"/>
      <c r="M251" s="28"/>
      <c r="N251" s="28" t="s">
        <v>2</v>
      </c>
      <c r="O251" s="28" t="s">
        <v>2</v>
      </c>
      <c r="P251" s="28"/>
      <c r="Q251" s="28"/>
      <c r="R251" s="28"/>
      <c r="S251" s="28"/>
      <c r="T251" s="28"/>
      <c r="U251" s="28"/>
      <c r="V251" s="28" t="s">
        <v>2</v>
      </c>
      <c r="W251" s="28" t="s">
        <v>2</v>
      </c>
      <c r="X251" s="28"/>
      <c r="Y251" s="28"/>
      <c r="Z251" s="28"/>
      <c r="AA251" s="28"/>
      <c r="AB251" s="28"/>
      <c r="AC251" s="28"/>
      <c r="AD251" s="28" t="s">
        <v>2</v>
      </c>
      <c r="AE251" s="28" t="s">
        <v>2</v>
      </c>
      <c r="AF251" s="17"/>
      <c r="AH251" s="12">
        <f t="shared" si="31"/>
        <v>0</v>
      </c>
      <c r="AI251" s="12">
        <f t="shared" si="32"/>
        <v>0</v>
      </c>
    </row>
    <row r="252" spans="1:35" ht="20.100000000000001" hidden="1" customHeight="1">
      <c r="A252" s="15" t="str">
        <f>ÖSSZES!$A$11</f>
        <v>Név9</v>
      </c>
      <c r="B252" s="28"/>
      <c r="C252" s="28"/>
      <c r="D252" s="28"/>
      <c r="E252" s="28"/>
      <c r="F252" s="28" t="s">
        <v>2</v>
      </c>
      <c r="G252" s="28" t="s">
        <v>2</v>
      </c>
      <c r="H252" s="28"/>
      <c r="I252" s="28"/>
      <c r="J252" s="28"/>
      <c r="K252" s="28"/>
      <c r="L252" s="28"/>
      <c r="M252" s="28"/>
      <c r="N252" s="28" t="s">
        <v>2</v>
      </c>
      <c r="O252" s="28" t="s">
        <v>2</v>
      </c>
      <c r="P252" s="28"/>
      <c r="Q252" s="28"/>
      <c r="R252" s="28"/>
      <c r="S252" s="28"/>
      <c r="T252" s="28"/>
      <c r="U252" s="28"/>
      <c r="V252" s="28" t="s">
        <v>2</v>
      </c>
      <c r="W252" s="28" t="s">
        <v>2</v>
      </c>
      <c r="X252" s="28"/>
      <c r="Y252" s="28"/>
      <c r="Z252" s="28"/>
      <c r="AA252" s="28"/>
      <c r="AB252" s="28"/>
      <c r="AC252" s="28"/>
      <c r="AD252" s="28" t="s">
        <v>2</v>
      </c>
      <c r="AE252" s="28" t="s">
        <v>2</v>
      </c>
      <c r="AF252" s="17"/>
      <c r="AH252" s="12">
        <f t="shared" si="31"/>
        <v>0</v>
      </c>
      <c r="AI252" s="12">
        <f t="shared" si="32"/>
        <v>0</v>
      </c>
    </row>
    <row r="253" spans="1:35" ht="20.100000000000001" hidden="1" customHeight="1">
      <c r="A253" s="15" t="str">
        <f>ÖSSZES!$A$12</f>
        <v>Név10</v>
      </c>
      <c r="B253" s="28"/>
      <c r="C253" s="28"/>
      <c r="D253" s="28"/>
      <c r="E253" s="28"/>
      <c r="F253" s="28" t="s">
        <v>2</v>
      </c>
      <c r="G253" s="28" t="s">
        <v>2</v>
      </c>
      <c r="H253" s="28"/>
      <c r="I253" s="28"/>
      <c r="J253" s="28"/>
      <c r="K253" s="28"/>
      <c r="L253" s="28"/>
      <c r="M253" s="28"/>
      <c r="N253" s="28" t="s">
        <v>2</v>
      </c>
      <c r="O253" s="28" t="s">
        <v>2</v>
      </c>
      <c r="P253" s="28"/>
      <c r="Q253" s="28"/>
      <c r="R253" s="28"/>
      <c r="S253" s="28"/>
      <c r="T253" s="28"/>
      <c r="U253" s="28"/>
      <c r="V253" s="28" t="s">
        <v>2</v>
      </c>
      <c r="W253" s="28" t="s">
        <v>2</v>
      </c>
      <c r="X253" s="28"/>
      <c r="Y253" s="28"/>
      <c r="Z253" s="28"/>
      <c r="AA253" s="28"/>
      <c r="AB253" s="28"/>
      <c r="AC253" s="28"/>
      <c r="AD253" s="28" t="s">
        <v>2</v>
      </c>
      <c r="AE253" s="28" t="s">
        <v>2</v>
      </c>
      <c r="AF253" s="17"/>
      <c r="AH253" s="12">
        <f t="shared" si="31"/>
        <v>0</v>
      </c>
      <c r="AI253" s="12">
        <f t="shared" si="32"/>
        <v>0</v>
      </c>
    </row>
    <row r="254" spans="1:35" ht="20.100000000000001" hidden="1" customHeight="1">
      <c r="A254" s="15" t="str">
        <f>ÖSSZES!$A$13</f>
        <v>Név11</v>
      </c>
      <c r="B254" s="28"/>
      <c r="C254" s="28"/>
      <c r="D254" s="28"/>
      <c r="E254" s="28"/>
      <c r="F254" s="28" t="s">
        <v>2</v>
      </c>
      <c r="G254" s="28" t="s">
        <v>2</v>
      </c>
      <c r="H254" s="28"/>
      <c r="I254" s="28"/>
      <c r="J254" s="28"/>
      <c r="K254" s="28"/>
      <c r="L254" s="28"/>
      <c r="M254" s="28"/>
      <c r="N254" s="28" t="s">
        <v>2</v>
      </c>
      <c r="O254" s="28" t="s">
        <v>2</v>
      </c>
      <c r="P254" s="28"/>
      <c r="Q254" s="28"/>
      <c r="R254" s="28"/>
      <c r="S254" s="28"/>
      <c r="T254" s="28"/>
      <c r="U254" s="28"/>
      <c r="V254" s="28" t="s">
        <v>2</v>
      </c>
      <c r="W254" s="28" t="s">
        <v>2</v>
      </c>
      <c r="X254" s="28"/>
      <c r="Y254" s="28"/>
      <c r="Z254" s="28"/>
      <c r="AA254" s="28"/>
      <c r="AB254" s="28"/>
      <c r="AC254" s="28"/>
      <c r="AD254" s="28" t="s">
        <v>2</v>
      </c>
      <c r="AE254" s="28" t="s">
        <v>2</v>
      </c>
      <c r="AF254" s="17"/>
      <c r="AH254" s="12">
        <f t="shared" si="31"/>
        <v>0</v>
      </c>
      <c r="AI254" s="12">
        <f t="shared" si="32"/>
        <v>0</v>
      </c>
    </row>
    <row r="255" spans="1:35" ht="20.100000000000001" hidden="1" customHeight="1">
      <c r="A255" s="15" t="str">
        <f>ÖSSZES!$A$14</f>
        <v>Név12</v>
      </c>
      <c r="B255" s="28"/>
      <c r="C255" s="28"/>
      <c r="D255" s="28"/>
      <c r="E255" s="28"/>
      <c r="F255" s="28" t="s">
        <v>2</v>
      </c>
      <c r="G255" s="28" t="s">
        <v>2</v>
      </c>
      <c r="H255" s="28"/>
      <c r="I255" s="28"/>
      <c r="J255" s="28"/>
      <c r="K255" s="28"/>
      <c r="L255" s="28"/>
      <c r="M255" s="28"/>
      <c r="N255" s="28" t="s">
        <v>2</v>
      </c>
      <c r="O255" s="28" t="s">
        <v>2</v>
      </c>
      <c r="P255" s="28"/>
      <c r="Q255" s="28"/>
      <c r="R255" s="28"/>
      <c r="S255" s="28"/>
      <c r="T255" s="28"/>
      <c r="U255" s="28"/>
      <c r="V255" s="28" t="s">
        <v>2</v>
      </c>
      <c r="W255" s="28" t="s">
        <v>2</v>
      </c>
      <c r="X255" s="28"/>
      <c r="Y255" s="28"/>
      <c r="Z255" s="28"/>
      <c r="AA255" s="28"/>
      <c r="AB255" s="28"/>
      <c r="AC255" s="28"/>
      <c r="AD255" s="28" t="s">
        <v>2</v>
      </c>
      <c r="AE255" s="28" t="s">
        <v>2</v>
      </c>
      <c r="AF255" s="17"/>
      <c r="AH255" s="12">
        <f t="shared" si="31"/>
        <v>0</v>
      </c>
      <c r="AI255" s="12">
        <f t="shared" si="32"/>
        <v>0</v>
      </c>
    </row>
    <row r="256" spans="1:35" ht="20.100000000000001" hidden="1" customHeight="1">
      <c r="A256" s="15" t="str">
        <f>ÖSSZES!$A$15</f>
        <v>Név13</v>
      </c>
      <c r="B256" s="28"/>
      <c r="C256" s="28"/>
      <c r="D256" s="28"/>
      <c r="E256" s="28"/>
      <c r="F256" s="28" t="s">
        <v>2</v>
      </c>
      <c r="G256" s="28" t="s">
        <v>2</v>
      </c>
      <c r="H256" s="28"/>
      <c r="I256" s="28"/>
      <c r="J256" s="28"/>
      <c r="K256" s="28"/>
      <c r="L256" s="28"/>
      <c r="M256" s="28"/>
      <c r="N256" s="28" t="s">
        <v>2</v>
      </c>
      <c r="O256" s="28" t="s">
        <v>2</v>
      </c>
      <c r="P256" s="28"/>
      <c r="Q256" s="28"/>
      <c r="R256" s="28"/>
      <c r="S256" s="28"/>
      <c r="T256" s="28"/>
      <c r="U256" s="28"/>
      <c r="V256" s="28" t="s">
        <v>2</v>
      </c>
      <c r="W256" s="28" t="s">
        <v>2</v>
      </c>
      <c r="X256" s="28"/>
      <c r="Y256" s="28"/>
      <c r="Z256" s="28"/>
      <c r="AA256" s="28"/>
      <c r="AB256" s="28"/>
      <c r="AC256" s="28"/>
      <c r="AD256" s="28" t="s">
        <v>2</v>
      </c>
      <c r="AE256" s="28" t="s">
        <v>2</v>
      </c>
      <c r="AF256" s="17"/>
      <c r="AH256" s="12">
        <f t="shared" si="31"/>
        <v>0</v>
      </c>
      <c r="AI256" s="12">
        <f t="shared" si="32"/>
        <v>0</v>
      </c>
    </row>
    <row r="257" spans="1:35" ht="20.100000000000001" hidden="1" customHeight="1">
      <c r="A257" s="15" t="str">
        <f>ÖSSZES!$A$16</f>
        <v>Név14</v>
      </c>
      <c r="B257" s="28"/>
      <c r="C257" s="28"/>
      <c r="D257" s="28"/>
      <c r="E257" s="28"/>
      <c r="F257" s="28" t="s">
        <v>2</v>
      </c>
      <c r="G257" s="28" t="s">
        <v>2</v>
      </c>
      <c r="H257" s="28"/>
      <c r="I257" s="28"/>
      <c r="J257" s="28"/>
      <c r="K257" s="28"/>
      <c r="L257" s="28"/>
      <c r="M257" s="28"/>
      <c r="N257" s="28" t="s">
        <v>2</v>
      </c>
      <c r="O257" s="28" t="s">
        <v>2</v>
      </c>
      <c r="P257" s="28"/>
      <c r="Q257" s="28"/>
      <c r="R257" s="28"/>
      <c r="S257" s="28"/>
      <c r="T257" s="28"/>
      <c r="U257" s="28"/>
      <c r="V257" s="28" t="s">
        <v>2</v>
      </c>
      <c r="W257" s="28" t="s">
        <v>2</v>
      </c>
      <c r="X257" s="28"/>
      <c r="Y257" s="28"/>
      <c r="Z257" s="28"/>
      <c r="AA257" s="28"/>
      <c r="AB257" s="28"/>
      <c r="AC257" s="28"/>
      <c r="AD257" s="28" t="s">
        <v>2</v>
      </c>
      <c r="AE257" s="28" t="s">
        <v>2</v>
      </c>
      <c r="AF257" s="17"/>
      <c r="AH257" s="12">
        <f t="shared" si="31"/>
        <v>0</v>
      </c>
      <c r="AI257" s="12">
        <f t="shared" si="32"/>
        <v>0</v>
      </c>
    </row>
    <row r="258" spans="1:35" ht="20.100000000000001" hidden="1" customHeight="1">
      <c r="A258" s="15" t="str">
        <f>ÖSSZES!$A$17</f>
        <v>Név15</v>
      </c>
      <c r="B258" s="28"/>
      <c r="C258" s="28"/>
      <c r="D258" s="28"/>
      <c r="E258" s="28"/>
      <c r="F258" s="28" t="s">
        <v>2</v>
      </c>
      <c r="G258" s="28" t="s">
        <v>2</v>
      </c>
      <c r="H258" s="28"/>
      <c r="I258" s="28"/>
      <c r="J258" s="28"/>
      <c r="K258" s="28"/>
      <c r="L258" s="28"/>
      <c r="M258" s="28"/>
      <c r="N258" s="28" t="s">
        <v>2</v>
      </c>
      <c r="O258" s="28" t="s">
        <v>2</v>
      </c>
      <c r="P258" s="28"/>
      <c r="Q258" s="28"/>
      <c r="R258" s="28"/>
      <c r="S258" s="28"/>
      <c r="T258" s="28"/>
      <c r="U258" s="28"/>
      <c r="V258" s="28" t="s">
        <v>2</v>
      </c>
      <c r="W258" s="28" t="s">
        <v>2</v>
      </c>
      <c r="X258" s="28"/>
      <c r="Y258" s="28"/>
      <c r="Z258" s="28"/>
      <c r="AA258" s="28"/>
      <c r="AB258" s="28"/>
      <c r="AC258" s="28"/>
      <c r="AD258" s="28" t="s">
        <v>2</v>
      </c>
      <c r="AE258" s="28" t="s">
        <v>2</v>
      </c>
      <c r="AF258" s="17"/>
      <c r="AH258" s="12">
        <f t="shared" si="31"/>
        <v>0</v>
      </c>
      <c r="AI258" s="12">
        <f t="shared" si="32"/>
        <v>0</v>
      </c>
    </row>
    <row r="259" spans="1:35" ht="20.100000000000001" hidden="1" customHeight="1">
      <c r="A259" s="15" t="str">
        <f>ÖSSZES!$A$18</f>
        <v>Név16</v>
      </c>
      <c r="B259" s="28"/>
      <c r="C259" s="28"/>
      <c r="D259" s="28"/>
      <c r="E259" s="28"/>
      <c r="F259" s="28" t="s">
        <v>2</v>
      </c>
      <c r="G259" s="28" t="s">
        <v>2</v>
      </c>
      <c r="H259" s="28"/>
      <c r="I259" s="28"/>
      <c r="J259" s="28"/>
      <c r="K259" s="28"/>
      <c r="L259" s="28"/>
      <c r="M259" s="28"/>
      <c r="N259" s="28" t="s">
        <v>2</v>
      </c>
      <c r="O259" s="28" t="s">
        <v>2</v>
      </c>
      <c r="P259" s="28"/>
      <c r="Q259" s="28"/>
      <c r="R259" s="28"/>
      <c r="S259" s="28"/>
      <c r="T259" s="28"/>
      <c r="U259" s="28"/>
      <c r="V259" s="28" t="s">
        <v>2</v>
      </c>
      <c r="W259" s="28" t="s">
        <v>2</v>
      </c>
      <c r="X259" s="28"/>
      <c r="Y259" s="28"/>
      <c r="Z259" s="28"/>
      <c r="AA259" s="28"/>
      <c r="AB259" s="28"/>
      <c r="AC259" s="28"/>
      <c r="AD259" s="28" t="s">
        <v>2</v>
      </c>
      <c r="AE259" s="28" t="s">
        <v>2</v>
      </c>
      <c r="AF259" s="17"/>
      <c r="AH259" s="12">
        <f t="shared" si="31"/>
        <v>0</v>
      </c>
      <c r="AI259" s="12">
        <f t="shared" si="32"/>
        <v>0</v>
      </c>
    </row>
    <row r="260" spans="1:35" ht="20.100000000000001" hidden="1" customHeight="1">
      <c r="A260" s="15" t="str">
        <f>ÖSSZES!$A$19</f>
        <v>Név17</v>
      </c>
      <c r="B260" s="28"/>
      <c r="C260" s="28"/>
      <c r="D260" s="28"/>
      <c r="E260" s="28"/>
      <c r="F260" s="28" t="s">
        <v>2</v>
      </c>
      <c r="G260" s="28" t="s">
        <v>2</v>
      </c>
      <c r="H260" s="28"/>
      <c r="I260" s="28"/>
      <c r="J260" s="28"/>
      <c r="K260" s="28"/>
      <c r="L260" s="28"/>
      <c r="M260" s="28"/>
      <c r="N260" s="28" t="s">
        <v>2</v>
      </c>
      <c r="O260" s="28" t="s">
        <v>2</v>
      </c>
      <c r="P260" s="28"/>
      <c r="Q260" s="28"/>
      <c r="R260" s="28"/>
      <c r="S260" s="28"/>
      <c r="T260" s="28"/>
      <c r="U260" s="28"/>
      <c r="V260" s="28" t="s">
        <v>2</v>
      </c>
      <c r="W260" s="28" t="s">
        <v>2</v>
      </c>
      <c r="X260" s="28"/>
      <c r="Y260" s="28"/>
      <c r="Z260" s="28"/>
      <c r="AA260" s="28"/>
      <c r="AB260" s="28"/>
      <c r="AC260" s="28"/>
      <c r="AD260" s="28" t="s">
        <v>2</v>
      </c>
      <c r="AE260" s="28" t="s">
        <v>2</v>
      </c>
      <c r="AF260" s="17"/>
      <c r="AH260" s="12">
        <f t="shared" si="31"/>
        <v>0</v>
      </c>
      <c r="AI260" s="12">
        <f t="shared" si="32"/>
        <v>0</v>
      </c>
    </row>
    <row r="261" spans="1:35" ht="20.100000000000001" hidden="1" customHeight="1">
      <c r="A261" s="15" t="str">
        <f>ÖSSZES!$A$20</f>
        <v>Név18</v>
      </c>
      <c r="B261" s="28"/>
      <c r="C261" s="28"/>
      <c r="D261" s="28"/>
      <c r="E261" s="28"/>
      <c r="F261" s="28" t="s">
        <v>2</v>
      </c>
      <c r="G261" s="28" t="s">
        <v>2</v>
      </c>
      <c r="H261" s="28"/>
      <c r="I261" s="28"/>
      <c r="J261" s="28"/>
      <c r="K261" s="28"/>
      <c r="L261" s="28"/>
      <c r="M261" s="28"/>
      <c r="N261" s="28" t="s">
        <v>2</v>
      </c>
      <c r="O261" s="28" t="s">
        <v>2</v>
      </c>
      <c r="P261" s="28"/>
      <c r="Q261" s="28"/>
      <c r="R261" s="28"/>
      <c r="S261" s="28"/>
      <c r="T261" s="28"/>
      <c r="U261" s="28"/>
      <c r="V261" s="28" t="s">
        <v>2</v>
      </c>
      <c r="W261" s="28" t="s">
        <v>2</v>
      </c>
      <c r="X261" s="28"/>
      <c r="Y261" s="28"/>
      <c r="Z261" s="28"/>
      <c r="AA261" s="28"/>
      <c r="AB261" s="28"/>
      <c r="AC261" s="28"/>
      <c r="AD261" s="28" t="s">
        <v>2</v>
      </c>
      <c r="AE261" s="28" t="s">
        <v>2</v>
      </c>
      <c r="AF261" s="17"/>
      <c r="AH261" s="12">
        <f t="shared" si="31"/>
        <v>0</v>
      </c>
      <c r="AI261" s="12">
        <f t="shared" si="32"/>
        <v>0</v>
      </c>
    </row>
    <row r="262" spans="1:35" ht="20.100000000000001" hidden="1" customHeight="1">
      <c r="A262" s="15" t="str">
        <f>ÖSSZES!$A$21</f>
        <v>Név19</v>
      </c>
      <c r="B262" s="28"/>
      <c r="C262" s="28"/>
      <c r="D262" s="28"/>
      <c r="E262" s="28"/>
      <c r="F262" s="28" t="s">
        <v>2</v>
      </c>
      <c r="G262" s="28" t="s">
        <v>2</v>
      </c>
      <c r="H262" s="28"/>
      <c r="I262" s="28"/>
      <c r="J262" s="28"/>
      <c r="K262" s="28"/>
      <c r="L262" s="28"/>
      <c r="M262" s="28"/>
      <c r="N262" s="28" t="s">
        <v>2</v>
      </c>
      <c r="O262" s="28" t="s">
        <v>2</v>
      </c>
      <c r="P262" s="28"/>
      <c r="Q262" s="28"/>
      <c r="R262" s="28"/>
      <c r="S262" s="28"/>
      <c r="T262" s="28"/>
      <c r="U262" s="28"/>
      <c r="V262" s="28" t="s">
        <v>2</v>
      </c>
      <c r="W262" s="28" t="s">
        <v>2</v>
      </c>
      <c r="X262" s="28"/>
      <c r="Y262" s="28"/>
      <c r="Z262" s="28"/>
      <c r="AA262" s="28"/>
      <c r="AB262" s="28"/>
      <c r="AC262" s="28"/>
      <c r="AD262" s="28" t="s">
        <v>2</v>
      </c>
      <c r="AE262" s="28" t="s">
        <v>2</v>
      </c>
      <c r="AF262" s="17"/>
      <c r="AH262" s="12">
        <f t="shared" si="31"/>
        <v>0</v>
      </c>
      <c r="AI262" s="12">
        <f t="shared" si="32"/>
        <v>0</v>
      </c>
    </row>
    <row r="263" spans="1:35" ht="20.100000000000001" hidden="1" customHeight="1">
      <c r="A263" s="15" t="str">
        <f>ÖSSZES!$A$17</f>
        <v>Név15</v>
      </c>
      <c r="B263" s="28"/>
      <c r="C263" s="28"/>
      <c r="D263" s="28"/>
      <c r="E263" s="28"/>
      <c r="F263" s="28" t="s">
        <v>2</v>
      </c>
      <c r="G263" s="28" t="s">
        <v>2</v>
      </c>
      <c r="H263" s="28"/>
      <c r="I263" s="28"/>
      <c r="J263" s="28"/>
      <c r="K263" s="28"/>
      <c r="L263" s="28"/>
      <c r="M263" s="28"/>
      <c r="N263" s="28" t="s">
        <v>2</v>
      </c>
      <c r="O263" s="28" t="s">
        <v>2</v>
      </c>
      <c r="P263" s="28"/>
      <c r="Q263" s="28"/>
      <c r="R263" s="28"/>
      <c r="S263" s="28"/>
      <c r="T263" s="28"/>
      <c r="U263" s="28"/>
      <c r="V263" s="28" t="s">
        <v>2</v>
      </c>
      <c r="W263" s="28" t="s">
        <v>2</v>
      </c>
      <c r="X263" s="28"/>
      <c r="Y263" s="28"/>
      <c r="Z263" s="28"/>
      <c r="AA263" s="28"/>
      <c r="AB263" s="28"/>
      <c r="AC263" s="28"/>
      <c r="AD263" s="28" t="s">
        <v>2</v>
      </c>
      <c r="AE263" s="28" t="s">
        <v>2</v>
      </c>
      <c r="AF263" s="17"/>
      <c r="AH263" s="12">
        <f t="shared" si="31"/>
        <v>0</v>
      </c>
      <c r="AI263" s="12">
        <f t="shared" si="32"/>
        <v>0</v>
      </c>
    </row>
    <row r="264" spans="1:35" s="18" customFormat="1" ht="20.100000000000001" customHeight="1">
      <c r="A264" s="10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H264" s="23"/>
      <c r="AI264" s="23"/>
    </row>
    <row r="265" spans="1:35" s="21" customFormat="1" ht="20.100000000000001" customHeight="1">
      <c r="A265" s="43" t="s">
        <v>16</v>
      </c>
      <c r="B265" s="20">
        <v>1</v>
      </c>
      <c r="C265" s="20">
        <v>2</v>
      </c>
      <c r="D265" s="20">
        <v>3</v>
      </c>
      <c r="E265" s="20">
        <v>4</v>
      </c>
      <c r="F265" s="20">
        <v>5</v>
      </c>
      <c r="G265" s="20">
        <v>6</v>
      </c>
      <c r="H265" s="20">
        <v>7</v>
      </c>
      <c r="I265" s="20">
        <v>8</v>
      </c>
      <c r="J265" s="20">
        <v>9</v>
      </c>
      <c r="K265" s="20">
        <v>10</v>
      </c>
      <c r="L265" s="20">
        <v>11</v>
      </c>
      <c r="M265" s="20">
        <v>12</v>
      </c>
      <c r="N265" s="20">
        <v>13</v>
      </c>
      <c r="O265" s="20">
        <v>14</v>
      </c>
      <c r="P265" s="20">
        <v>15</v>
      </c>
      <c r="Q265" s="20">
        <v>16</v>
      </c>
      <c r="R265" s="20">
        <v>17</v>
      </c>
      <c r="S265" s="20">
        <v>18</v>
      </c>
      <c r="T265" s="20">
        <v>19</v>
      </c>
      <c r="U265" s="20">
        <v>20</v>
      </c>
      <c r="V265" s="20">
        <v>21</v>
      </c>
      <c r="W265" s="20">
        <v>22</v>
      </c>
      <c r="X265" s="20">
        <v>23</v>
      </c>
      <c r="Y265" s="20">
        <v>24</v>
      </c>
      <c r="Z265" s="19">
        <v>25</v>
      </c>
      <c r="AA265" s="19">
        <v>26</v>
      </c>
      <c r="AB265" s="20">
        <v>27</v>
      </c>
      <c r="AC265" s="20">
        <v>28</v>
      </c>
      <c r="AD265" s="20">
        <v>29</v>
      </c>
      <c r="AE265" s="20">
        <v>30</v>
      </c>
      <c r="AF265" s="20">
        <v>31</v>
      </c>
      <c r="AH265" s="43" t="s">
        <v>18</v>
      </c>
      <c r="AI265" s="43" t="s">
        <v>19</v>
      </c>
    </row>
    <row r="266" spans="1:35" ht="20.100000000000001" customHeight="1">
      <c r="A266" s="44"/>
      <c r="B266" s="22" t="str">
        <f>'2021'!B92</f>
        <v>Sze</v>
      </c>
      <c r="C266" s="22" t="str">
        <f>'2021'!C92</f>
        <v>Cs</v>
      </c>
      <c r="D266" s="22" t="str">
        <f>'2021'!D92</f>
        <v>P</v>
      </c>
      <c r="E266" s="22" t="str">
        <f>'2021'!E92</f>
        <v>Szo</v>
      </c>
      <c r="F266" s="22" t="str">
        <f>'2021'!F92</f>
        <v>V</v>
      </c>
      <c r="G266" s="22" t="str">
        <f>'2021'!G92</f>
        <v>H</v>
      </c>
      <c r="H266" s="22" t="str">
        <f>'2021'!H92</f>
        <v>K</v>
      </c>
      <c r="I266" s="22" t="str">
        <f>'2021'!I92</f>
        <v>Sze</v>
      </c>
      <c r="J266" s="22" t="str">
        <f>'2021'!J92</f>
        <v>Cs</v>
      </c>
      <c r="K266" s="22" t="str">
        <f>'2021'!K92</f>
        <v>P</v>
      </c>
      <c r="L266" s="22" t="str">
        <f>'2021'!L92</f>
        <v>Szo</v>
      </c>
      <c r="M266" s="22" t="str">
        <f>'2021'!M92</f>
        <v>V</v>
      </c>
      <c r="N266" s="22" t="str">
        <f>'2021'!N92</f>
        <v>H</v>
      </c>
      <c r="O266" s="22" t="str">
        <f>'2021'!O92</f>
        <v>K</v>
      </c>
      <c r="P266" s="22" t="str">
        <f>'2021'!P92</f>
        <v>Sze</v>
      </c>
      <c r="Q266" s="22" t="str">
        <f>'2021'!Q92</f>
        <v>Cs</v>
      </c>
      <c r="R266" s="22" t="str">
        <f>'2021'!R92</f>
        <v>P</v>
      </c>
      <c r="S266" s="22" t="str">
        <f>'2021'!S92</f>
        <v>Szo</v>
      </c>
      <c r="T266" s="22" t="str">
        <f>'2021'!T92</f>
        <v>V</v>
      </c>
      <c r="U266" s="22" t="str">
        <f>'2021'!U92</f>
        <v>H</v>
      </c>
      <c r="V266" s="22" t="str">
        <f>'2021'!V92</f>
        <v>K</v>
      </c>
      <c r="W266" s="22" t="str">
        <f>'2021'!W92</f>
        <v>Sze</v>
      </c>
      <c r="X266" s="22" t="str">
        <f>'2021'!X92</f>
        <v>Cs</v>
      </c>
      <c r="Y266" s="22" t="str">
        <f>'2021'!Y92</f>
        <v>P</v>
      </c>
      <c r="Z266" s="22" t="str">
        <f>'2021'!Z92</f>
        <v>Szo</v>
      </c>
      <c r="AA266" s="22" t="str">
        <f>'2021'!AA92</f>
        <v>V</v>
      </c>
      <c r="AB266" s="22" t="str">
        <f>'2021'!AB92</f>
        <v>H</v>
      </c>
      <c r="AC266" s="22" t="str">
        <f>'2021'!AC92</f>
        <v>K</v>
      </c>
      <c r="AD266" s="22" t="str">
        <f>'2021'!AD92</f>
        <v>Sze</v>
      </c>
      <c r="AE266" s="22" t="str">
        <f>'2021'!AE92</f>
        <v>Cs</v>
      </c>
      <c r="AF266" s="22" t="str">
        <f>'2021'!AF92</f>
        <v>P</v>
      </c>
      <c r="AH266" s="45"/>
      <c r="AI266" s="45"/>
    </row>
    <row r="267" spans="1:35" ht="20.100000000000001" customHeight="1">
      <c r="A267" s="45"/>
      <c r="B267" s="22">
        <f>'2021'!B93</f>
        <v>2</v>
      </c>
      <c r="C267" s="22">
        <f>'2021'!C93</f>
        <v>2</v>
      </c>
      <c r="D267" s="22">
        <f>'2021'!D93</f>
        <v>2</v>
      </c>
      <c r="E267" s="22">
        <f>'2021'!E93</f>
        <v>2</v>
      </c>
      <c r="F267" s="22">
        <f>'2021'!F93</f>
        <v>2</v>
      </c>
      <c r="G267" s="22">
        <f>'2021'!G93</f>
        <v>2</v>
      </c>
      <c r="H267" s="22" t="str">
        <f>'2021'!H93</f>
        <v>X</v>
      </c>
      <c r="I267" s="22" t="str">
        <f>'2021'!I93</f>
        <v>X</v>
      </c>
      <c r="J267" s="22">
        <f>'2021'!J93</f>
        <v>1</v>
      </c>
      <c r="K267" s="22">
        <f>'2021'!K93</f>
        <v>1</v>
      </c>
      <c r="L267" s="22">
        <f>'2021'!L93</f>
        <v>1</v>
      </c>
      <c r="M267" s="22">
        <f>'2021'!M93</f>
        <v>1</v>
      </c>
      <c r="N267" s="22">
        <f>'2021'!N93</f>
        <v>1</v>
      </c>
      <c r="O267" s="22">
        <f>'2021'!O93</f>
        <v>1</v>
      </c>
      <c r="P267" s="22" t="str">
        <f>'2021'!P93</f>
        <v>X</v>
      </c>
      <c r="Q267" s="22" t="str">
        <f>'2021'!Q93</f>
        <v>X</v>
      </c>
      <c r="R267" s="22">
        <f>'2021'!R93</f>
        <v>3</v>
      </c>
      <c r="S267" s="22">
        <f>'2021'!S93</f>
        <v>3</v>
      </c>
      <c r="T267" s="22">
        <f>'2021'!T93</f>
        <v>3</v>
      </c>
      <c r="U267" s="22">
        <f>'2021'!U93</f>
        <v>3</v>
      </c>
      <c r="V267" s="22">
        <f>'2021'!V93</f>
        <v>3</v>
      </c>
      <c r="W267" s="22">
        <f>'2021'!W93</f>
        <v>3</v>
      </c>
      <c r="X267" s="22" t="str">
        <f>'2021'!X93</f>
        <v>X</v>
      </c>
      <c r="Y267" s="22" t="str">
        <f>'2021'!Y93</f>
        <v>X</v>
      </c>
      <c r="Z267" s="22">
        <f>'2021'!Z93</f>
        <v>2</v>
      </c>
      <c r="AA267" s="22">
        <f>'2021'!AA93</f>
        <v>2</v>
      </c>
      <c r="AB267" s="22">
        <f>'2021'!AB93</f>
        <v>2</v>
      </c>
      <c r="AC267" s="22">
        <f>'2021'!AC93</f>
        <v>2</v>
      </c>
      <c r="AD267" s="22">
        <f>'2021'!AD93</f>
        <v>2</v>
      </c>
      <c r="AE267" s="22">
        <f>'2021'!AE93</f>
        <v>2</v>
      </c>
      <c r="AF267" s="22" t="str">
        <f>'2021'!AF93</f>
        <v>X</v>
      </c>
      <c r="AH267" s="45"/>
      <c r="AI267" s="45"/>
    </row>
    <row r="268" spans="1:35" ht="20.100000000000001" customHeight="1">
      <c r="A268" s="15" t="str">
        <f>ÖSSZES!$A$3</f>
        <v>Csuka Lajos</v>
      </c>
      <c r="B268" s="28"/>
      <c r="C268" s="28"/>
      <c r="D268" s="28"/>
      <c r="E268" s="28"/>
      <c r="F268" s="28"/>
      <c r="G268" s="28"/>
      <c r="H268" s="28" t="s">
        <v>2</v>
      </c>
      <c r="I268" s="28" t="s">
        <v>2</v>
      </c>
      <c r="J268" s="28"/>
      <c r="K268" s="28"/>
      <c r="L268" s="28"/>
      <c r="M268" s="28"/>
      <c r="N268" s="28"/>
      <c r="O268" s="28"/>
      <c r="P268" s="28" t="s">
        <v>2</v>
      </c>
      <c r="Q268" s="28" t="s">
        <v>2</v>
      </c>
      <c r="R268" s="28"/>
      <c r="S268" s="28"/>
      <c r="T268" s="28"/>
      <c r="U268" s="28"/>
      <c r="V268" s="28"/>
      <c r="W268" s="28"/>
      <c r="X268" s="28" t="s">
        <v>2</v>
      </c>
      <c r="Y268" s="28" t="s">
        <v>2</v>
      </c>
      <c r="Z268" s="28"/>
      <c r="AA268" s="28"/>
      <c r="AB268" s="28"/>
      <c r="AC268" s="28"/>
      <c r="AD268" s="28"/>
      <c r="AE268" s="28"/>
      <c r="AF268" s="28" t="s">
        <v>2</v>
      </c>
      <c r="AH268" s="12">
        <f>1*COUNTIF(A268:AF268,"+")</f>
        <v>0</v>
      </c>
      <c r="AI268" s="12">
        <f t="shared" ref="AI268" si="33">1*COUNTIF(B268:AF268,"szf")</f>
        <v>0</v>
      </c>
    </row>
    <row r="269" spans="1:35" ht="20.100000000000001" customHeight="1">
      <c r="A269" s="15" t="str">
        <f>ÖSSZES!$A$4</f>
        <v>Batiz Attila</v>
      </c>
      <c r="B269" s="28"/>
      <c r="C269" s="28"/>
      <c r="D269" s="28"/>
      <c r="E269" s="28"/>
      <c r="F269" s="28"/>
      <c r="G269" s="28"/>
      <c r="H269" s="28" t="s">
        <v>2</v>
      </c>
      <c r="I269" s="28" t="s">
        <v>2</v>
      </c>
      <c r="J269" s="28"/>
      <c r="K269" s="28"/>
      <c r="L269" s="28"/>
      <c r="M269" s="28"/>
      <c r="N269" s="28"/>
      <c r="O269" s="28"/>
      <c r="P269" s="28" t="s">
        <v>2</v>
      </c>
      <c r="Q269" s="28" t="s">
        <v>2</v>
      </c>
      <c r="R269" s="28"/>
      <c r="S269" s="28"/>
      <c r="T269" s="28"/>
      <c r="U269" s="28"/>
      <c r="V269" s="28"/>
      <c r="W269" s="28"/>
      <c r="X269" s="28" t="s">
        <v>2</v>
      </c>
      <c r="Y269" s="28" t="s">
        <v>2</v>
      </c>
      <c r="Z269" s="28"/>
      <c r="AA269" s="28"/>
      <c r="AB269" s="28"/>
      <c r="AC269" s="28"/>
      <c r="AD269" s="28"/>
      <c r="AE269" s="28"/>
      <c r="AF269" s="28" t="s">
        <v>2</v>
      </c>
      <c r="AH269" s="12">
        <f t="shared" ref="AH269:AH287" si="34">1*COUNTIF(A269:AF269,"+")</f>
        <v>0</v>
      </c>
      <c r="AI269" s="12">
        <f t="shared" ref="AI269:AI287" si="35">1*COUNTIF(B269:AF269,"szf")</f>
        <v>0</v>
      </c>
    </row>
    <row r="270" spans="1:35" ht="20.100000000000001" customHeight="1">
      <c r="A270" s="15" t="str">
        <f>ÖSSZES!$A$5</f>
        <v>Füredi Antal</v>
      </c>
      <c r="B270" s="28"/>
      <c r="C270" s="28"/>
      <c r="D270" s="28"/>
      <c r="E270" s="28"/>
      <c r="F270" s="28"/>
      <c r="G270" s="28"/>
      <c r="H270" s="28" t="s">
        <v>2</v>
      </c>
      <c r="I270" s="28" t="s">
        <v>2</v>
      </c>
      <c r="J270" s="28"/>
      <c r="K270" s="28"/>
      <c r="L270" s="28"/>
      <c r="M270" s="28"/>
      <c r="N270" s="28"/>
      <c r="O270" s="28"/>
      <c r="P270" s="28" t="s">
        <v>2</v>
      </c>
      <c r="Q270" s="28" t="s">
        <v>2</v>
      </c>
      <c r="R270" s="28"/>
      <c r="S270" s="28"/>
      <c r="T270" s="28"/>
      <c r="U270" s="28"/>
      <c r="V270" s="28"/>
      <c r="W270" s="28"/>
      <c r="X270" s="28" t="s">
        <v>2</v>
      </c>
      <c r="Y270" s="28" t="s">
        <v>2</v>
      </c>
      <c r="Z270" s="28"/>
      <c r="AA270" s="28"/>
      <c r="AB270" s="28"/>
      <c r="AC270" s="28"/>
      <c r="AD270" s="28"/>
      <c r="AE270" s="28"/>
      <c r="AF270" s="28" t="s">
        <v>2</v>
      </c>
      <c r="AH270" s="12">
        <f t="shared" si="34"/>
        <v>0</v>
      </c>
      <c r="AI270" s="12">
        <f t="shared" si="35"/>
        <v>0</v>
      </c>
    </row>
    <row r="271" spans="1:35" ht="20.100000000000001" customHeight="1">
      <c r="A271" s="15" t="str">
        <f>ÖSSZES!$A$6</f>
        <v>Iványi István</v>
      </c>
      <c r="B271" s="28"/>
      <c r="C271" s="28"/>
      <c r="D271" s="28"/>
      <c r="E271" s="28"/>
      <c r="F271" s="28"/>
      <c r="G271" s="28"/>
      <c r="H271" s="28" t="s">
        <v>2</v>
      </c>
      <c r="I271" s="28" t="s">
        <v>2</v>
      </c>
      <c r="J271" s="28"/>
      <c r="K271" s="28"/>
      <c r="L271" s="28"/>
      <c r="M271" s="28"/>
      <c r="N271" s="28"/>
      <c r="O271" s="28"/>
      <c r="P271" s="28" t="s">
        <v>2</v>
      </c>
      <c r="Q271" s="28" t="s">
        <v>2</v>
      </c>
      <c r="R271" s="28"/>
      <c r="S271" s="28"/>
      <c r="T271" s="28"/>
      <c r="U271" s="28"/>
      <c r="V271" s="28"/>
      <c r="W271" s="28"/>
      <c r="X271" s="28" t="s">
        <v>2</v>
      </c>
      <c r="Y271" s="28" t="s">
        <v>2</v>
      </c>
      <c r="Z271" s="28"/>
      <c r="AA271" s="28"/>
      <c r="AB271" s="28"/>
      <c r="AC271" s="28"/>
      <c r="AD271" s="28"/>
      <c r="AE271" s="28"/>
      <c r="AF271" s="28" t="s">
        <v>2</v>
      </c>
      <c r="AH271" s="12">
        <f t="shared" si="34"/>
        <v>0</v>
      </c>
      <c r="AI271" s="12">
        <f t="shared" si="35"/>
        <v>0</v>
      </c>
    </row>
    <row r="272" spans="1:35" ht="20.100000000000001" customHeight="1">
      <c r="A272" s="15" t="str">
        <f>ÖSSZES!$A$7</f>
        <v>Katonka Tibor</v>
      </c>
      <c r="B272" s="28"/>
      <c r="C272" s="28"/>
      <c r="D272" s="28"/>
      <c r="E272" s="28"/>
      <c r="F272" s="28"/>
      <c r="G272" s="28"/>
      <c r="H272" s="28" t="s">
        <v>2</v>
      </c>
      <c r="I272" s="28" t="s">
        <v>2</v>
      </c>
      <c r="J272" s="28"/>
      <c r="K272" s="28"/>
      <c r="L272" s="28"/>
      <c r="M272" s="28"/>
      <c r="N272" s="28"/>
      <c r="O272" s="28"/>
      <c r="P272" s="28" t="s">
        <v>2</v>
      </c>
      <c r="Q272" s="28" t="s">
        <v>2</v>
      </c>
      <c r="R272" s="28"/>
      <c r="S272" s="28"/>
      <c r="T272" s="28"/>
      <c r="U272" s="28"/>
      <c r="V272" s="28"/>
      <c r="W272" s="28"/>
      <c r="X272" s="28" t="s">
        <v>2</v>
      </c>
      <c r="Y272" s="28" t="s">
        <v>2</v>
      </c>
      <c r="Z272" s="28"/>
      <c r="AA272" s="28"/>
      <c r="AB272" s="28"/>
      <c r="AC272" s="28"/>
      <c r="AD272" s="28"/>
      <c r="AE272" s="28"/>
      <c r="AF272" s="28" t="s">
        <v>2</v>
      </c>
      <c r="AH272" s="12">
        <f t="shared" si="34"/>
        <v>0</v>
      </c>
      <c r="AI272" s="12">
        <f t="shared" si="35"/>
        <v>0</v>
      </c>
    </row>
    <row r="273" spans="1:35" ht="20.100000000000001" customHeight="1">
      <c r="A273" s="15" t="str">
        <f>ÖSSZES!$A$8</f>
        <v>Mizsák Péter</v>
      </c>
      <c r="B273" s="28"/>
      <c r="C273" s="28"/>
      <c r="D273" s="28"/>
      <c r="E273" s="28"/>
      <c r="F273" s="28"/>
      <c r="G273" s="28"/>
      <c r="H273" s="28" t="s">
        <v>2</v>
      </c>
      <c r="I273" s="28" t="s">
        <v>2</v>
      </c>
      <c r="J273" s="28"/>
      <c r="K273" s="28"/>
      <c r="L273" s="28"/>
      <c r="M273" s="28"/>
      <c r="N273" s="28"/>
      <c r="O273" s="28"/>
      <c r="P273" s="28" t="s">
        <v>2</v>
      </c>
      <c r="Q273" s="28" t="s">
        <v>2</v>
      </c>
      <c r="R273" s="28"/>
      <c r="S273" s="28"/>
      <c r="T273" s="28"/>
      <c r="U273" s="28"/>
      <c r="V273" s="28"/>
      <c r="W273" s="28"/>
      <c r="X273" s="28" t="s">
        <v>2</v>
      </c>
      <c r="Y273" s="28" t="s">
        <v>2</v>
      </c>
      <c r="Z273" s="28"/>
      <c r="AA273" s="28"/>
      <c r="AB273" s="28"/>
      <c r="AC273" s="28"/>
      <c r="AD273" s="28"/>
      <c r="AE273" s="28"/>
      <c r="AF273" s="28" t="s">
        <v>2</v>
      </c>
      <c r="AH273" s="12">
        <f t="shared" si="34"/>
        <v>0</v>
      </c>
      <c r="AI273" s="12">
        <f t="shared" si="35"/>
        <v>0</v>
      </c>
    </row>
    <row r="274" spans="1:35" ht="20.100000000000001" customHeight="1">
      <c r="A274" s="15" t="str">
        <f>ÖSSZES!$A$9</f>
        <v>Vatamány Gergő</v>
      </c>
      <c r="B274" s="28"/>
      <c r="C274" s="28"/>
      <c r="D274" s="28"/>
      <c r="E274" s="28"/>
      <c r="F274" s="28"/>
      <c r="G274" s="28"/>
      <c r="H274" s="28" t="s">
        <v>2</v>
      </c>
      <c r="I274" s="28" t="s">
        <v>2</v>
      </c>
      <c r="J274" s="28"/>
      <c r="K274" s="28"/>
      <c r="L274" s="28"/>
      <c r="M274" s="28"/>
      <c r="N274" s="28"/>
      <c r="O274" s="28"/>
      <c r="P274" s="28" t="s">
        <v>2</v>
      </c>
      <c r="Q274" s="28" t="s">
        <v>2</v>
      </c>
      <c r="R274" s="28"/>
      <c r="S274" s="28"/>
      <c r="T274" s="28"/>
      <c r="U274" s="28"/>
      <c r="V274" s="28"/>
      <c r="W274" s="28"/>
      <c r="X274" s="28" t="s">
        <v>2</v>
      </c>
      <c r="Y274" s="28" t="s">
        <v>2</v>
      </c>
      <c r="Z274" s="28"/>
      <c r="AA274" s="28"/>
      <c r="AB274" s="28"/>
      <c r="AC274" s="28"/>
      <c r="AD274" s="28"/>
      <c r="AE274" s="28"/>
      <c r="AF274" s="28" t="s">
        <v>2</v>
      </c>
      <c r="AH274" s="12">
        <f t="shared" si="34"/>
        <v>0</v>
      </c>
      <c r="AI274" s="12">
        <f t="shared" si="35"/>
        <v>0</v>
      </c>
    </row>
    <row r="275" spans="1:35" ht="20.100000000000001" hidden="1" customHeight="1">
      <c r="A275" s="15" t="str">
        <f>ÖSSZES!$A$10</f>
        <v>Név8</v>
      </c>
      <c r="B275" s="28"/>
      <c r="C275" s="28"/>
      <c r="D275" s="28"/>
      <c r="E275" s="28"/>
      <c r="F275" s="28"/>
      <c r="G275" s="28"/>
      <c r="H275" s="28" t="s">
        <v>2</v>
      </c>
      <c r="I275" s="28" t="s">
        <v>2</v>
      </c>
      <c r="J275" s="28"/>
      <c r="K275" s="28"/>
      <c r="L275" s="28"/>
      <c r="M275" s="28"/>
      <c r="N275" s="28"/>
      <c r="O275" s="28"/>
      <c r="P275" s="28" t="s">
        <v>2</v>
      </c>
      <c r="Q275" s="28" t="s">
        <v>2</v>
      </c>
      <c r="R275" s="28"/>
      <c r="S275" s="28"/>
      <c r="T275" s="28"/>
      <c r="U275" s="28"/>
      <c r="V275" s="28"/>
      <c r="W275" s="28"/>
      <c r="X275" s="28" t="s">
        <v>2</v>
      </c>
      <c r="Y275" s="28" t="s">
        <v>2</v>
      </c>
      <c r="Z275" s="28"/>
      <c r="AA275" s="28"/>
      <c r="AB275" s="28"/>
      <c r="AC275" s="28"/>
      <c r="AD275" s="28"/>
      <c r="AE275" s="28"/>
      <c r="AF275" s="28" t="s">
        <v>2</v>
      </c>
      <c r="AH275" s="12">
        <f t="shared" si="34"/>
        <v>0</v>
      </c>
      <c r="AI275" s="12">
        <f t="shared" si="35"/>
        <v>0</v>
      </c>
    </row>
    <row r="276" spans="1:35" ht="20.100000000000001" hidden="1" customHeight="1">
      <c r="A276" s="15" t="str">
        <f>ÖSSZES!$A$11</f>
        <v>Név9</v>
      </c>
      <c r="B276" s="28"/>
      <c r="C276" s="28"/>
      <c r="D276" s="28"/>
      <c r="E276" s="28"/>
      <c r="F276" s="28"/>
      <c r="G276" s="28"/>
      <c r="H276" s="28" t="s">
        <v>2</v>
      </c>
      <c r="I276" s="28" t="s">
        <v>2</v>
      </c>
      <c r="J276" s="28"/>
      <c r="K276" s="28"/>
      <c r="L276" s="28"/>
      <c r="M276" s="28"/>
      <c r="N276" s="28"/>
      <c r="O276" s="28"/>
      <c r="P276" s="28" t="s">
        <v>2</v>
      </c>
      <c r="Q276" s="28" t="s">
        <v>2</v>
      </c>
      <c r="R276" s="28"/>
      <c r="S276" s="28"/>
      <c r="T276" s="28"/>
      <c r="U276" s="28"/>
      <c r="V276" s="28"/>
      <c r="W276" s="28"/>
      <c r="X276" s="28" t="s">
        <v>2</v>
      </c>
      <c r="Y276" s="28" t="s">
        <v>2</v>
      </c>
      <c r="Z276" s="28"/>
      <c r="AA276" s="28"/>
      <c r="AB276" s="28"/>
      <c r="AC276" s="28"/>
      <c r="AD276" s="28"/>
      <c r="AE276" s="28"/>
      <c r="AF276" s="28" t="s">
        <v>2</v>
      </c>
      <c r="AH276" s="12">
        <f t="shared" si="34"/>
        <v>0</v>
      </c>
      <c r="AI276" s="12">
        <f t="shared" si="35"/>
        <v>0</v>
      </c>
    </row>
    <row r="277" spans="1:35" ht="20.100000000000001" hidden="1" customHeight="1">
      <c r="A277" s="15" t="str">
        <f>ÖSSZES!$A$12</f>
        <v>Név10</v>
      </c>
      <c r="B277" s="28"/>
      <c r="C277" s="28"/>
      <c r="D277" s="28"/>
      <c r="E277" s="28"/>
      <c r="F277" s="28"/>
      <c r="G277" s="28"/>
      <c r="H277" s="28" t="s">
        <v>2</v>
      </c>
      <c r="I277" s="28" t="s">
        <v>2</v>
      </c>
      <c r="J277" s="28"/>
      <c r="K277" s="28"/>
      <c r="L277" s="28"/>
      <c r="M277" s="28"/>
      <c r="N277" s="28"/>
      <c r="O277" s="28"/>
      <c r="P277" s="28" t="s">
        <v>2</v>
      </c>
      <c r="Q277" s="28" t="s">
        <v>2</v>
      </c>
      <c r="R277" s="28"/>
      <c r="S277" s="28"/>
      <c r="T277" s="28"/>
      <c r="U277" s="28"/>
      <c r="V277" s="28"/>
      <c r="W277" s="28"/>
      <c r="X277" s="28" t="s">
        <v>2</v>
      </c>
      <c r="Y277" s="28" t="s">
        <v>2</v>
      </c>
      <c r="Z277" s="28"/>
      <c r="AA277" s="28"/>
      <c r="AB277" s="28"/>
      <c r="AC277" s="28"/>
      <c r="AD277" s="28"/>
      <c r="AE277" s="28"/>
      <c r="AF277" s="28" t="s">
        <v>2</v>
      </c>
      <c r="AH277" s="12">
        <f t="shared" si="34"/>
        <v>0</v>
      </c>
      <c r="AI277" s="12">
        <f t="shared" si="35"/>
        <v>0</v>
      </c>
    </row>
    <row r="278" spans="1:35" ht="20.100000000000001" hidden="1" customHeight="1">
      <c r="A278" s="15" t="str">
        <f>ÖSSZES!$A$13</f>
        <v>Név11</v>
      </c>
      <c r="B278" s="28"/>
      <c r="C278" s="28"/>
      <c r="D278" s="28"/>
      <c r="E278" s="28"/>
      <c r="F278" s="28"/>
      <c r="G278" s="28"/>
      <c r="H278" s="28" t="s">
        <v>2</v>
      </c>
      <c r="I278" s="28" t="s">
        <v>2</v>
      </c>
      <c r="J278" s="28"/>
      <c r="K278" s="28"/>
      <c r="L278" s="28"/>
      <c r="M278" s="28"/>
      <c r="N278" s="28"/>
      <c r="O278" s="28"/>
      <c r="P278" s="28" t="s">
        <v>2</v>
      </c>
      <c r="Q278" s="28" t="s">
        <v>2</v>
      </c>
      <c r="R278" s="28"/>
      <c r="S278" s="28"/>
      <c r="T278" s="28"/>
      <c r="U278" s="28"/>
      <c r="V278" s="28"/>
      <c r="W278" s="28"/>
      <c r="X278" s="28" t="s">
        <v>2</v>
      </c>
      <c r="Y278" s="28" t="s">
        <v>2</v>
      </c>
      <c r="Z278" s="28"/>
      <c r="AA278" s="28"/>
      <c r="AB278" s="28"/>
      <c r="AC278" s="28"/>
      <c r="AD278" s="28"/>
      <c r="AE278" s="28"/>
      <c r="AF278" s="28" t="s">
        <v>2</v>
      </c>
      <c r="AH278" s="12">
        <f t="shared" si="34"/>
        <v>0</v>
      </c>
      <c r="AI278" s="12">
        <f t="shared" si="35"/>
        <v>0</v>
      </c>
    </row>
    <row r="279" spans="1:35" ht="20.100000000000001" hidden="1" customHeight="1">
      <c r="A279" s="15" t="str">
        <f>ÖSSZES!$A$14</f>
        <v>Név12</v>
      </c>
      <c r="B279" s="28"/>
      <c r="C279" s="28"/>
      <c r="D279" s="28"/>
      <c r="E279" s="28"/>
      <c r="F279" s="28"/>
      <c r="G279" s="28"/>
      <c r="H279" s="28" t="s">
        <v>2</v>
      </c>
      <c r="I279" s="28" t="s">
        <v>2</v>
      </c>
      <c r="J279" s="28"/>
      <c r="K279" s="28"/>
      <c r="L279" s="28"/>
      <c r="M279" s="28"/>
      <c r="N279" s="28"/>
      <c r="O279" s="28"/>
      <c r="P279" s="28" t="s">
        <v>2</v>
      </c>
      <c r="Q279" s="28" t="s">
        <v>2</v>
      </c>
      <c r="R279" s="28"/>
      <c r="S279" s="28"/>
      <c r="T279" s="28"/>
      <c r="U279" s="28"/>
      <c r="V279" s="28"/>
      <c r="W279" s="28"/>
      <c r="X279" s="28" t="s">
        <v>2</v>
      </c>
      <c r="Y279" s="28" t="s">
        <v>2</v>
      </c>
      <c r="Z279" s="28"/>
      <c r="AA279" s="28"/>
      <c r="AB279" s="28"/>
      <c r="AC279" s="28"/>
      <c r="AD279" s="28"/>
      <c r="AE279" s="28"/>
      <c r="AF279" s="28" t="s">
        <v>2</v>
      </c>
      <c r="AH279" s="12">
        <f t="shared" si="34"/>
        <v>0</v>
      </c>
      <c r="AI279" s="12">
        <f t="shared" si="35"/>
        <v>0</v>
      </c>
    </row>
    <row r="280" spans="1:35" ht="20.100000000000001" hidden="1" customHeight="1">
      <c r="A280" s="15" t="str">
        <f>ÖSSZES!$A$15</f>
        <v>Név13</v>
      </c>
      <c r="B280" s="28"/>
      <c r="C280" s="28"/>
      <c r="D280" s="28"/>
      <c r="E280" s="28"/>
      <c r="F280" s="28"/>
      <c r="G280" s="28"/>
      <c r="H280" s="28" t="s">
        <v>2</v>
      </c>
      <c r="I280" s="28" t="s">
        <v>2</v>
      </c>
      <c r="J280" s="28"/>
      <c r="K280" s="28"/>
      <c r="L280" s="28"/>
      <c r="M280" s="28"/>
      <c r="N280" s="28"/>
      <c r="O280" s="28"/>
      <c r="P280" s="28" t="s">
        <v>2</v>
      </c>
      <c r="Q280" s="28" t="s">
        <v>2</v>
      </c>
      <c r="R280" s="28"/>
      <c r="S280" s="28"/>
      <c r="T280" s="28"/>
      <c r="U280" s="28"/>
      <c r="V280" s="28"/>
      <c r="W280" s="28"/>
      <c r="X280" s="28" t="s">
        <v>2</v>
      </c>
      <c r="Y280" s="28" t="s">
        <v>2</v>
      </c>
      <c r="Z280" s="28"/>
      <c r="AA280" s="28"/>
      <c r="AB280" s="28"/>
      <c r="AC280" s="28"/>
      <c r="AD280" s="28"/>
      <c r="AE280" s="28"/>
      <c r="AF280" s="28" t="s">
        <v>2</v>
      </c>
      <c r="AH280" s="12">
        <f t="shared" si="34"/>
        <v>0</v>
      </c>
      <c r="AI280" s="12">
        <f t="shared" si="35"/>
        <v>0</v>
      </c>
    </row>
    <row r="281" spans="1:35" ht="20.100000000000001" hidden="1" customHeight="1">
      <c r="A281" s="15" t="str">
        <f>ÖSSZES!$A$16</f>
        <v>Név14</v>
      </c>
      <c r="B281" s="28"/>
      <c r="C281" s="28"/>
      <c r="D281" s="28"/>
      <c r="E281" s="28"/>
      <c r="F281" s="28"/>
      <c r="G281" s="28"/>
      <c r="H281" s="28" t="s">
        <v>2</v>
      </c>
      <c r="I281" s="28" t="s">
        <v>2</v>
      </c>
      <c r="J281" s="28"/>
      <c r="K281" s="28"/>
      <c r="L281" s="28"/>
      <c r="M281" s="28"/>
      <c r="N281" s="28"/>
      <c r="O281" s="28"/>
      <c r="P281" s="28" t="s">
        <v>2</v>
      </c>
      <c r="Q281" s="28" t="s">
        <v>2</v>
      </c>
      <c r="R281" s="28"/>
      <c r="S281" s="28"/>
      <c r="T281" s="28"/>
      <c r="U281" s="28"/>
      <c r="V281" s="28"/>
      <c r="W281" s="28"/>
      <c r="X281" s="28" t="s">
        <v>2</v>
      </c>
      <c r="Y281" s="28" t="s">
        <v>2</v>
      </c>
      <c r="Z281" s="28"/>
      <c r="AA281" s="28"/>
      <c r="AB281" s="28"/>
      <c r="AC281" s="28"/>
      <c r="AD281" s="28"/>
      <c r="AE281" s="28"/>
      <c r="AF281" s="28" t="s">
        <v>2</v>
      </c>
      <c r="AH281" s="12">
        <f t="shared" si="34"/>
        <v>0</v>
      </c>
      <c r="AI281" s="12">
        <f t="shared" si="35"/>
        <v>0</v>
      </c>
    </row>
    <row r="282" spans="1:35" ht="20.100000000000001" hidden="1" customHeight="1">
      <c r="A282" s="15" t="str">
        <f>ÖSSZES!$A$17</f>
        <v>Név15</v>
      </c>
      <c r="B282" s="28"/>
      <c r="C282" s="28"/>
      <c r="D282" s="28"/>
      <c r="E282" s="28"/>
      <c r="F282" s="28"/>
      <c r="G282" s="28"/>
      <c r="H282" s="28" t="s">
        <v>2</v>
      </c>
      <c r="I282" s="28" t="s">
        <v>2</v>
      </c>
      <c r="J282" s="28"/>
      <c r="K282" s="28"/>
      <c r="L282" s="28"/>
      <c r="M282" s="28"/>
      <c r="N282" s="28"/>
      <c r="O282" s="28"/>
      <c r="P282" s="28" t="s">
        <v>2</v>
      </c>
      <c r="Q282" s="28" t="s">
        <v>2</v>
      </c>
      <c r="R282" s="28"/>
      <c r="S282" s="28"/>
      <c r="T282" s="28"/>
      <c r="U282" s="28"/>
      <c r="V282" s="28"/>
      <c r="W282" s="28"/>
      <c r="X282" s="28" t="s">
        <v>2</v>
      </c>
      <c r="Y282" s="28" t="s">
        <v>2</v>
      </c>
      <c r="Z282" s="28"/>
      <c r="AA282" s="28"/>
      <c r="AB282" s="28"/>
      <c r="AC282" s="28"/>
      <c r="AD282" s="28"/>
      <c r="AE282" s="28"/>
      <c r="AF282" s="28" t="s">
        <v>2</v>
      </c>
      <c r="AH282" s="12">
        <f t="shared" si="34"/>
        <v>0</v>
      </c>
      <c r="AI282" s="12">
        <f t="shared" si="35"/>
        <v>0</v>
      </c>
    </row>
    <row r="283" spans="1:35" ht="20.100000000000001" hidden="1" customHeight="1">
      <c r="A283" s="15" t="str">
        <f>ÖSSZES!$A$18</f>
        <v>Név16</v>
      </c>
      <c r="B283" s="28"/>
      <c r="C283" s="28"/>
      <c r="D283" s="28"/>
      <c r="E283" s="28"/>
      <c r="F283" s="28"/>
      <c r="G283" s="28"/>
      <c r="H283" s="28" t="s">
        <v>2</v>
      </c>
      <c r="I283" s="28" t="s">
        <v>2</v>
      </c>
      <c r="J283" s="28"/>
      <c r="K283" s="28"/>
      <c r="L283" s="28"/>
      <c r="M283" s="28"/>
      <c r="N283" s="28"/>
      <c r="O283" s="28"/>
      <c r="P283" s="28" t="s">
        <v>2</v>
      </c>
      <c r="Q283" s="28" t="s">
        <v>2</v>
      </c>
      <c r="R283" s="28"/>
      <c r="S283" s="28"/>
      <c r="T283" s="28"/>
      <c r="U283" s="28"/>
      <c r="V283" s="28"/>
      <c r="W283" s="28"/>
      <c r="X283" s="28" t="s">
        <v>2</v>
      </c>
      <c r="Y283" s="28" t="s">
        <v>2</v>
      </c>
      <c r="Z283" s="28"/>
      <c r="AA283" s="28"/>
      <c r="AB283" s="28"/>
      <c r="AC283" s="28"/>
      <c r="AD283" s="28"/>
      <c r="AE283" s="28"/>
      <c r="AF283" s="28" t="s">
        <v>2</v>
      </c>
      <c r="AH283" s="12">
        <f t="shared" si="34"/>
        <v>0</v>
      </c>
      <c r="AI283" s="12">
        <f t="shared" si="35"/>
        <v>0</v>
      </c>
    </row>
    <row r="284" spans="1:35" ht="20.100000000000001" hidden="1" customHeight="1">
      <c r="A284" s="15" t="str">
        <f>ÖSSZES!$A$19</f>
        <v>Név17</v>
      </c>
      <c r="B284" s="28"/>
      <c r="C284" s="28"/>
      <c r="D284" s="28"/>
      <c r="E284" s="28"/>
      <c r="F284" s="28"/>
      <c r="G284" s="28"/>
      <c r="H284" s="28" t="s">
        <v>2</v>
      </c>
      <c r="I284" s="28" t="s">
        <v>2</v>
      </c>
      <c r="J284" s="28"/>
      <c r="K284" s="28"/>
      <c r="L284" s="28"/>
      <c r="M284" s="28"/>
      <c r="N284" s="28"/>
      <c r="O284" s="28"/>
      <c r="P284" s="28" t="s">
        <v>2</v>
      </c>
      <c r="Q284" s="28" t="s">
        <v>2</v>
      </c>
      <c r="R284" s="28"/>
      <c r="S284" s="28"/>
      <c r="T284" s="28"/>
      <c r="U284" s="28"/>
      <c r="V284" s="28"/>
      <c r="W284" s="28"/>
      <c r="X284" s="28" t="s">
        <v>2</v>
      </c>
      <c r="Y284" s="28" t="s">
        <v>2</v>
      </c>
      <c r="Z284" s="28"/>
      <c r="AA284" s="28"/>
      <c r="AB284" s="28"/>
      <c r="AC284" s="28"/>
      <c r="AD284" s="28"/>
      <c r="AE284" s="28"/>
      <c r="AF284" s="28" t="s">
        <v>2</v>
      </c>
      <c r="AH284" s="12">
        <f t="shared" si="34"/>
        <v>0</v>
      </c>
      <c r="AI284" s="12">
        <f t="shared" si="35"/>
        <v>0</v>
      </c>
    </row>
    <row r="285" spans="1:35" ht="20.100000000000001" hidden="1" customHeight="1">
      <c r="A285" s="15" t="str">
        <f>ÖSSZES!$A$20</f>
        <v>Név18</v>
      </c>
      <c r="B285" s="28"/>
      <c r="C285" s="28"/>
      <c r="D285" s="28"/>
      <c r="E285" s="28"/>
      <c r="F285" s="28"/>
      <c r="G285" s="28"/>
      <c r="H285" s="28" t="s">
        <v>2</v>
      </c>
      <c r="I285" s="28" t="s">
        <v>2</v>
      </c>
      <c r="J285" s="28"/>
      <c r="K285" s="28"/>
      <c r="L285" s="28"/>
      <c r="M285" s="28"/>
      <c r="N285" s="28"/>
      <c r="O285" s="28"/>
      <c r="P285" s="28" t="s">
        <v>2</v>
      </c>
      <c r="Q285" s="28" t="s">
        <v>2</v>
      </c>
      <c r="R285" s="28"/>
      <c r="S285" s="28"/>
      <c r="T285" s="28"/>
      <c r="U285" s="28"/>
      <c r="V285" s="28"/>
      <c r="W285" s="28"/>
      <c r="X285" s="28" t="s">
        <v>2</v>
      </c>
      <c r="Y285" s="28" t="s">
        <v>2</v>
      </c>
      <c r="Z285" s="28"/>
      <c r="AA285" s="28"/>
      <c r="AB285" s="28"/>
      <c r="AC285" s="28"/>
      <c r="AD285" s="28"/>
      <c r="AE285" s="28"/>
      <c r="AF285" s="28" t="s">
        <v>2</v>
      </c>
      <c r="AH285" s="12">
        <f t="shared" si="34"/>
        <v>0</v>
      </c>
      <c r="AI285" s="12">
        <f t="shared" si="35"/>
        <v>0</v>
      </c>
    </row>
    <row r="286" spans="1:35" ht="20.100000000000001" hidden="1" customHeight="1">
      <c r="A286" s="15" t="str">
        <f>ÖSSZES!$A$21</f>
        <v>Név19</v>
      </c>
      <c r="B286" s="28"/>
      <c r="C286" s="28"/>
      <c r="D286" s="28"/>
      <c r="E286" s="28"/>
      <c r="F286" s="28"/>
      <c r="G286" s="28"/>
      <c r="H286" s="28" t="s">
        <v>2</v>
      </c>
      <c r="I286" s="28" t="s">
        <v>2</v>
      </c>
      <c r="J286" s="28"/>
      <c r="K286" s="28"/>
      <c r="L286" s="28"/>
      <c r="M286" s="28"/>
      <c r="N286" s="28"/>
      <c r="O286" s="28"/>
      <c r="P286" s="28" t="s">
        <v>2</v>
      </c>
      <c r="Q286" s="28" t="s">
        <v>2</v>
      </c>
      <c r="R286" s="28"/>
      <c r="S286" s="28"/>
      <c r="T286" s="28"/>
      <c r="U286" s="28"/>
      <c r="V286" s="28"/>
      <c r="W286" s="28"/>
      <c r="X286" s="28" t="s">
        <v>2</v>
      </c>
      <c r="Y286" s="28" t="s">
        <v>2</v>
      </c>
      <c r="Z286" s="28"/>
      <c r="AA286" s="28"/>
      <c r="AB286" s="28"/>
      <c r="AC286" s="28"/>
      <c r="AD286" s="28"/>
      <c r="AE286" s="28"/>
      <c r="AF286" s="28" t="s">
        <v>2</v>
      </c>
      <c r="AH286" s="12">
        <f t="shared" si="34"/>
        <v>0</v>
      </c>
      <c r="AI286" s="12">
        <f t="shared" si="35"/>
        <v>0</v>
      </c>
    </row>
    <row r="287" spans="1:35" ht="20.100000000000001" hidden="1" customHeight="1">
      <c r="A287" s="15" t="str">
        <f>ÖSSZES!$A$17</f>
        <v>Név15</v>
      </c>
      <c r="B287" s="28"/>
      <c r="C287" s="28"/>
      <c r="D287" s="28"/>
      <c r="E287" s="28"/>
      <c r="F287" s="28"/>
      <c r="G287" s="28"/>
      <c r="H287" s="28" t="s">
        <v>2</v>
      </c>
      <c r="I287" s="28" t="s">
        <v>2</v>
      </c>
      <c r="J287" s="28"/>
      <c r="K287" s="28"/>
      <c r="L287" s="28"/>
      <c r="M287" s="28"/>
      <c r="N287" s="28"/>
      <c r="O287" s="28"/>
      <c r="P287" s="28" t="s">
        <v>2</v>
      </c>
      <c r="Q287" s="28" t="s">
        <v>2</v>
      </c>
      <c r="R287" s="28"/>
      <c r="S287" s="28"/>
      <c r="T287" s="28"/>
      <c r="U287" s="28"/>
      <c r="V287" s="28"/>
      <c r="W287" s="28"/>
      <c r="X287" s="28" t="s">
        <v>2</v>
      </c>
      <c r="Y287" s="28" t="s">
        <v>2</v>
      </c>
      <c r="Z287" s="28"/>
      <c r="AA287" s="28"/>
      <c r="AB287" s="28"/>
      <c r="AC287" s="28"/>
      <c r="AD287" s="28"/>
      <c r="AE287" s="28"/>
      <c r="AF287" s="28" t="s">
        <v>2</v>
      </c>
      <c r="AH287" s="12">
        <f t="shared" si="34"/>
        <v>0</v>
      </c>
      <c r="AI287" s="12">
        <f t="shared" si="35"/>
        <v>0</v>
      </c>
    </row>
  </sheetData>
  <sheetProtection password="DD6F" sheet="1" objects="1" scenarios="1"/>
  <mergeCells count="36">
    <mergeCell ref="AH217:AH219"/>
    <mergeCell ref="AI217:AI219"/>
    <mergeCell ref="AH241:AH243"/>
    <mergeCell ref="AI241:AI243"/>
    <mergeCell ref="AH265:AH267"/>
    <mergeCell ref="AI265:AI267"/>
    <mergeCell ref="AH145:AH147"/>
    <mergeCell ref="AI145:AI147"/>
    <mergeCell ref="AH169:AH171"/>
    <mergeCell ref="AI169:AI171"/>
    <mergeCell ref="AH193:AH195"/>
    <mergeCell ref="AI193:AI195"/>
    <mergeCell ref="AH73:AH75"/>
    <mergeCell ref="AI73:AI75"/>
    <mergeCell ref="AH97:AH99"/>
    <mergeCell ref="AI97:AI99"/>
    <mergeCell ref="AH121:AH123"/>
    <mergeCell ref="AI121:AI123"/>
    <mergeCell ref="AH1:AH3"/>
    <mergeCell ref="AI1:AI3"/>
    <mergeCell ref="AH25:AH27"/>
    <mergeCell ref="AI25:AI27"/>
    <mergeCell ref="AH49:AH51"/>
    <mergeCell ref="AI49:AI51"/>
    <mergeCell ref="A265:A267"/>
    <mergeCell ref="A1:A3"/>
    <mergeCell ref="A25:A27"/>
    <mergeCell ref="A49:A51"/>
    <mergeCell ref="A73:A75"/>
    <mergeCell ref="A97:A99"/>
    <mergeCell ref="A121:A123"/>
    <mergeCell ref="A145:A147"/>
    <mergeCell ref="A169:A171"/>
    <mergeCell ref="A193:A195"/>
    <mergeCell ref="A217:A219"/>
    <mergeCell ref="A241:A243"/>
  </mergeCells>
  <phoneticPr fontId="0" type="noConversion"/>
  <conditionalFormatting sqref="C4:AF4">
    <cfRule type="cellIs" dxfId="282" priority="282" operator="equal">
      <formula>"+"</formula>
    </cfRule>
    <cfRule type="cellIs" dxfId="281" priority="283" operator="equal">
      <formula>"szf"</formula>
    </cfRule>
  </conditionalFormatting>
  <conditionalFormatting sqref="D4">
    <cfRule type="cellIs" dxfId="280" priority="281" operator="equal">
      <formula>"szf"</formula>
    </cfRule>
  </conditionalFormatting>
  <conditionalFormatting sqref="F4">
    <cfRule type="cellIs" dxfId="279" priority="280" operator="equal">
      <formula>"+"</formula>
    </cfRule>
  </conditionalFormatting>
  <conditionalFormatting sqref="E4">
    <cfRule type="cellIs" dxfId="278" priority="279" operator="equal">
      <formula>"szf"</formula>
    </cfRule>
  </conditionalFormatting>
  <conditionalFormatting sqref="A1:XFD3 A5:XFD1048576 A4 C4:XFD4">
    <cfRule type="cellIs" dxfId="277" priority="277" operator="equal">
      <formula>"+"</formula>
    </cfRule>
    <cfRule type="cellIs" dxfId="276" priority="278" operator="equal">
      <formula>"szf"</formula>
    </cfRule>
  </conditionalFormatting>
  <conditionalFormatting sqref="F3">
    <cfRule type="cellIs" dxfId="275" priority="276" operator="equal">
      <formula>"X"</formula>
    </cfRule>
  </conditionalFormatting>
  <conditionalFormatting sqref="B1:AF3 B5:AF1048576 C4:AF4">
    <cfRule type="cellIs" dxfId="274" priority="265" operator="equal">
      <formula>"V"</formula>
    </cfRule>
    <cfRule type="cellIs" dxfId="273" priority="266" operator="equal">
      <formula>"Szo"</formula>
    </cfRule>
    <cfRule type="cellIs" dxfId="272" priority="274" operator="equal">
      <formula>"X"</formula>
    </cfRule>
    <cfRule type="cellIs" dxfId="271" priority="275" operator="equal">
      <formula>"X"</formula>
    </cfRule>
  </conditionalFormatting>
  <conditionalFormatting sqref="G4">
    <cfRule type="cellIs" dxfId="270" priority="273" operator="equal">
      <formula>"+"</formula>
    </cfRule>
  </conditionalFormatting>
  <conditionalFormatting sqref="N4">
    <cfRule type="cellIs" dxfId="269" priority="272" operator="equal">
      <formula>"+"</formula>
    </cfRule>
  </conditionalFormatting>
  <conditionalFormatting sqref="O4">
    <cfRule type="cellIs" dxfId="268" priority="271" operator="equal">
      <formula>"+"</formula>
    </cfRule>
  </conditionalFormatting>
  <conditionalFormatting sqref="V4">
    <cfRule type="cellIs" dxfId="267" priority="270" operator="equal">
      <formula>"+"</formula>
    </cfRule>
  </conditionalFormatting>
  <conditionalFormatting sqref="W4">
    <cfRule type="cellIs" dxfId="266" priority="269" operator="equal">
      <formula>"+"</formula>
    </cfRule>
  </conditionalFormatting>
  <conditionalFormatting sqref="AD4">
    <cfRule type="cellIs" dxfId="265" priority="268" operator="equal">
      <formula>"+"</formula>
    </cfRule>
  </conditionalFormatting>
  <conditionalFormatting sqref="AE4">
    <cfRule type="cellIs" dxfId="264" priority="267" operator="equal">
      <formula>"+"</formula>
    </cfRule>
  </conditionalFormatting>
  <conditionalFormatting sqref="G28">
    <cfRule type="cellIs" dxfId="263" priority="263" operator="equal">
      <formula>"+"</formula>
    </cfRule>
    <cfRule type="cellIs" dxfId="262" priority="264" operator="equal">
      <formula>"szf"</formula>
    </cfRule>
  </conditionalFormatting>
  <conditionalFormatting sqref="G28">
    <cfRule type="cellIs" dxfId="261" priority="262" operator="equal">
      <formula>"+"</formula>
    </cfRule>
  </conditionalFormatting>
  <conditionalFormatting sqref="H28">
    <cfRule type="cellIs" dxfId="260" priority="260" operator="equal">
      <formula>"+"</formula>
    </cfRule>
    <cfRule type="cellIs" dxfId="259" priority="261" operator="equal">
      <formula>"szf"</formula>
    </cfRule>
  </conditionalFormatting>
  <conditionalFormatting sqref="H28">
    <cfRule type="cellIs" dxfId="258" priority="259" operator="equal">
      <formula>"+"</formula>
    </cfRule>
  </conditionalFormatting>
  <conditionalFormatting sqref="O28">
    <cfRule type="cellIs" dxfId="257" priority="257" operator="equal">
      <formula>"+"</formula>
    </cfRule>
    <cfRule type="cellIs" dxfId="256" priority="258" operator="equal">
      <formula>"szf"</formula>
    </cfRule>
  </conditionalFormatting>
  <conditionalFormatting sqref="O28">
    <cfRule type="cellIs" dxfId="255" priority="256" operator="equal">
      <formula>"+"</formula>
    </cfRule>
  </conditionalFormatting>
  <conditionalFormatting sqref="P28">
    <cfRule type="cellIs" dxfId="254" priority="254" operator="equal">
      <formula>"+"</formula>
    </cfRule>
    <cfRule type="cellIs" dxfId="253" priority="255" operator="equal">
      <formula>"szf"</formula>
    </cfRule>
  </conditionalFormatting>
  <conditionalFormatting sqref="P28">
    <cfRule type="cellIs" dxfId="252" priority="253" operator="equal">
      <formula>"+"</formula>
    </cfRule>
  </conditionalFormatting>
  <conditionalFormatting sqref="W28">
    <cfRule type="cellIs" dxfId="251" priority="251" operator="equal">
      <formula>"+"</formula>
    </cfRule>
    <cfRule type="cellIs" dxfId="250" priority="252" operator="equal">
      <formula>"szf"</formula>
    </cfRule>
  </conditionalFormatting>
  <conditionalFormatting sqref="W28">
    <cfRule type="cellIs" dxfId="249" priority="250" operator="equal">
      <formula>"+"</formula>
    </cfRule>
  </conditionalFormatting>
  <conditionalFormatting sqref="X28">
    <cfRule type="cellIs" dxfId="248" priority="248" operator="equal">
      <formula>"+"</formula>
    </cfRule>
    <cfRule type="cellIs" dxfId="247" priority="249" operator="equal">
      <formula>"szf"</formula>
    </cfRule>
  </conditionalFormatting>
  <conditionalFormatting sqref="X28">
    <cfRule type="cellIs" dxfId="246" priority="247" operator="equal">
      <formula>"+"</formula>
    </cfRule>
  </conditionalFormatting>
  <conditionalFormatting sqref="C52">
    <cfRule type="cellIs" dxfId="245" priority="245" operator="equal">
      <formula>"+"</formula>
    </cfRule>
    <cfRule type="cellIs" dxfId="244" priority="246" operator="equal">
      <formula>"szf"</formula>
    </cfRule>
  </conditionalFormatting>
  <conditionalFormatting sqref="C52">
    <cfRule type="cellIs" dxfId="243" priority="244" operator="equal">
      <formula>"+"</formula>
    </cfRule>
  </conditionalFormatting>
  <conditionalFormatting sqref="D52">
    <cfRule type="cellIs" dxfId="242" priority="242" operator="equal">
      <formula>"+"</formula>
    </cfRule>
    <cfRule type="cellIs" dxfId="241" priority="243" operator="equal">
      <formula>"szf"</formula>
    </cfRule>
  </conditionalFormatting>
  <conditionalFormatting sqref="D52">
    <cfRule type="cellIs" dxfId="240" priority="241" operator="equal">
      <formula>"+"</formula>
    </cfRule>
  </conditionalFormatting>
  <conditionalFormatting sqref="K52">
    <cfRule type="cellIs" dxfId="239" priority="239" operator="equal">
      <formula>"+"</formula>
    </cfRule>
    <cfRule type="cellIs" dxfId="238" priority="240" operator="equal">
      <formula>"szf"</formula>
    </cfRule>
  </conditionalFormatting>
  <conditionalFormatting sqref="K52">
    <cfRule type="cellIs" dxfId="237" priority="238" operator="equal">
      <formula>"+"</formula>
    </cfRule>
  </conditionalFormatting>
  <conditionalFormatting sqref="L52">
    <cfRule type="cellIs" dxfId="236" priority="236" operator="equal">
      <formula>"+"</formula>
    </cfRule>
    <cfRule type="cellIs" dxfId="235" priority="237" operator="equal">
      <formula>"szf"</formula>
    </cfRule>
  </conditionalFormatting>
  <conditionalFormatting sqref="L52">
    <cfRule type="cellIs" dxfId="234" priority="235" operator="equal">
      <formula>"+"</formula>
    </cfRule>
  </conditionalFormatting>
  <conditionalFormatting sqref="S52">
    <cfRule type="cellIs" dxfId="233" priority="233" operator="equal">
      <formula>"+"</formula>
    </cfRule>
    <cfRule type="cellIs" dxfId="232" priority="234" operator="equal">
      <formula>"szf"</formula>
    </cfRule>
  </conditionalFormatting>
  <conditionalFormatting sqref="S52">
    <cfRule type="cellIs" dxfId="231" priority="232" operator="equal">
      <formula>"+"</formula>
    </cfRule>
  </conditionalFormatting>
  <conditionalFormatting sqref="T52">
    <cfRule type="cellIs" dxfId="230" priority="230" operator="equal">
      <formula>"+"</formula>
    </cfRule>
    <cfRule type="cellIs" dxfId="229" priority="231" operator="equal">
      <formula>"szf"</formula>
    </cfRule>
  </conditionalFormatting>
  <conditionalFormatting sqref="T52">
    <cfRule type="cellIs" dxfId="228" priority="229" operator="equal">
      <formula>"+"</formula>
    </cfRule>
  </conditionalFormatting>
  <conditionalFormatting sqref="AA52">
    <cfRule type="cellIs" dxfId="227" priority="227" operator="equal">
      <formula>"+"</formula>
    </cfRule>
    <cfRule type="cellIs" dxfId="226" priority="228" operator="equal">
      <formula>"szf"</formula>
    </cfRule>
  </conditionalFormatting>
  <conditionalFormatting sqref="AA52">
    <cfRule type="cellIs" dxfId="225" priority="226" operator="equal">
      <formula>"+"</formula>
    </cfRule>
  </conditionalFormatting>
  <conditionalFormatting sqref="AB52">
    <cfRule type="cellIs" dxfId="224" priority="224" operator="equal">
      <formula>"+"</formula>
    </cfRule>
    <cfRule type="cellIs" dxfId="223" priority="225" operator="equal">
      <formula>"szf"</formula>
    </cfRule>
  </conditionalFormatting>
  <conditionalFormatting sqref="AB52">
    <cfRule type="cellIs" dxfId="222" priority="223" operator="equal">
      <formula>"+"</formula>
    </cfRule>
  </conditionalFormatting>
  <conditionalFormatting sqref="D76">
    <cfRule type="cellIs" dxfId="221" priority="221" operator="equal">
      <formula>"+"</formula>
    </cfRule>
    <cfRule type="cellIs" dxfId="220" priority="222" operator="equal">
      <formula>"szf"</formula>
    </cfRule>
  </conditionalFormatting>
  <conditionalFormatting sqref="D76">
    <cfRule type="cellIs" dxfId="219" priority="220" operator="equal">
      <formula>"+"</formula>
    </cfRule>
  </conditionalFormatting>
  <conditionalFormatting sqref="E76">
    <cfRule type="cellIs" dxfId="218" priority="218" operator="equal">
      <formula>"+"</formula>
    </cfRule>
    <cfRule type="cellIs" dxfId="217" priority="219" operator="equal">
      <formula>"szf"</formula>
    </cfRule>
  </conditionalFormatting>
  <conditionalFormatting sqref="E76">
    <cfRule type="cellIs" dxfId="216" priority="217" operator="equal">
      <formula>"+"</formula>
    </cfRule>
  </conditionalFormatting>
  <conditionalFormatting sqref="M76">
    <cfRule type="cellIs" dxfId="215" priority="215" operator="equal">
      <formula>"+"</formula>
    </cfRule>
    <cfRule type="cellIs" dxfId="214" priority="216" operator="equal">
      <formula>"szf"</formula>
    </cfRule>
  </conditionalFormatting>
  <conditionalFormatting sqref="M76">
    <cfRule type="cellIs" dxfId="213" priority="214" operator="equal">
      <formula>"+"</formula>
    </cfRule>
  </conditionalFormatting>
  <conditionalFormatting sqref="L76">
    <cfRule type="cellIs" dxfId="212" priority="212" operator="equal">
      <formula>"+"</formula>
    </cfRule>
    <cfRule type="cellIs" dxfId="211" priority="213" operator="equal">
      <formula>"szf"</formula>
    </cfRule>
  </conditionalFormatting>
  <conditionalFormatting sqref="L76">
    <cfRule type="cellIs" dxfId="210" priority="211" operator="equal">
      <formula>"+"</formula>
    </cfRule>
  </conditionalFormatting>
  <conditionalFormatting sqref="T76">
    <cfRule type="cellIs" dxfId="209" priority="209" operator="equal">
      <formula>"+"</formula>
    </cfRule>
    <cfRule type="cellIs" dxfId="208" priority="210" operator="equal">
      <formula>"szf"</formula>
    </cfRule>
  </conditionalFormatting>
  <conditionalFormatting sqref="T76">
    <cfRule type="cellIs" dxfId="207" priority="208" operator="equal">
      <formula>"+"</formula>
    </cfRule>
  </conditionalFormatting>
  <conditionalFormatting sqref="U76">
    <cfRule type="cellIs" dxfId="206" priority="206" operator="equal">
      <formula>"+"</formula>
    </cfRule>
    <cfRule type="cellIs" dxfId="205" priority="207" operator="equal">
      <formula>"szf"</formula>
    </cfRule>
  </conditionalFormatting>
  <conditionalFormatting sqref="U76">
    <cfRule type="cellIs" dxfId="204" priority="205" operator="equal">
      <formula>"+"</formula>
    </cfRule>
  </conditionalFormatting>
  <conditionalFormatting sqref="AC76">
    <cfRule type="cellIs" dxfId="203" priority="203" operator="equal">
      <formula>"+"</formula>
    </cfRule>
    <cfRule type="cellIs" dxfId="202" priority="204" operator="equal">
      <formula>"szf"</formula>
    </cfRule>
  </conditionalFormatting>
  <conditionalFormatting sqref="AC76">
    <cfRule type="cellIs" dxfId="201" priority="202" operator="equal">
      <formula>"+"</formula>
    </cfRule>
  </conditionalFormatting>
  <conditionalFormatting sqref="AB76">
    <cfRule type="cellIs" dxfId="200" priority="200" operator="equal">
      <formula>"+"</formula>
    </cfRule>
    <cfRule type="cellIs" dxfId="199" priority="201" operator="equal">
      <formula>"szf"</formula>
    </cfRule>
  </conditionalFormatting>
  <conditionalFormatting sqref="AB76">
    <cfRule type="cellIs" dxfId="198" priority="199" operator="equal">
      <formula>"+"</formula>
    </cfRule>
  </conditionalFormatting>
  <conditionalFormatting sqref="F100">
    <cfRule type="cellIs" dxfId="197" priority="197" operator="equal">
      <formula>"+"</formula>
    </cfRule>
    <cfRule type="cellIs" dxfId="196" priority="198" operator="equal">
      <formula>"szf"</formula>
    </cfRule>
  </conditionalFormatting>
  <conditionalFormatting sqref="F100">
    <cfRule type="cellIs" dxfId="195" priority="196" operator="equal">
      <formula>"+"</formula>
    </cfRule>
  </conditionalFormatting>
  <conditionalFormatting sqref="G100">
    <cfRule type="cellIs" dxfId="194" priority="194" operator="equal">
      <formula>"+"</formula>
    </cfRule>
    <cfRule type="cellIs" dxfId="193" priority="195" operator="equal">
      <formula>"szf"</formula>
    </cfRule>
  </conditionalFormatting>
  <conditionalFormatting sqref="G100">
    <cfRule type="cellIs" dxfId="192" priority="193" operator="equal">
      <formula>"+"</formula>
    </cfRule>
  </conditionalFormatting>
  <conditionalFormatting sqref="N100">
    <cfRule type="cellIs" dxfId="191" priority="191" operator="equal">
      <formula>"+"</formula>
    </cfRule>
    <cfRule type="cellIs" dxfId="190" priority="192" operator="equal">
      <formula>"szf"</formula>
    </cfRule>
  </conditionalFormatting>
  <conditionalFormatting sqref="N100">
    <cfRule type="cellIs" dxfId="189" priority="190" operator="equal">
      <formula>"+"</formula>
    </cfRule>
  </conditionalFormatting>
  <conditionalFormatting sqref="O100">
    <cfRule type="cellIs" dxfId="188" priority="188" operator="equal">
      <formula>"+"</formula>
    </cfRule>
    <cfRule type="cellIs" dxfId="187" priority="189" operator="equal">
      <formula>"szf"</formula>
    </cfRule>
  </conditionalFormatting>
  <conditionalFormatting sqref="O100">
    <cfRule type="cellIs" dxfId="186" priority="187" operator="equal">
      <formula>"+"</formula>
    </cfRule>
  </conditionalFormatting>
  <conditionalFormatting sqref="V100">
    <cfRule type="cellIs" dxfId="185" priority="185" operator="equal">
      <formula>"+"</formula>
    </cfRule>
    <cfRule type="cellIs" dxfId="184" priority="186" operator="equal">
      <formula>"szf"</formula>
    </cfRule>
  </conditionalFormatting>
  <conditionalFormatting sqref="V100">
    <cfRule type="cellIs" dxfId="183" priority="184" operator="equal">
      <formula>"+"</formula>
    </cfRule>
  </conditionalFormatting>
  <conditionalFormatting sqref="W100">
    <cfRule type="cellIs" dxfId="182" priority="182" operator="equal">
      <formula>"+"</formula>
    </cfRule>
    <cfRule type="cellIs" dxfId="181" priority="183" operator="equal">
      <formula>"szf"</formula>
    </cfRule>
  </conditionalFormatting>
  <conditionalFormatting sqref="W100">
    <cfRule type="cellIs" dxfId="180" priority="181" operator="equal">
      <formula>"+"</formula>
    </cfRule>
  </conditionalFormatting>
  <conditionalFormatting sqref="AD100">
    <cfRule type="cellIs" dxfId="179" priority="179" operator="equal">
      <formula>"+"</formula>
    </cfRule>
    <cfRule type="cellIs" dxfId="178" priority="180" operator="equal">
      <formula>"szf"</formula>
    </cfRule>
  </conditionalFormatting>
  <conditionalFormatting sqref="AD100">
    <cfRule type="cellIs" dxfId="177" priority="178" operator="equal">
      <formula>"+"</formula>
    </cfRule>
  </conditionalFormatting>
  <conditionalFormatting sqref="AE100">
    <cfRule type="cellIs" dxfId="176" priority="176" operator="equal">
      <formula>"+"</formula>
    </cfRule>
    <cfRule type="cellIs" dxfId="175" priority="177" operator="equal">
      <formula>"szf"</formula>
    </cfRule>
  </conditionalFormatting>
  <conditionalFormatting sqref="AE100">
    <cfRule type="cellIs" dxfId="174" priority="175" operator="equal">
      <formula>"+"</formula>
    </cfRule>
  </conditionalFormatting>
  <conditionalFormatting sqref="G124">
    <cfRule type="cellIs" dxfId="173" priority="173" operator="equal">
      <formula>"+"</formula>
    </cfRule>
    <cfRule type="cellIs" dxfId="172" priority="174" operator="equal">
      <formula>"szf"</formula>
    </cfRule>
  </conditionalFormatting>
  <conditionalFormatting sqref="G124">
    <cfRule type="cellIs" dxfId="171" priority="172" operator="equal">
      <formula>"+"</formula>
    </cfRule>
  </conditionalFormatting>
  <conditionalFormatting sqref="H124">
    <cfRule type="cellIs" dxfId="170" priority="170" operator="equal">
      <formula>"+"</formula>
    </cfRule>
    <cfRule type="cellIs" dxfId="169" priority="171" operator="equal">
      <formula>"szf"</formula>
    </cfRule>
  </conditionalFormatting>
  <conditionalFormatting sqref="H124">
    <cfRule type="cellIs" dxfId="168" priority="169" operator="equal">
      <formula>"+"</formula>
    </cfRule>
  </conditionalFormatting>
  <conditionalFormatting sqref="O124">
    <cfRule type="cellIs" dxfId="167" priority="167" operator="equal">
      <formula>"+"</formula>
    </cfRule>
    <cfRule type="cellIs" dxfId="166" priority="168" operator="equal">
      <formula>"szf"</formula>
    </cfRule>
  </conditionalFormatting>
  <conditionalFormatting sqref="O124">
    <cfRule type="cellIs" dxfId="165" priority="166" operator="equal">
      <formula>"+"</formula>
    </cfRule>
  </conditionalFormatting>
  <conditionalFormatting sqref="P124">
    <cfRule type="cellIs" dxfId="164" priority="164" operator="equal">
      <formula>"+"</formula>
    </cfRule>
    <cfRule type="cellIs" dxfId="163" priority="165" operator="equal">
      <formula>"szf"</formula>
    </cfRule>
  </conditionalFormatting>
  <conditionalFormatting sqref="P124">
    <cfRule type="cellIs" dxfId="162" priority="163" operator="equal">
      <formula>"+"</formula>
    </cfRule>
  </conditionalFormatting>
  <conditionalFormatting sqref="W124">
    <cfRule type="cellIs" dxfId="161" priority="161" operator="equal">
      <formula>"+"</formula>
    </cfRule>
    <cfRule type="cellIs" dxfId="160" priority="162" operator="equal">
      <formula>"szf"</formula>
    </cfRule>
  </conditionalFormatting>
  <conditionalFormatting sqref="W124">
    <cfRule type="cellIs" dxfId="159" priority="160" operator="equal">
      <formula>"+"</formula>
    </cfRule>
  </conditionalFormatting>
  <conditionalFormatting sqref="X124">
    <cfRule type="cellIs" dxfId="158" priority="158" operator="equal">
      <formula>"+"</formula>
    </cfRule>
    <cfRule type="cellIs" dxfId="157" priority="159" operator="equal">
      <formula>"szf"</formula>
    </cfRule>
  </conditionalFormatting>
  <conditionalFormatting sqref="X124">
    <cfRule type="cellIs" dxfId="156" priority="157" operator="equal">
      <formula>"+"</formula>
    </cfRule>
  </conditionalFormatting>
  <conditionalFormatting sqref="AE124">
    <cfRule type="cellIs" dxfId="155" priority="155" operator="equal">
      <formula>"+"</formula>
    </cfRule>
    <cfRule type="cellIs" dxfId="154" priority="156" operator="equal">
      <formula>"szf"</formula>
    </cfRule>
  </conditionalFormatting>
  <conditionalFormatting sqref="AE124">
    <cfRule type="cellIs" dxfId="153" priority="154" operator="equal">
      <formula>"+"</formula>
    </cfRule>
  </conditionalFormatting>
  <conditionalFormatting sqref="B148">
    <cfRule type="cellIs" dxfId="152" priority="152" operator="equal">
      <formula>"+"</formula>
    </cfRule>
    <cfRule type="cellIs" dxfId="151" priority="153" operator="equal">
      <formula>"szf"</formula>
    </cfRule>
  </conditionalFormatting>
  <conditionalFormatting sqref="B148">
    <cfRule type="cellIs" dxfId="150" priority="151" operator="equal">
      <formula>"+"</formula>
    </cfRule>
  </conditionalFormatting>
  <conditionalFormatting sqref="I148">
    <cfRule type="cellIs" dxfId="149" priority="149" operator="equal">
      <formula>"+"</formula>
    </cfRule>
    <cfRule type="cellIs" dxfId="148" priority="150" operator="equal">
      <formula>"szf"</formula>
    </cfRule>
  </conditionalFormatting>
  <conditionalFormatting sqref="I148">
    <cfRule type="cellIs" dxfId="147" priority="148" operator="equal">
      <formula>"+"</formula>
    </cfRule>
  </conditionalFormatting>
  <conditionalFormatting sqref="J148">
    <cfRule type="cellIs" dxfId="146" priority="146" operator="equal">
      <formula>"+"</formula>
    </cfRule>
    <cfRule type="cellIs" dxfId="145" priority="147" operator="equal">
      <formula>"szf"</formula>
    </cfRule>
  </conditionalFormatting>
  <conditionalFormatting sqref="J148">
    <cfRule type="cellIs" dxfId="144" priority="145" operator="equal">
      <formula>"+"</formula>
    </cfRule>
  </conditionalFormatting>
  <conditionalFormatting sqref="R148">
    <cfRule type="cellIs" dxfId="143" priority="143" operator="equal">
      <formula>"+"</formula>
    </cfRule>
    <cfRule type="cellIs" dxfId="142" priority="144" operator="equal">
      <formula>"szf"</formula>
    </cfRule>
  </conditionalFormatting>
  <conditionalFormatting sqref="R148">
    <cfRule type="cellIs" dxfId="141" priority="142" operator="equal">
      <formula>"+"</formula>
    </cfRule>
  </conditionalFormatting>
  <conditionalFormatting sqref="Q148">
    <cfRule type="cellIs" dxfId="140" priority="140" operator="equal">
      <formula>"+"</formula>
    </cfRule>
    <cfRule type="cellIs" dxfId="139" priority="141" operator="equal">
      <formula>"szf"</formula>
    </cfRule>
  </conditionalFormatting>
  <conditionalFormatting sqref="Q148">
    <cfRule type="cellIs" dxfId="138" priority="139" operator="equal">
      <formula>"+"</formula>
    </cfRule>
  </conditionalFormatting>
  <conditionalFormatting sqref="Y148">
    <cfRule type="cellIs" dxfId="137" priority="137" operator="equal">
      <formula>"+"</formula>
    </cfRule>
    <cfRule type="cellIs" dxfId="136" priority="138" operator="equal">
      <formula>"szf"</formula>
    </cfRule>
  </conditionalFormatting>
  <conditionalFormatting sqref="Y148">
    <cfRule type="cellIs" dxfId="135" priority="136" operator="equal">
      <formula>"+"</formula>
    </cfRule>
  </conditionalFormatting>
  <conditionalFormatting sqref="Y148">
    <cfRule type="cellIs" dxfId="134" priority="134" operator="equal">
      <formula>"+"</formula>
    </cfRule>
    <cfRule type="cellIs" dxfId="133" priority="135" operator="equal">
      <formula>"szf"</formula>
    </cfRule>
  </conditionalFormatting>
  <conditionalFormatting sqref="Y148">
    <cfRule type="cellIs" dxfId="132" priority="133" operator="equal">
      <formula>"+"</formula>
    </cfRule>
  </conditionalFormatting>
  <conditionalFormatting sqref="Z148">
    <cfRule type="cellIs" dxfId="131" priority="131" operator="equal">
      <formula>"+"</formula>
    </cfRule>
    <cfRule type="cellIs" dxfId="130" priority="132" operator="equal">
      <formula>"szf"</formula>
    </cfRule>
  </conditionalFormatting>
  <conditionalFormatting sqref="Z148">
    <cfRule type="cellIs" dxfId="129" priority="130" operator="equal">
      <formula>"+"</formula>
    </cfRule>
  </conditionalFormatting>
  <conditionalFormatting sqref="B172">
    <cfRule type="cellIs" dxfId="128" priority="128" operator="equal">
      <formula>"+"</formula>
    </cfRule>
    <cfRule type="cellIs" dxfId="127" priority="129" operator="equal">
      <formula>"szf"</formula>
    </cfRule>
  </conditionalFormatting>
  <conditionalFormatting sqref="B172">
    <cfRule type="cellIs" dxfId="126" priority="127" operator="equal">
      <formula>"+"</formula>
    </cfRule>
  </conditionalFormatting>
  <conditionalFormatting sqref="C172">
    <cfRule type="cellIs" dxfId="125" priority="125" operator="equal">
      <formula>"+"</formula>
    </cfRule>
    <cfRule type="cellIs" dxfId="124" priority="126" operator="equal">
      <formula>"szf"</formula>
    </cfRule>
  </conditionalFormatting>
  <conditionalFormatting sqref="C172">
    <cfRule type="cellIs" dxfId="123" priority="124" operator="equal">
      <formula>"+"</formula>
    </cfRule>
  </conditionalFormatting>
  <conditionalFormatting sqref="J172">
    <cfRule type="cellIs" dxfId="122" priority="122" operator="equal">
      <formula>"+"</formula>
    </cfRule>
    <cfRule type="cellIs" dxfId="121" priority="123" operator="equal">
      <formula>"szf"</formula>
    </cfRule>
  </conditionalFormatting>
  <conditionalFormatting sqref="J172">
    <cfRule type="cellIs" dxfId="120" priority="121" operator="equal">
      <formula>"+"</formula>
    </cfRule>
  </conditionalFormatting>
  <conditionalFormatting sqref="K172">
    <cfRule type="cellIs" dxfId="119" priority="119" operator="equal">
      <formula>"+"</formula>
    </cfRule>
    <cfRule type="cellIs" dxfId="118" priority="120" operator="equal">
      <formula>"szf"</formula>
    </cfRule>
  </conditionalFormatting>
  <conditionalFormatting sqref="K172">
    <cfRule type="cellIs" dxfId="117" priority="118" operator="equal">
      <formula>"+"</formula>
    </cfRule>
  </conditionalFormatting>
  <conditionalFormatting sqref="R172">
    <cfRule type="cellIs" dxfId="116" priority="116" operator="equal">
      <formula>"+"</formula>
    </cfRule>
    <cfRule type="cellIs" dxfId="115" priority="117" operator="equal">
      <formula>"szf"</formula>
    </cfRule>
  </conditionalFormatting>
  <conditionalFormatting sqref="R172">
    <cfRule type="cellIs" dxfId="114" priority="115" operator="equal">
      <formula>"+"</formula>
    </cfRule>
  </conditionalFormatting>
  <conditionalFormatting sqref="S172">
    <cfRule type="cellIs" dxfId="113" priority="113" operator="equal">
      <formula>"+"</formula>
    </cfRule>
    <cfRule type="cellIs" dxfId="112" priority="114" operator="equal">
      <formula>"szf"</formula>
    </cfRule>
  </conditionalFormatting>
  <conditionalFormatting sqref="S172">
    <cfRule type="cellIs" dxfId="111" priority="112" operator="equal">
      <formula>"+"</formula>
    </cfRule>
  </conditionalFormatting>
  <conditionalFormatting sqref="Z172">
    <cfRule type="cellIs" dxfId="110" priority="110" operator="equal">
      <formula>"+"</formula>
    </cfRule>
    <cfRule type="cellIs" dxfId="109" priority="111" operator="equal">
      <formula>"szf"</formula>
    </cfRule>
  </conditionalFormatting>
  <conditionalFormatting sqref="Z172">
    <cfRule type="cellIs" dxfId="108" priority="109" operator="equal">
      <formula>"+"</formula>
    </cfRule>
  </conditionalFormatting>
  <conditionalFormatting sqref="Z172">
    <cfRule type="cellIs" dxfId="107" priority="107" operator="equal">
      <formula>"+"</formula>
    </cfRule>
    <cfRule type="cellIs" dxfId="106" priority="108" operator="equal">
      <formula>"szf"</formula>
    </cfRule>
  </conditionalFormatting>
  <conditionalFormatting sqref="Z172">
    <cfRule type="cellIs" dxfId="105" priority="106" operator="equal">
      <formula>"+"</formula>
    </cfRule>
  </conditionalFormatting>
  <conditionalFormatting sqref="AA172">
    <cfRule type="cellIs" dxfId="104" priority="104" operator="equal">
      <formula>"+"</formula>
    </cfRule>
    <cfRule type="cellIs" dxfId="103" priority="105" operator="equal">
      <formula>"szf"</formula>
    </cfRule>
  </conditionalFormatting>
  <conditionalFormatting sqref="AA172">
    <cfRule type="cellIs" dxfId="102" priority="103" operator="equal">
      <formula>"+"</formula>
    </cfRule>
  </conditionalFormatting>
  <conditionalFormatting sqref="C196">
    <cfRule type="cellIs" dxfId="101" priority="101" operator="equal">
      <formula>"+"</formula>
    </cfRule>
    <cfRule type="cellIs" dxfId="100" priority="102" operator="equal">
      <formula>"szf"</formula>
    </cfRule>
  </conditionalFormatting>
  <conditionalFormatting sqref="C196">
    <cfRule type="cellIs" dxfId="99" priority="100" operator="equal">
      <formula>"+"</formula>
    </cfRule>
  </conditionalFormatting>
  <conditionalFormatting sqref="D196">
    <cfRule type="cellIs" dxfId="98" priority="98" operator="equal">
      <formula>"+"</formula>
    </cfRule>
    <cfRule type="cellIs" dxfId="97" priority="99" operator="equal">
      <formula>"szf"</formula>
    </cfRule>
  </conditionalFormatting>
  <conditionalFormatting sqref="D196">
    <cfRule type="cellIs" dxfId="96" priority="97" operator="equal">
      <formula>"+"</formula>
    </cfRule>
  </conditionalFormatting>
  <conditionalFormatting sqref="L196">
    <cfRule type="cellIs" dxfId="95" priority="95" operator="equal">
      <formula>"+"</formula>
    </cfRule>
    <cfRule type="cellIs" dxfId="94" priority="96" operator="equal">
      <formula>"szf"</formula>
    </cfRule>
  </conditionalFormatting>
  <conditionalFormatting sqref="L196">
    <cfRule type="cellIs" dxfId="93" priority="94" operator="equal">
      <formula>"+"</formula>
    </cfRule>
  </conditionalFormatting>
  <conditionalFormatting sqref="K196">
    <cfRule type="cellIs" dxfId="92" priority="92" operator="equal">
      <formula>"+"</formula>
    </cfRule>
    <cfRule type="cellIs" dxfId="91" priority="93" operator="equal">
      <formula>"szf"</formula>
    </cfRule>
  </conditionalFormatting>
  <conditionalFormatting sqref="K196">
    <cfRule type="cellIs" dxfId="90" priority="91" operator="equal">
      <formula>"+"</formula>
    </cfRule>
  </conditionalFormatting>
  <conditionalFormatting sqref="S196">
    <cfRule type="cellIs" dxfId="89" priority="89" operator="equal">
      <formula>"+"</formula>
    </cfRule>
    <cfRule type="cellIs" dxfId="88" priority="90" operator="equal">
      <formula>"szf"</formula>
    </cfRule>
  </conditionalFormatting>
  <conditionalFormatting sqref="S196">
    <cfRule type="cellIs" dxfId="87" priority="88" operator="equal">
      <formula>"+"</formula>
    </cfRule>
  </conditionalFormatting>
  <conditionalFormatting sqref="T196">
    <cfRule type="cellIs" dxfId="86" priority="86" operator="equal">
      <formula>"+"</formula>
    </cfRule>
    <cfRule type="cellIs" dxfId="85" priority="87" operator="equal">
      <formula>"szf"</formula>
    </cfRule>
  </conditionalFormatting>
  <conditionalFormatting sqref="T196">
    <cfRule type="cellIs" dxfId="84" priority="85" operator="equal">
      <formula>"+"</formula>
    </cfRule>
  </conditionalFormatting>
  <conditionalFormatting sqref="AB196">
    <cfRule type="cellIs" dxfId="83" priority="83" operator="equal">
      <formula>"+"</formula>
    </cfRule>
    <cfRule type="cellIs" dxfId="82" priority="84" operator="equal">
      <formula>"szf"</formula>
    </cfRule>
  </conditionalFormatting>
  <conditionalFormatting sqref="AB196">
    <cfRule type="cellIs" dxfId="81" priority="82" operator="equal">
      <formula>"+"</formula>
    </cfRule>
  </conditionalFormatting>
  <conditionalFormatting sqref="AA196">
    <cfRule type="cellIs" dxfId="80" priority="80" operator="equal">
      <formula>"+"</formula>
    </cfRule>
    <cfRule type="cellIs" dxfId="79" priority="81" operator="equal">
      <formula>"szf"</formula>
    </cfRule>
  </conditionalFormatting>
  <conditionalFormatting sqref="AA196">
    <cfRule type="cellIs" dxfId="78" priority="79" operator="equal">
      <formula>"+"</formula>
    </cfRule>
  </conditionalFormatting>
  <conditionalFormatting sqref="E220">
    <cfRule type="cellIs" dxfId="77" priority="77" operator="equal">
      <formula>"+"</formula>
    </cfRule>
    <cfRule type="cellIs" dxfId="76" priority="78" operator="equal">
      <formula>"szf"</formula>
    </cfRule>
  </conditionalFormatting>
  <conditionalFormatting sqref="E220">
    <cfRule type="cellIs" dxfId="75" priority="76" operator="equal">
      <formula>"+"</formula>
    </cfRule>
  </conditionalFormatting>
  <conditionalFormatting sqref="F220">
    <cfRule type="cellIs" dxfId="74" priority="74" operator="equal">
      <formula>"+"</formula>
    </cfRule>
    <cfRule type="cellIs" dxfId="73" priority="75" operator="equal">
      <formula>"szf"</formula>
    </cfRule>
  </conditionalFormatting>
  <conditionalFormatting sqref="F220">
    <cfRule type="cellIs" dxfId="72" priority="73" operator="equal">
      <formula>"+"</formula>
    </cfRule>
  </conditionalFormatting>
  <conditionalFormatting sqref="M220">
    <cfRule type="cellIs" dxfId="71" priority="71" operator="equal">
      <formula>"+"</formula>
    </cfRule>
    <cfRule type="cellIs" dxfId="70" priority="72" operator="equal">
      <formula>"szf"</formula>
    </cfRule>
  </conditionalFormatting>
  <conditionalFormatting sqref="M220">
    <cfRule type="cellIs" dxfId="69" priority="70" operator="equal">
      <formula>"+"</formula>
    </cfRule>
  </conditionalFormatting>
  <conditionalFormatting sqref="M220">
    <cfRule type="cellIs" dxfId="68" priority="68" operator="equal">
      <formula>"+"</formula>
    </cfRule>
    <cfRule type="cellIs" dxfId="67" priority="69" operator="equal">
      <formula>"szf"</formula>
    </cfRule>
  </conditionalFormatting>
  <conditionalFormatting sqref="M220">
    <cfRule type="cellIs" dxfId="66" priority="67" operator="equal">
      <formula>"+"</formula>
    </cfRule>
  </conditionalFormatting>
  <conditionalFormatting sqref="N220">
    <cfRule type="cellIs" dxfId="65" priority="65" operator="equal">
      <formula>"+"</formula>
    </cfRule>
    <cfRule type="cellIs" dxfId="64" priority="66" operator="equal">
      <formula>"szf"</formula>
    </cfRule>
  </conditionalFormatting>
  <conditionalFormatting sqref="N220">
    <cfRule type="cellIs" dxfId="63" priority="64" operator="equal">
      <formula>"+"</formula>
    </cfRule>
  </conditionalFormatting>
  <conditionalFormatting sqref="U220">
    <cfRule type="cellIs" dxfId="62" priority="62" operator="equal">
      <formula>"+"</formula>
    </cfRule>
    <cfRule type="cellIs" dxfId="61" priority="63" operator="equal">
      <formula>"szf"</formula>
    </cfRule>
  </conditionalFormatting>
  <conditionalFormatting sqref="U220">
    <cfRule type="cellIs" dxfId="60" priority="61" operator="equal">
      <formula>"+"</formula>
    </cfRule>
  </conditionalFormatting>
  <conditionalFormatting sqref="V220">
    <cfRule type="cellIs" dxfId="59" priority="59" operator="equal">
      <formula>"+"</formula>
    </cfRule>
    <cfRule type="cellIs" dxfId="58" priority="60" operator="equal">
      <formula>"szf"</formula>
    </cfRule>
  </conditionalFormatting>
  <conditionalFormatting sqref="V220">
    <cfRule type="cellIs" dxfId="57" priority="58" operator="equal">
      <formula>"+"</formula>
    </cfRule>
  </conditionalFormatting>
  <conditionalFormatting sqref="AC220">
    <cfRule type="cellIs" dxfId="56" priority="56" operator="equal">
      <formula>"+"</formula>
    </cfRule>
    <cfRule type="cellIs" dxfId="55" priority="57" operator="equal">
      <formula>"szf"</formula>
    </cfRule>
  </conditionalFormatting>
  <conditionalFormatting sqref="AC220">
    <cfRule type="cellIs" dxfId="54" priority="55" operator="equal">
      <formula>"+"</formula>
    </cfRule>
  </conditionalFormatting>
  <conditionalFormatting sqref="AD220">
    <cfRule type="cellIs" dxfId="53" priority="53" operator="equal">
      <formula>"+"</formula>
    </cfRule>
    <cfRule type="cellIs" dxfId="52" priority="54" operator="equal">
      <formula>"szf"</formula>
    </cfRule>
  </conditionalFormatting>
  <conditionalFormatting sqref="AD220">
    <cfRule type="cellIs" dxfId="51" priority="52" operator="equal">
      <formula>"+"</formula>
    </cfRule>
  </conditionalFormatting>
  <conditionalFormatting sqref="F244">
    <cfRule type="cellIs" dxfId="50" priority="50" operator="equal">
      <formula>"+"</formula>
    </cfRule>
    <cfRule type="cellIs" dxfId="49" priority="51" operator="equal">
      <formula>"szf"</formula>
    </cfRule>
  </conditionalFormatting>
  <conditionalFormatting sqref="F244">
    <cfRule type="cellIs" dxfId="48" priority="49" operator="equal">
      <formula>"+"</formula>
    </cfRule>
  </conditionalFormatting>
  <conditionalFormatting sqref="G244">
    <cfRule type="cellIs" dxfId="47" priority="47" operator="equal">
      <formula>"+"</formula>
    </cfRule>
    <cfRule type="cellIs" dxfId="46" priority="48" operator="equal">
      <formula>"szf"</formula>
    </cfRule>
  </conditionalFormatting>
  <conditionalFormatting sqref="G244">
    <cfRule type="cellIs" dxfId="45" priority="46" operator="equal">
      <formula>"+"</formula>
    </cfRule>
  </conditionalFormatting>
  <conditionalFormatting sqref="N244">
    <cfRule type="cellIs" dxfId="44" priority="44" operator="equal">
      <formula>"+"</formula>
    </cfRule>
    <cfRule type="cellIs" dxfId="43" priority="45" operator="equal">
      <formula>"szf"</formula>
    </cfRule>
  </conditionalFormatting>
  <conditionalFormatting sqref="N244">
    <cfRule type="cellIs" dxfId="42" priority="43" operator="equal">
      <formula>"+"</formula>
    </cfRule>
  </conditionalFormatting>
  <conditionalFormatting sqref="O244">
    <cfRule type="cellIs" dxfId="41" priority="41" operator="equal">
      <formula>"+"</formula>
    </cfRule>
    <cfRule type="cellIs" dxfId="40" priority="42" operator="equal">
      <formula>"szf"</formula>
    </cfRule>
  </conditionalFormatting>
  <conditionalFormatting sqref="O244">
    <cfRule type="cellIs" dxfId="39" priority="40" operator="equal">
      <formula>"+"</formula>
    </cfRule>
  </conditionalFormatting>
  <conditionalFormatting sqref="V244">
    <cfRule type="cellIs" dxfId="38" priority="38" operator="equal">
      <formula>"+"</formula>
    </cfRule>
    <cfRule type="cellIs" dxfId="37" priority="39" operator="equal">
      <formula>"szf"</formula>
    </cfRule>
  </conditionalFormatting>
  <conditionalFormatting sqref="V244">
    <cfRule type="cellIs" dxfId="36" priority="37" operator="equal">
      <formula>"+"</formula>
    </cfRule>
  </conditionalFormatting>
  <conditionalFormatting sqref="W244">
    <cfRule type="cellIs" dxfId="35" priority="35" operator="equal">
      <formula>"+"</formula>
    </cfRule>
    <cfRule type="cellIs" dxfId="34" priority="36" operator="equal">
      <formula>"szf"</formula>
    </cfRule>
  </conditionalFormatting>
  <conditionalFormatting sqref="W244">
    <cfRule type="cellIs" dxfId="33" priority="34" operator="equal">
      <formula>"+"</formula>
    </cfRule>
  </conditionalFormatting>
  <conditionalFormatting sqref="AD244">
    <cfRule type="cellIs" dxfId="32" priority="32" operator="equal">
      <formula>"+"</formula>
    </cfRule>
    <cfRule type="cellIs" dxfId="31" priority="33" operator="equal">
      <formula>"szf"</formula>
    </cfRule>
  </conditionalFormatting>
  <conditionalFormatting sqref="AD244">
    <cfRule type="cellIs" dxfId="30" priority="31" operator="equal">
      <formula>"+"</formula>
    </cfRule>
  </conditionalFormatting>
  <conditionalFormatting sqref="AE244">
    <cfRule type="cellIs" dxfId="29" priority="29" operator="equal">
      <formula>"+"</formula>
    </cfRule>
    <cfRule type="cellIs" dxfId="28" priority="30" operator="equal">
      <formula>"szf"</formula>
    </cfRule>
  </conditionalFormatting>
  <conditionalFormatting sqref="AE244">
    <cfRule type="cellIs" dxfId="27" priority="28" operator="equal">
      <formula>"+"</formula>
    </cfRule>
  </conditionalFormatting>
  <conditionalFormatting sqref="H268">
    <cfRule type="cellIs" dxfId="26" priority="26" operator="equal">
      <formula>"+"</formula>
    </cfRule>
    <cfRule type="cellIs" dxfId="25" priority="27" operator="equal">
      <formula>"szf"</formula>
    </cfRule>
  </conditionalFormatting>
  <conditionalFormatting sqref="H268">
    <cfRule type="cellIs" dxfId="24" priority="25" operator="equal">
      <formula>"+"</formula>
    </cfRule>
  </conditionalFormatting>
  <conditionalFormatting sqref="I268">
    <cfRule type="cellIs" dxfId="23" priority="23" operator="equal">
      <formula>"+"</formula>
    </cfRule>
    <cfRule type="cellIs" dxfId="22" priority="24" operator="equal">
      <formula>"szf"</formula>
    </cfRule>
  </conditionalFormatting>
  <conditionalFormatting sqref="I268">
    <cfRule type="cellIs" dxfId="21" priority="22" operator="equal">
      <formula>"+"</formula>
    </cfRule>
  </conditionalFormatting>
  <conditionalFormatting sqref="P268">
    <cfRule type="cellIs" dxfId="20" priority="20" operator="equal">
      <formula>"+"</formula>
    </cfRule>
    <cfRule type="cellIs" dxfId="19" priority="21" operator="equal">
      <formula>"szf"</formula>
    </cfRule>
  </conditionalFormatting>
  <conditionalFormatting sqref="P268">
    <cfRule type="cellIs" dxfId="18" priority="19" operator="equal">
      <formula>"+"</formula>
    </cfRule>
  </conditionalFormatting>
  <conditionalFormatting sqref="Q268">
    <cfRule type="cellIs" dxfId="17" priority="17" operator="equal">
      <formula>"+"</formula>
    </cfRule>
    <cfRule type="cellIs" dxfId="16" priority="18" operator="equal">
      <formula>"szf"</formula>
    </cfRule>
  </conditionalFormatting>
  <conditionalFormatting sqref="Q268">
    <cfRule type="cellIs" dxfId="15" priority="16" operator="equal">
      <formula>"+"</formula>
    </cfRule>
  </conditionalFormatting>
  <conditionalFormatting sqref="X268">
    <cfRule type="cellIs" dxfId="14" priority="14" operator="equal">
      <formula>"+"</formula>
    </cfRule>
    <cfRule type="cellIs" dxfId="13" priority="15" operator="equal">
      <formula>"szf"</formula>
    </cfRule>
  </conditionalFormatting>
  <conditionalFormatting sqref="X268">
    <cfRule type="cellIs" dxfId="12" priority="13" operator="equal">
      <formula>"+"</formula>
    </cfRule>
  </conditionalFormatting>
  <conditionalFormatting sqref="Y268">
    <cfRule type="cellIs" dxfId="11" priority="11" operator="equal">
      <formula>"+"</formula>
    </cfRule>
    <cfRule type="cellIs" dxfId="10" priority="12" operator="equal">
      <formula>"szf"</formula>
    </cfRule>
  </conditionalFormatting>
  <conditionalFormatting sqref="Y268">
    <cfRule type="cellIs" dxfId="9" priority="10" operator="equal">
      <formula>"+"</formula>
    </cfRule>
  </conditionalFormatting>
  <conditionalFormatting sqref="AF268">
    <cfRule type="cellIs" dxfId="8" priority="8" operator="equal">
      <formula>"+"</formula>
    </cfRule>
    <cfRule type="cellIs" dxfId="7" priority="9" operator="equal">
      <formula>"szf"</formula>
    </cfRule>
  </conditionalFormatting>
  <conditionalFormatting sqref="AF268">
    <cfRule type="cellIs" dxfId="6" priority="7" operator="equal">
      <formula>"+"</formula>
    </cfRule>
  </conditionalFormatting>
  <conditionalFormatting sqref="B4">
    <cfRule type="cellIs" dxfId="5" priority="5" operator="equal">
      <formula>"szf"</formula>
    </cfRule>
    <cfRule type="cellIs" dxfId="4" priority="6" operator="equal">
      <formula>"+"</formula>
    </cfRule>
  </conditionalFormatting>
  <conditionalFormatting sqref="B4">
    <cfRule type="cellIs" dxfId="3" priority="2" operator="equal">
      <formula>"X"</formula>
    </cfRule>
    <cfRule type="cellIs" dxfId="2" priority="3" operator="equal">
      <formula>"V"</formula>
    </cfRule>
    <cfRule type="cellIs" dxfId="1" priority="4" operator="equal">
      <formula>"Szo"</formula>
    </cfRule>
  </conditionalFormatting>
  <conditionalFormatting sqref="B4">
    <cfRule type="cellIs" dxfId="0" priority="1" operator="equal">
      <formula>"Fü"</formula>
    </cfRule>
  </conditionalFormatting>
  <printOptions horizontalCentered="1" verticalCentered="1"/>
  <pageMargins left="0.39370078740157483" right="0.39370078740157483" top="0.24" bottom="0.3" header="0.17" footer="0.3"/>
  <pageSetup paperSize="9" orientation="landscape" horizontalDpi="4294967292" r:id="rId1"/>
  <headerFooter alignWithMargins="0">
    <oddFooter>&amp;RCim: C:\besse\szab_szn\szabi.xls</oddFooter>
  </headerFooter>
  <rowBreaks count="11" manualBreakCount="11">
    <brk id="23" max="16383" man="1"/>
    <brk id="47" max="16383" man="1"/>
    <brk id="71" max="16383" man="1"/>
    <brk id="95" max="16383" man="1"/>
    <brk id="119" max="16383" man="1"/>
    <brk id="143" max="16383" man="1"/>
    <brk id="167" max="16383" man="1"/>
    <brk id="191" max="16383" man="1"/>
    <brk id="215" max="16383" man="1"/>
    <brk id="239" max="16383" man="1"/>
    <brk id="263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3</vt:i4>
      </vt:variant>
    </vt:vector>
  </HeadingPairs>
  <TitlesOfParts>
    <vt:vector size="3" baseType="lpstr">
      <vt:lpstr>2021</vt:lpstr>
      <vt:lpstr>ÖSSZES</vt:lpstr>
      <vt:lpstr>A</vt:lpstr>
    </vt:vector>
  </TitlesOfParts>
  <Company>BIOGAL RT.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7385</dc:creator>
  <cp:lastModifiedBy>Mizsák Péter</cp:lastModifiedBy>
  <cp:lastPrinted>2018-07-30T07:01:03Z</cp:lastPrinted>
  <dcterms:created xsi:type="dcterms:W3CDTF">2008-11-26T06:21:45Z</dcterms:created>
  <dcterms:modified xsi:type="dcterms:W3CDTF">2021-01-01T22:28:20Z</dcterms:modified>
</cp:coreProperties>
</file>