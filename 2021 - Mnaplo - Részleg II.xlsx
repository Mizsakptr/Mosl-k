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405" yWindow="30" windowWidth="12870" windowHeight="12045" firstSheet="1" activeTab="5"/>
  </bookViews>
  <sheets>
    <sheet name="2021" sheetId="1" state="hidden" r:id="rId1"/>
    <sheet name="ÖSSZES" sheetId="3" r:id="rId2"/>
    <sheet name="A" sheetId="4" r:id="rId3"/>
    <sheet name="B" sheetId="2" r:id="rId4"/>
    <sheet name="C" sheetId="5" r:id="rId5"/>
    <sheet name="D" sheetId="6" r:id="rId6"/>
    <sheet name="N" sheetId="7" r:id="rId7"/>
  </sheets>
  <externalReferences>
    <externalReference r:id="rId8"/>
  </externalReferences>
  <calcPr calcId="145621"/>
</workbook>
</file>

<file path=xl/calcChain.xml><?xml version="1.0" encoding="utf-8"?>
<calcChain xmlns="http://schemas.openxmlformats.org/spreadsheetml/2006/main">
  <c r="E268" i="6" l="1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D269" i="6"/>
  <c r="D270" i="6"/>
  <c r="D271" i="6"/>
  <c r="D272" i="6"/>
  <c r="D273" i="6"/>
  <c r="D274" i="6"/>
  <c r="D268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B245" i="6"/>
  <c r="B246" i="6"/>
  <c r="B247" i="6"/>
  <c r="B248" i="6"/>
  <c r="B249" i="6"/>
  <c r="B250" i="6"/>
  <c r="B244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B221" i="6"/>
  <c r="B222" i="6"/>
  <c r="B223" i="6"/>
  <c r="B224" i="6"/>
  <c r="B225" i="6"/>
  <c r="B226" i="6"/>
  <c r="B220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B197" i="6"/>
  <c r="B198" i="6"/>
  <c r="B199" i="6"/>
  <c r="B200" i="6"/>
  <c r="B201" i="6"/>
  <c r="B202" i="6"/>
  <c r="B196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B173" i="6"/>
  <c r="B174" i="6"/>
  <c r="B175" i="6"/>
  <c r="B176" i="6"/>
  <c r="B177" i="6"/>
  <c r="B178" i="6"/>
  <c r="B172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B149" i="6"/>
  <c r="B150" i="6"/>
  <c r="B151" i="6"/>
  <c r="B152" i="6"/>
  <c r="B153" i="6"/>
  <c r="B154" i="6"/>
  <c r="B148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C125" i="6"/>
  <c r="C126" i="6"/>
  <c r="C127" i="6"/>
  <c r="C128" i="6"/>
  <c r="C129" i="6"/>
  <c r="C130" i="6"/>
  <c r="C124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B101" i="6"/>
  <c r="B102" i="6"/>
  <c r="B103" i="6"/>
  <c r="B104" i="6"/>
  <c r="B105" i="6"/>
  <c r="B106" i="6"/>
  <c r="B100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B77" i="6"/>
  <c r="B78" i="6"/>
  <c r="B79" i="6"/>
  <c r="B80" i="6"/>
  <c r="B81" i="6"/>
  <c r="B82" i="6"/>
  <c r="B76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B53" i="6"/>
  <c r="B54" i="6"/>
  <c r="B55" i="6"/>
  <c r="B56" i="6"/>
  <c r="B57" i="6"/>
  <c r="B58" i="6"/>
  <c r="B52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C29" i="6"/>
  <c r="C30" i="6"/>
  <c r="C31" i="6"/>
  <c r="C32" i="6"/>
  <c r="C33" i="6"/>
  <c r="C34" i="6"/>
  <c r="C28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B5" i="6"/>
  <c r="B6" i="6"/>
  <c r="B7" i="6"/>
  <c r="B8" i="6"/>
  <c r="B9" i="6"/>
  <c r="B10" i="6"/>
  <c r="B4" i="6"/>
  <c r="W267" i="6" l="1"/>
  <c r="X267" i="6"/>
  <c r="Y267" i="6"/>
  <c r="Z267" i="6"/>
  <c r="AA267" i="6"/>
  <c r="AB267" i="6"/>
  <c r="AC267" i="6"/>
  <c r="AD267" i="6"/>
  <c r="AE267" i="6"/>
  <c r="AF267" i="6"/>
  <c r="AI269" i="2" l="1"/>
  <c r="Q27" i="3" s="1"/>
  <c r="AI270" i="2"/>
  <c r="Q28" i="3" s="1"/>
  <c r="AI271" i="2"/>
  <c r="Q29" i="3" s="1"/>
  <c r="AI272" i="2"/>
  <c r="Q30" i="3" s="1"/>
  <c r="AI273" i="2"/>
  <c r="Q31" i="3" s="1"/>
  <c r="AI274" i="2"/>
  <c r="Q32" i="3" s="1"/>
  <c r="AI275" i="2"/>
  <c r="Q33" i="3" s="1"/>
  <c r="AI276" i="2"/>
  <c r="Q34" i="3" s="1"/>
  <c r="AI277" i="2"/>
  <c r="Q35" i="3" s="1"/>
  <c r="AI278" i="2"/>
  <c r="Q36" i="3" s="1"/>
  <c r="AI279" i="2"/>
  <c r="Q37" i="3" s="1"/>
  <c r="AI280" i="2"/>
  <c r="Q38" i="3" s="1"/>
  <c r="AI281" i="2"/>
  <c r="Q39" i="3" s="1"/>
  <c r="AI282" i="2"/>
  <c r="Q40" i="3" s="1"/>
  <c r="AI283" i="2"/>
  <c r="Q41" i="3" s="1"/>
  <c r="AI284" i="2"/>
  <c r="Q42" i="3" s="1"/>
  <c r="AI285" i="2"/>
  <c r="Q43" i="3" s="1"/>
  <c r="AI286" i="2"/>
  <c r="Q44" i="3" s="1"/>
  <c r="AI287" i="2"/>
  <c r="Q45" i="3" s="1"/>
  <c r="AI269" i="5"/>
  <c r="Q50" i="3" s="1"/>
  <c r="AI270" i="5"/>
  <c r="Q51" i="3" s="1"/>
  <c r="AI271" i="5"/>
  <c r="Q52" i="3" s="1"/>
  <c r="AI272" i="5"/>
  <c r="Q53" i="3" s="1"/>
  <c r="AI273" i="5"/>
  <c r="Q54" i="3" s="1"/>
  <c r="AI274" i="5"/>
  <c r="Q55" i="3" s="1"/>
  <c r="AI275" i="5"/>
  <c r="Q56" i="3" s="1"/>
  <c r="AI276" i="5"/>
  <c r="Q57" i="3" s="1"/>
  <c r="AI277" i="5"/>
  <c r="Q58" i="3" s="1"/>
  <c r="AI278" i="5"/>
  <c r="Q59" i="3" s="1"/>
  <c r="AI279" i="5"/>
  <c r="Q60" i="3" s="1"/>
  <c r="AI280" i="5"/>
  <c r="Q61" i="3" s="1"/>
  <c r="AI281" i="5"/>
  <c r="Q62" i="3" s="1"/>
  <c r="AI282" i="5"/>
  <c r="Q63" i="3" s="1"/>
  <c r="AI283" i="5"/>
  <c r="Q64" i="3" s="1"/>
  <c r="AI284" i="5"/>
  <c r="Q65" i="3" s="1"/>
  <c r="AI285" i="5"/>
  <c r="Q66" i="3" s="1"/>
  <c r="AI286" i="5"/>
  <c r="Q67" i="3" s="1"/>
  <c r="AI287" i="5"/>
  <c r="Q68" i="3" s="1"/>
  <c r="AI269" i="6"/>
  <c r="Q73" i="3" s="1"/>
  <c r="AI270" i="6"/>
  <c r="Q74" i="3" s="1"/>
  <c r="AI271" i="6"/>
  <c r="Q75" i="3" s="1"/>
  <c r="AI272" i="6"/>
  <c r="Q76" i="3" s="1"/>
  <c r="AI273" i="6"/>
  <c r="Q77" i="3" s="1"/>
  <c r="AI274" i="6"/>
  <c r="Q78" i="3" s="1"/>
  <c r="AI275" i="6"/>
  <c r="Q79" i="3" s="1"/>
  <c r="AI276" i="6"/>
  <c r="Q80" i="3" s="1"/>
  <c r="AI277" i="6"/>
  <c r="Q81" i="3" s="1"/>
  <c r="AI278" i="6"/>
  <c r="Q82" i="3" s="1"/>
  <c r="AI279" i="6"/>
  <c r="Q83" i="3" s="1"/>
  <c r="AI280" i="6"/>
  <c r="Q84" i="3" s="1"/>
  <c r="AI281" i="6"/>
  <c r="Q85" i="3" s="1"/>
  <c r="AI282" i="6"/>
  <c r="Q86" i="3" s="1"/>
  <c r="AI283" i="6"/>
  <c r="Q87" i="3" s="1"/>
  <c r="AI284" i="6"/>
  <c r="Q88" i="3" s="1"/>
  <c r="AI285" i="6"/>
  <c r="Q89" i="3" s="1"/>
  <c r="AI286" i="6"/>
  <c r="Q90" i="3" s="1"/>
  <c r="AI287" i="6"/>
  <c r="Q91" i="3" s="1"/>
  <c r="AI269" i="7"/>
  <c r="Q96" i="3" s="1"/>
  <c r="AI270" i="7"/>
  <c r="Q97" i="3" s="1"/>
  <c r="AI271" i="7"/>
  <c r="Q98" i="3" s="1"/>
  <c r="AI272" i="7"/>
  <c r="Q99" i="3" s="1"/>
  <c r="AI273" i="7"/>
  <c r="Q100" i="3" s="1"/>
  <c r="AI274" i="7"/>
  <c r="Q101" i="3" s="1"/>
  <c r="AI275" i="7"/>
  <c r="Q102" i="3" s="1"/>
  <c r="AI276" i="7"/>
  <c r="Q103" i="3" s="1"/>
  <c r="AI277" i="7"/>
  <c r="Q104" i="3" s="1"/>
  <c r="AI278" i="7"/>
  <c r="Q105" i="3" s="1"/>
  <c r="AI279" i="7"/>
  <c r="Q106" i="3" s="1"/>
  <c r="AI280" i="7"/>
  <c r="Q107" i="3" s="1"/>
  <c r="AI281" i="7"/>
  <c r="Q108" i="3" s="1"/>
  <c r="AI282" i="7"/>
  <c r="Q109" i="3" s="1"/>
  <c r="AI283" i="7"/>
  <c r="Q110" i="3" s="1"/>
  <c r="AI284" i="7"/>
  <c r="Q111" i="3" s="1"/>
  <c r="AI285" i="7"/>
  <c r="Q112" i="3" s="1"/>
  <c r="AI286" i="7"/>
  <c r="Q113" i="3" s="1"/>
  <c r="AI287" i="7"/>
  <c r="Q114" i="3" s="1"/>
  <c r="AI269" i="4"/>
  <c r="Q4" i="3" s="1"/>
  <c r="AI270" i="4"/>
  <c r="Q5" i="3" s="1"/>
  <c r="AI271" i="4"/>
  <c r="Q6" i="3" s="1"/>
  <c r="AI272" i="4"/>
  <c r="Q7" i="3" s="1"/>
  <c r="AI273" i="4"/>
  <c r="Q8" i="3" s="1"/>
  <c r="AI274" i="4"/>
  <c r="Q9" i="3" s="1"/>
  <c r="AI275" i="4"/>
  <c r="Q10" i="3" s="1"/>
  <c r="AI276" i="4"/>
  <c r="Q11" i="3" s="1"/>
  <c r="AI277" i="4"/>
  <c r="Q12" i="3" s="1"/>
  <c r="AI278" i="4"/>
  <c r="Q13" i="3" s="1"/>
  <c r="AI279" i="4"/>
  <c r="Q14" i="3" s="1"/>
  <c r="AI280" i="4"/>
  <c r="Q15" i="3" s="1"/>
  <c r="AI281" i="4"/>
  <c r="Q16" i="3" s="1"/>
  <c r="AI282" i="4"/>
  <c r="Q17" i="3" s="1"/>
  <c r="AI283" i="4"/>
  <c r="Q18" i="3" s="1"/>
  <c r="AI284" i="4"/>
  <c r="Q19" i="3" s="1"/>
  <c r="AI285" i="4"/>
  <c r="Q20" i="3" s="1"/>
  <c r="AI286" i="4"/>
  <c r="Q21" i="3" s="1"/>
  <c r="AI287" i="4"/>
  <c r="Q22" i="3" s="1"/>
  <c r="AI245" i="2"/>
  <c r="P27" i="3" s="1"/>
  <c r="AI246" i="2"/>
  <c r="P28" i="3" s="1"/>
  <c r="AI247" i="2"/>
  <c r="P29" i="3" s="1"/>
  <c r="AI248" i="2"/>
  <c r="P30" i="3" s="1"/>
  <c r="AI249" i="2"/>
  <c r="P31" i="3" s="1"/>
  <c r="AI250" i="2"/>
  <c r="P32" i="3" s="1"/>
  <c r="AI251" i="2"/>
  <c r="P33" i="3" s="1"/>
  <c r="AI252" i="2"/>
  <c r="P34" i="3" s="1"/>
  <c r="AI253" i="2"/>
  <c r="P35" i="3" s="1"/>
  <c r="AI254" i="2"/>
  <c r="P36" i="3" s="1"/>
  <c r="AI255" i="2"/>
  <c r="P37" i="3" s="1"/>
  <c r="AI256" i="2"/>
  <c r="P38" i="3" s="1"/>
  <c r="AI257" i="2"/>
  <c r="P39" i="3" s="1"/>
  <c r="AI258" i="2"/>
  <c r="P40" i="3" s="1"/>
  <c r="AI259" i="2"/>
  <c r="P41" i="3" s="1"/>
  <c r="AI260" i="2"/>
  <c r="P42" i="3" s="1"/>
  <c r="AI261" i="2"/>
  <c r="P43" i="3" s="1"/>
  <c r="AI262" i="2"/>
  <c r="P44" i="3" s="1"/>
  <c r="AI263" i="2"/>
  <c r="P45" i="3" s="1"/>
  <c r="AI245" i="5"/>
  <c r="P50" i="3" s="1"/>
  <c r="AI246" i="5"/>
  <c r="P51" i="3" s="1"/>
  <c r="AI247" i="5"/>
  <c r="P52" i="3" s="1"/>
  <c r="AI248" i="5"/>
  <c r="P53" i="3" s="1"/>
  <c r="AI249" i="5"/>
  <c r="P54" i="3" s="1"/>
  <c r="AI250" i="5"/>
  <c r="P55" i="3" s="1"/>
  <c r="AI251" i="5"/>
  <c r="P56" i="3" s="1"/>
  <c r="AI252" i="5"/>
  <c r="P57" i="3" s="1"/>
  <c r="AI253" i="5"/>
  <c r="P58" i="3" s="1"/>
  <c r="AI254" i="5"/>
  <c r="P59" i="3" s="1"/>
  <c r="AI255" i="5"/>
  <c r="P60" i="3" s="1"/>
  <c r="AI256" i="5"/>
  <c r="P61" i="3" s="1"/>
  <c r="AI257" i="5"/>
  <c r="P62" i="3" s="1"/>
  <c r="AI258" i="5"/>
  <c r="P63" i="3" s="1"/>
  <c r="AI259" i="5"/>
  <c r="P64" i="3" s="1"/>
  <c r="AI260" i="5"/>
  <c r="P65" i="3" s="1"/>
  <c r="AI261" i="5"/>
  <c r="P66" i="3" s="1"/>
  <c r="AI262" i="5"/>
  <c r="P67" i="3" s="1"/>
  <c r="AI263" i="5"/>
  <c r="P68" i="3" s="1"/>
  <c r="AI245" i="6"/>
  <c r="P73" i="3" s="1"/>
  <c r="AI246" i="6"/>
  <c r="P74" i="3" s="1"/>
  <c r="AI247" i="6"/>
  <c r="P75" i="3" s="1"/>
  <c r="AI248" i="6"/>
  <c r="AI249" i="6"/>
  <c r="P77" i="3" s="1"/>
  <c r="AI250" i="6"/>
  <c r="AI251" i="6"/>
  <c r="P79" i="3" s="1"/>
  <c r="AI252" i="6"/>
  <c r="P80" i="3" s="1"/>
  <c r="AI253" i="6"/>
  <c r="P81" i="3" s="1"/>
  <c r="AI254" i="6"/>
  <c r="P82" i="3" s="1"/>
  <c r="AI255" i="6"/>
  <c r="P83" i="3" s="1"/>
  <c r="AI256" i="6"/>
  <c r="AI257" i="6"/>
  <c r="P85" i="3" s="1"/>
  <c r="AI258" i="6"/>
  <c r="P86" i="3" s="1"/>
  <c r="AI259" i="6"/>
  <c r="P87" i="3" s="1"/>
  <c r="AI260" i="6"/>
  <c r="AI261" i="6"/>
  <c r="P89" i="3" s="1"/>
  <c r="AI262" i="6"/>
  <c r="P90" i="3" s="1"/>
  <c r="AI263" i="6"/>
  <c r="P91" i="3" s="1"/>
  <c r="AI245" i="7"/>
  <c r="AI246" i="7"/>
  <c r="P97" i="3" s="1"/>
  <c r="AI247" i="7"/>
  <c r="AI248" i="7"/>
  <c r="P99" i="3" s="1"/>
  <c r="AI249" i="7"/>
  <c r="P100" i="3" s="1"/>
  <c r="AI250" i="7"/>
  <c r="P101" i="3" s="1"/>
  <c r="AI251" i="7"/>
  <c r="P102" i="3" s="1"/>
  <c r="AI252" i="7"/>
  <c r="P103" i="3" s="1"/>
  <c r="AI253" i="7"/>
  <c r="P104" i="3" s="1"/>
  <c r="AI254" i="7"/>
  <c r="P105" i="3" s="1"/>
  <c r="AI255" i="7"/>
  <c r="P106" i="3" s="1"/>
  <c r="AI256" i="7"/>
  <c r="P107" i="3" s="1"/>
  <c r="AI257" i="7"/>
  <c r="P108" i="3" s="1"/>
  <c r="AI258" i="7"/>
  <c r="P109" i="3" s="1"/>
  <c r="AI259" i="7"/>
  <c r="P110" i="3" s="1"/>
  <c r="AI260" i="7"/>
  <c r="P111" i="3" s="1"/>
  <c r="AI261" i="7"/>
  <c r="P112" i="3" s="1"/>
  <c r="AI262" i="7"/>
  <c r="P113" i="3" s="1"/>
  <c r="AI263" i="7"/>
  <c r="P114" i="3" s="1"/>
  <c r="AI245" i="4"/>
  <c r="P4" i="3" s="1"/>
  <c r="AI246" i="4"/>
  <c r="P5" i="3" s="1"/>
  <c r="AI247" i="4"/>
  <c r="P6" i="3" s="1"/>
  <c r="AI248" i="4"/>
  <c r="P7" i="3" s="1"/>
  <c r="AI249" i="4"/>
  <c r="P8" i="3" s="1"/>
  <c r="AI250" i="4"/>
  <c r="AI251" i="4"/>
  <c r="P10" i="3" s="1"/>
  <c r="AI252" i="4"/>
  <c r="P11" i="3" s="1"/>
  <c r="AI253" i="4"/>
  <c r="P12" i="3" s="1"/>
  <c r="AI254" i="4"/>
  <c r="P13" i="3" s="1"/>
  <c r="AI255" i="4"/>
  <c r="P14" i="3" s="1"/>
  <c r="AI256" i="4"/>
  <c r="P15" i="3" s="1"/>
  <c r="AI257" i="4"/>
  <c r="P16" i="3" s="1"/>
  <c r="AI258" i="4"/>
  <c r="P17" i="3" s="1"/>
  <c r="AI259" i="4"/>
  <c r="P18" i="3" s="1"/>
  <c r="AI260" i="4"/>
  <c r="P19" i="3" s="1"/>
  <c r="AI261" i="4"/>
  <c r="P20" i="3" s="1"/>
  <c r="AI262" i="4"/>
  <c r="P21" i="3" s="1"/>
  <c r="AI263" i="4"/>
  <c r="P22" i="3" s="1"/>
  <c r="AI221" i="2"/>
  <c r="O27" i="3" s="1"/>
  <c r="AI222" i="2"/>
  <c r="O28" i="3" s="1"/>
  <c r="AI223" i="2"/>
  <c r="O29" i="3" s="1"/>
  <c r="AI224" i="2"/>
  <c r="O30" i="3" s="1"/>
  <c r="AI225" i="2"/>
  <c r="O31" i="3" s="1"/>
  <c r="AI226" i="2"/>
  <c r="O32" i="3" s="1"/>
  <c r="AI227" i="2"/>
  <c r="O33" i="3" s="1"/>
  <c r="AI228" i="2"/>
  <c r="O34" i="3" s="1"/>
  <c r="AI229" i="2"/>
  <c r="O35" i="3" s="1"/>
  <c r="AI230" i="2"/>
  <c r="O36" i="3" s="1"/>
  <c r="AI231" i="2"/>
  <c r="O37" i="3" s="1"/>
  <c r="AI232" i="2"/>
  <c r="O38" i="3" s="1"/>
  <c r="AI233" i="2"/>
  <c r="O39" i="3" s="1"/>
  <c r="AI234" i="2"/>
  <c r="O40" i="3" s="1"/>
  <c r="AI235" i="2"/>
  <c r="O41" i="3" s="1"/>
  <c r="AI236" i="2"/>
  <c r="O42" i="3" s="1"/>
  <c r="AI237" i="2"/>
  <c r="O43" i="3" s="1"/>
  <c r="AI238" i="2"/>
  <c r="O44" i="3" s="1"/>
  <c r="AI239" i="2"/>
  <c r="O45" i="3" s="1"/>
  <c r="AI221" i="5"/>
  <c r="O50" i="3" s="1"/>
  <c r="AI222" i="5"/>
  <c r="O51" i="3" s="1"/>
  <c r="AI223" i="5"/>
  <c r="O52" i="3" s="1"/>
  <c r="AI224" i="5"/>
  <c r="O53" i="3" s="1"/>
  <c r="AI225" i="5"/>
  <c r="O54" i="3" s="1"/>
  <c r="AI226" i="5"/>
  <c r="O55" i="3" s="1"/>
  <c r="AI227" i="5"/>
  <c r="O56" i="3" s="1"/>
  <c r="AI228" i="5"/>
  <c r="O57" i="3" s="1"/>
  <c r="AI229" i="5"/>
  <c r="O58" i="3" s="1"/>
  <c r="AI230" i="5"/>
  <c r="O59" i="3" s="1"/>
  <c r="AI231" i="5"/>
  <c r="O60" i="3" s="1"/>
  <c r="AI232" i="5"/>
  <c r="O61" i="3" s="1"/>
  <c r="AI233" i="5"/>
  <c r="O62" i="3" s="1"/>
  <c r="AI234" i="5"/>
  <c r="O63" i="3" s="1"/>
  <c r="AI235" i="5"/>
  <c r="O64" i="3" s="1"/>
  <c r="AI236" i="5"/>
  <c r="O65" i="3" s="1"/>
  <c r="AI237" i="5"/>
  <c r="O66" i="3" s="1"/>
  <c r="AI238" i="5"/>
  <c r="O67" i="3" s="1"/>
  <c r="AI239" i="5"/>
  <c r="O68" i="3" s="1"/>
  <c r="AI221" i="6"/>
  <c r="O73" i="3" s="1"/>
  <c r="AI222" i="6"/>
  <c r="O74" i="3" s="1"/>
  <c r="AI223" i="6"/>
  <c r="O75" i="3" s="1"/>
  <c r="AI224" i="6"/>
  <c r="O76" i="3" s="1"/>
  <c r="AI225" i="6"/>
  <c r="O77" i="3" s="1"/>
  <c r="AI226" i="6"/>
  <c r="O78" i="3" s="1"/>
  <c r="AI227" i="6"/>
  <c r="O79" i="3" s="1"/>
  <c r="AI228" i="6"/>
  <c r="O80" i="3" s="1"/>
  <c r="AI229" i="6"/>
  <c r="O81" i="3" s="1"/>
  <c r="AI230" i="6"/>
  <c r="O82" i="3" s="1"/>
  <c r="AI231" i="6"/>
  <c r="O83" i="3" s="1"/>
  <c r="AI232" i="6"/>
  <c r="O84" i="3" s="1"/>
  <c r="AI233" i="6"/>
  <c r="O85" i="3" s="1"/>
  <c r="AI234" i="6"/>
  <c r="O86" i="3" s="1"/>
  <c r="AI235" i="6"/>
  <c r="O87" i="3" s="1"/>
  <c r="AI236" i="6"/>
  <c r="O88" i="3" s="1"/>
  <c r="AI237" i="6"/>
  <c r="O89" i="3" s="1"/>
  <c r="AI238" i="6"/>
  <c r="O90" i="3" s="1"/>
  <c r="AI239" i="6"/>
  <c r="O91" i="3" s="1"/>
  <c r="AI221" i="7"/>
  <c r="O96" i="3" s="1"/>
  <c r="AI222" i="7"/>
  <c r="AI223" i="7"/>
  <c r="O98" i="3" s="1"/>
  <c r="AI224" i="7"/>
  <c r="O99" i="3" s="1"/>
  <c r="AI225" i="7"/>
  <c r="O100" i="3" s="1"/>
  <c r="AI226" i="7"/>
  <c r="O101" i="3" s="1"/>
  <c r="AI227" i="7"/>
  <c r="O102" i="3" s="1"/>
  <c r="AI228" i="7"/>
  <c r="O103" i="3" s="1"/>
  <c r="AI229" i="7"/>
  <c r="O104" i="3" s="1"/>
  <c r="AI230" i="7"/>
  <c r="O105" i="3" s="1"/>
  <c r="AI231" i="7"/>
  <c r="O106" i="3" s="1"/>
  <c r="AI232" i="7"/>
  <c r="O107" i="3" s="1"/>
  <c r="AI233" i="7"/>
  <c r="O108" i="3" s="1"/>
  <c r="AI234" i="7"/>
  <c r="O109" i="3" s="1"/>
  <c r="AI235" i="7"/>
  <c r="AI236" i="7"/>
  <c r="O111" i="3" s="1"/>
  <c r="AI237" i="7"/>
  <c r="O112" i="3" s="1"/>
  <c r="AI238" i="7"/>
  <c r="O113" i="3" s="1"/>
  <c r="AI239" i="7"/>
  <c r="O114" i="3" s="1"/>
  <c r="AI221" i="4"/>
  <c r="O4" i="3" s="1"/>
  <c r="AI222" i="4"/>
  <c r="O5" i="3" s="1"/>
  <c r="AI223" i="4"/>
  <c r="O6" i="3" s="1"/>
  <c r="AI224" i="4"/>
  <c r="O7" i="3" s="1"/>
  <c r="AI225" i="4"/>
  <c r="O8" i="3" s="1"/>
  <c r="AI226" i="4"/>
  <c r="O9" i="3" s="1"/>
  <c r="AI227" i="4"/>
  <c r="O10" i="3" s="1"/>
  <c r="AI228" i="4"/>
  <c r="O11" i="3" s="1"/>
  <c r="AI229" i="4"/>
  <c r="O12" i="3" s="1"/>
  <c r="AI230" i="4"/>
  <c r="O13" i="3" s="1"/>
  <c r="AI231" i="4"/>
  <c r="O14" i="3" s="1"/>
  <c r="AI232" i="4"/>
  <c r="O15" i="3" s="1"/>
  <c r="AI233" i="4"/>
  <c r="O16" i="3" s="1"/>
  <c r="AI234" i="4"/>
  <c r="O17" i="3" s="1"/>
  <c r="AI235" i="4"/>
  <c r="AI236" i="4"/>
  <c r="O19" i="3" s="1"/>
  <c r="AI237" i="4"/>
  <c r="O20" i="3" s="1"/>
  <c r="AI238" i="4"/>
  <c r="O21" i="3" s="1"/>
  <c r="AI239" i="4"/>
  <c r="O22" i="3" s="1"/>
  <c r="AI197" i="2"/>
  <c r="N27" i="3" s="1"/>
  <c r="AI198" i="2"/>
  <c r="N28" i="3" s="1"/>
  <c r="AI199" i="2"/>
  <c r="N29" i="3" s="1"/>
  <c r="AI200" i="2"/>
  <c r="N30" i="3" s="1"/>
  <c r="AI201" i="2"/>
  <c r="N31" i="3" s="1"/>
  <c r="AI202" i="2"/>
  <c r="N32" i="3" s="1"/>
  <c r="AI203" i="2"/>
  <c r="N33" i="3" s="1"/>
  <c r="AI204" i="2"/>
  <c r="N34" i="3" s="1"/>
  <c r="AI205" i="2"/>
  <c r="N35" i="3" s="1"/>
  <c r="AI206" i="2"/>
  <c r="N36" i="3" s="1"/>
  <c r="AI207" i="2"/>
  <c r="N37" i="3" s="1"/>
  <c r="AI208" i="2"/>
  <c r="N38" i="3" s="1"/>
  <c r="AI209" i="2"/>
  <c r="N39" i="3" s="1"/>
  <c r="AI210" i="2"/>
  <c r="N40" i="3" s="1"/>
  <c r="AI211" i="2"/>
  <c r="N41" i="3" s="1"/>
  <c r="AI212" i="2"/>
  <c r="N42" i="3" s="1"/>
  <c r="AI213" i="2"/>
  <c r="N43" i="3" s="1"/>
  <c r="AI214" i="2"/>
  <c r="N44" i="3" s="1"/>
  <c r="AI215" i="2"/>
  <c r="N45" i="3" s="1"/>
  <c r="AI197" i="5"/>
  <c r="AI198" i="5"/>
  <c r="N51" i="3" s="1"/>
  <c r="AI199" i="5"/>
  <c r="N52" i="3" s="1"/>
  <c r="AI200" i="5"/>
  <c r="N53" i="3" s="1"/>
  <c r="AI201" i="5"/>
  <c r="N54" i="3" s="1"/>
  <c r="AI202" i="5"/>
  <c r="AI203" i="5"/>
  <c r="N56" i="3" s="1"/>
  <c r="AI204" i="5"/>
  <c r="N57" i="3" s="1"/>
  <c r="AI205" i="5"/>
  <c r="N58" i="3" s="1"/>
  <c r="AI206" i="5"/>
  <c r="N59" i="3" s="1"/>
  <c r="AI207" i="5"/>
  <c r="N60" i="3" s="1"/>
  <c r="AI208" i="5"/>
  <c r="N61" i="3" s="1"/>
  <c r="AI209" i="5"/>
  <c r="N62" i="3" s="1"/>
  <c r="AI210" i="5"/>
  <c r="N63" i="3" s="1"/>
  <c r="AI211" i="5"/>
  <c r="N64" i="3" s="1"/>
  <c r="AI212" i="5"/>
  <c r="N65" i="3" s="1"/>
  <c r="AI213" i="5"/>
  <c r="N66" i="3" s="1"/>
  <c r="AI214" i="5"/>
  <c r="N67" i="3" s="1"/>
  <c r="AI215" i="5"/>
  <c r="N68" i="3" s="1"/>
  <c r="AI197" i="6"/>
  <c r="N73" i="3" s="1"/>
  <c r="AI198" i="6"/>
  <c r="N74" i="3" s="1"/>
  <c r="AI199" i="6"/>
  <c r="N75" i="3" s="1"/>
  <c r="AI200" i="6"/>
  <c r="N76" i="3" s="1"/>
  <c r="AI201" i="6"/>
  <c r="N77" i="3" s="1"/>
  <c r="AI202" i="6"/>
  <c r="N78" i="3" s="1"/>
  <c r="AI203" i="6"/>
  <c r="N79" i="3" s="1"/>
  <c r="AI204" i="6"/>
  <c r="N80" i="3" s="1"/>
  <c r="AI205" i="6"/>
  <c r="N81" i="3" s="1"/>
  <c r="AI206" i="6"/>
  <c r="N82" i="3" s="1"/>
  <c r="AI207" i="6"/>
  <c r="N83" i="3" s="1"/>
  <c r="AI208" i="6"/>
  <c r="N84" i="3" s="1"/>
  <c r="AI209" i="6"/>
  <c r="N85" i="3" s="1"/>
  <c r="AI210" i="6"/>
  <c r="N86" i="3" s="1"/>
  <c r="AI211" i="6"/>
  <c r="N87" i="3" s="1"/>
  <c r="AI212" i="6"/>
  <c r="N88" i="3" s="1"/>
  <c r="AI213" i="6"/>
  <c r="N89" i="3" s="1"/>
  <c r="AI214" i="6"/>
  <c r="N90" i="3" s="1"/>
  <c r="AI215" i="6"/>
  <c r="N91" i="3" s="1"/>
  <c r="AI197" i="7"/>
  <c r="N96" i="3" s="1"/>
  <c r="AI198" i="7"/>
  <c r="N97" i="3" s="1"/>
  <c r="AI199" i="7"/>
  <c r="N98" i="3" s="1"/>
  <c r="AI200" i="7"/>
  <c r="N99" i="3" s="1"/>
  <c r="AI201" i="7"/>
  <c r="AI202" i="7"/>
  <c r="N101" i="3" s="1"/>
  <c r="AI203" i="7"/>
  <c r="N102" i="3" s="1"/>
  <c r="AI204" i="7"/>
  <c r="N103" i="3" s="1"/>
  <c r="AI205" i="7"/>
  <c r="N104" i="3" s="1"/>
  <c r="AI206" i="7"/>
  <c r="N105" i="3" s="1"/>
  <c r="AI207" i="7"/>
  <c r="N106" i="3" s="1"/>
  <c r="AI208" i="7"/>
  <c r="N107" i="3" s="1"/>
  <c r="AI209" i="7"/>
  <c r="N108" i="3" s="1"/>
  <c r="AI210" i="7"/>
  <c r="N109" i="3" s="1"/>
  <c r="AI211" i="7"/>
  <c r="N110" i="3" s="1"/>
  <c r="AI212" i="7"/>
  <c r="N111" i="3" s="1"/>
  <c r="AI213" i="7"/>
  <c r="N112" i="3" s="1"/>
  <c r="AI214" i="7"/>
  <c r="N113" i="3" s="1"/>
  <c r="AI215" i="7"/>
  <c r="N114" i="3" s="1"/>
  <c r="AI197" i="4"/>
  <c r="N4" i="3" s="1"/>
  <c r="AI198" i="4"/>
  <c r="N5" i="3" s="1"/>
  <c r="AI199" i="4"/>
  <c r="N6" i="3" s="1"/>
  <c r="AI200" i="4"/>
  <c r="N7" i="3" s="1"/>
  <c r="AI201" i="4"/>
  <c r="N8" i="3" s="1"/>
  <c r="AI202" i="4"/>
  <c r="N9" i="3" s="1"/>
  <c r="AI203" i="4"/>
  <c r="N10" i="3" s="1"/>
  <c r="AI204" i="4"/>
  <c r="N11" i="3" s="1"/>
  <c r="AI205" i="4"/>
  <c r="N12" i="3" s="1"/>
  <c r="AI206" i="4"/>
  <c r="N13" i="3" s="1"/>
  <c r="AI207" i="4"/>
  <c r="N14" i="3" s="1"/>
  <c r="AI208" i="4"/>
  <c r="N15" i="3" s="1"/>
  <c r="AI209" i="4"/>
  <c r="N16" i="3" s="1"/>
  <c r="AI210" i="4"/>
  <c r="N17" i="3" s="1"/>
  <c r="AI211" i="4"/>
  <c r="N18" i="3" s="1"/>
  <c r="AI212" i="4"/>
  <c r="N19" i="3" s="1"/>
  <c r="AI213" i="4"/>
  <c r="N20" i="3" s="1"/>
  <c r="AI214" i="4"/>
  <c r="N21" i="3" s="1"/>
  <c r="AI215" i="4"/>
  <c r="N22" i="3" s="1"/>
  <c r="AI173" i="2"/>
  <c r="M27" i="3" s="1"/>
  <c r="AI174" i="2"/>
  <c r="M28" i="3" s="1"/>
  <c r="AI175" i="2"/>
  <c r="M29" i="3" s="1"/>
  <c r="AI176" i="2"/>
  <c r="M30" i="3" s="1"/>
  <c r="AI177" i="2"/>
  <c r="AI178" i="2"/>
  <c r="M32" i="3" s="1"/>
  <c r="AI179" i="2"/>
  <c r="M33" i="3" s="1"/>
  <c r="AI180" i="2"/>
  <c r="M34" i="3" s="1"/>
  <c r="AI181" i="2"/>
  <c r="M35" i="3" s="1"/>
  <c r="AI182" i="2"/>
  <c r="M36" i="3" s="1"/>
  <c r="AI183" i="2"/>
  <c r="M37" i="3" s="1"/>
  <c r="AI184" i="2"/>
  <c r="M38" i="3" s="1"/>
  <c r="AI185" i="2"/>
  <c r="M39" i="3" s="1"/>
  <c r="AI186" i="2"/>
  <c r="M40" i="3" s="1"/>
  <c r="AI187" i="2"/>
  <c r="M41" i="3" s="1"/>
  <c r="AI188" i="2"/>
  <c r="M42" i="3" s="1"/>
  <c r="AI189" i="2"/>
  <c r="M43" i="3" s="1"/>
  <c r="AI190" i="2"/>
  <c r="M44" i="3" s="1"/>
  <c r="AI191" i="2"/>
  <c r="M45" i="3" s="1"/>
  <c r="AI173" i="5"/>
  <c r="M50" i="3" s="1"/>
  <c r="AI174" i="5"/>
  <c r="M51" i="3" s="1"/>
  <c r="AI175" i="5"/>
  <c r="M52" i="3" s="1"/>
  <c r="AI176" i="5"/>
  <c r="M53" i="3" s="1"/>
  <c r="AI177" i="5"/>
  <c r="M54" i="3" s="1"/>
  <c r="AI178" i="5"/>
  <c r="M55" i="3" s="1"/>
  <c r="AI179" i="5"/>
  <c r="M56" i="3" s="1"/>
  <c r="AI180" i="5"/>
  <c r="M57" i="3" s="1"/>
  <c r="AI181" i="5"/>
  <c r="M58" i="3" s="1"/>
  <c r="AI182" i="5"/>
  <c r="M59" i="3" s="1"/>
  <c r="AI183" i="5"/>
  <c r="M60" i="3" s="1"/>
  <c r="AI184" i="5"/>
  <c r="M61" i="3" s="1"/>
  <c r="AI185" i="5"/>
  <c r="M62" i="3" s="1"/>
  <c r="AI186" i="5"/>
  <c r="M63" i="3" s="1"/>
  <c r="AI187" i="5"/>
  <c r="M64" i="3" s="1"/>
  <c r="AI188" i="5"/>
  <c r="M65" i="3" s="1"/>
  <c r="AI189" i="5"/>
  <c r="M66" i="3" s="1"/>
  <c r="AI190" i="5"/>
  <c r="M67" i="3" s="1"/>
  <c r="AI191" i="5"/>
  <c r="M68" i="3" s="1"/>
  <c r="AI173" i="6"/>
  <c r="AI174" i="6"/>
  <c r="M74" i="3" s="1"/>
  <c r="AI175" i="6"/>
  <c r="M75" i="3" s="1"/>
  <c r="AI176" i="6"/>
  <c r="M76" i="3" s="1"/>
  <c r="AI177" i="6"/>
  <c r="M77" i="3" s="1"/>
  <c r="AI178" i="6"/>
  <c r="M78" i="3" s="1"/>
  <c r="AI179" i="6"/>
  <c r="M79" i="3" s="1"/>
  <c r="AI180" i="6"/>
  <c r="M80" i="3" s="1"/>
  <c r="AI181" i="6"/>
  <c r="M81" i="3" s="1"/>
  <c r="AI182" i="6"/>
  <c r="M82" i="3" s="1"/>
  <c r="AI183" i="6"/>
  <c r="M83" i="3" s="1"/>
  <c r="AI184" i="6"/>
  <c r="M84" i="3" s="1"/>
  <c r="AI185" i="6"/>
  <c r="M85" i="3" s="1"/>
  <c r="AI186" i="6"/>
  <c r="M86" i="3" s="1"/>
  <c r="AI187" i="6"/>
  <c r="M87" i="3" s="1"/>
  <c r="AI188" i="6"/>
  <c r="M88" i="3" s="1"/>
  <c r="AI189" i="6"/>
  <c r="M89" i="3" s="1"/>
  <c r="AI190" i="6"/>
  <c r="M90" i="3" s="1"/>
  <c r="AI191" i="6"/>
  <c r="M91" i="3" s="1"/>
  <c r="AI173" i="7"/>
  <c r="M96" i="3" s="1"/>
  <c r="AI174" i="7"/>
  <c r="M97" i="3" s="1"/>
  <c r="AI175" i="7"/>
  <c r="M98" i="3" s="1"/>
  <c r="AI176" i="7"/>
  <c r="M99" i="3" s="1"/>
  <c r="AI177" i="7"/>
  <c r="M100" i="3" s="1"/>
  <c r="AI178" i="7"/>
  <c r="M101" i="3" s="1"/>
  <c r="AI179" i="7"/>
  <c r="M102" i="3" s="1"/>
  <c r="AI180" i="7"/>
  <c r="M103" i="3" s="1"/>
  <c r="AI181" i="7"/>
  <c r="M104" i="3" s="1"/>
  <c r="AI182" i="7"/>
  <c r="M105" i="3" s="1"/>
  <c r="AI183" i="7"/>
  <c r="M106" i="3" s="1"/>
  <c r="AI184" i="7"/>
  <c r="M107" i="3" s="1"/>
  <c r="AI185" i="7"/>
  <c r="M108" i="3" s="1"/>
  <c r="AI186" i="7"/>
  <c r="M109" i="3" s="1"/>
  <c r="AI187" i="7"/>
  <c r="M110" i="3" s="1"/>
  <c r="AI188" i="7"/>
  <c r="M111" i="3" s="1"/>
  <c r="AI189" i="7"/>
  <c r="M112" i="3" s="1"/>
  <c r="AI190" i="7"/>
  <c r="M113" i="3" s="1"/>
  <c r="AI191" i="7"/>
  <c r="M114" i="3" s="1"/>
  <c r="AI173" i="4"/>
  <c r="AI174" i="4"/>
  <c r="M5" i="3" s="1"/>
  <c r="AI175" i="4"/>
  <c r="M6" i="3" s="1"/>
  <c r="AI176" i="4"/>
  <c r="M7" i="3" s="1"/>
  <c r="AI177" i="4"/>
  <c r="M8" i="3" s="1"/>
  <c r="AI178" i="4"/>
  <c r="M9" i="3" s="1"/>
  <c r="AI179" i="4"/>
  <c r="M10" i="3" s="1"/>
  <c r="AI180" i="4"/>
  <c r="M11" i="3" s="1"/>
  <c r="AI181" i="4"/>
  <c r="M12" i="3" s="1"/>
  <c r="AI182" i="4"/>
  <c r="M13" i="3" s="1"/>
  <c r="AI183" i="4"/>
  <c r="M14" i="3" s="1"/>
  <c r="AI184" i="4"/>
  <c r="M15" i="3" s="1"/>
  <c r="AI185" i="4"/>
  <c r="M16" i="3" s="1"/>
  <c r="AI186" i="4"/>
  <c r="M17" i="3" s="1"/>
  <c r="AI187" i="4"/>
  <c r="M18" i="3" s="1"/>
  <c r="AI188" i="4"/>
  <c r="M19" i="3" s="1"/>
  <c r="AI189" i="4"/>
  <c r="M20" i="3" s="1"/>
  <c r="AI190" i="4"/>
  <c r="M21" i="3" s="1"/>
  <c r="AI191" i="4"/>
  <c r="M22" i="3" s="1"/>
  <c r="AI149" i="2"/>
  <c r="L27" i="3" s="1"/>
  <c r="AI150" i="2"/>
  <c r="L28" i="3" s="1"/>
  <c r="AI151" i="2"/>
  <c r="L29" i="3" s="1"/>
  <c r="AI152" i="2"/>
  <c r="L30" i="3" s="1"/>
  <c r="AI153" i="2"/>
  <c r="L31" i="3" s="1"/>
  <c r="AI154" i="2"/>
  <c r="L32" i="3" s="1"/>
  <c r="AI155" i="2"/>
  <c r="L33" i="3" s="1"/>
  <c r="AI156" i="2"/>
  <c r="AI157" i="2"/>
  <c r="L35" i="3" s="1"/>
  <c r="AI158" i="2"/>
  <c r="AI159" i="2"/>
  <c r="L37" i="3" s="1"/>
  <c r="AI160" i="2"/>
  <c r="L38" i="3" s="1"/>
  <c r="AI161" i="2"/>
  <c r="L39" i="3" s="1"/>
  <c r="AI162" i="2"/>
  <c r="AI163" i="2"/>
  <c r="L41" i="3" s="1"/>
  <c r="AI164" i="2"/>
  <c r="L42" i="3" s="1"/>
  <c r="AI165" i="2"/>
  <c r="L43" i="3" s="1"/>
  <c r="AI166" i="2"/>
  <c r="L44" i="3" s="1"/>
  <c r="AI167" i="2"/>
  <c r="L45" i="3" s="1"/>
  <c r="AI149" i="5"/>
  <c r="L50" i="3" s="1"/>
  <c r="AI150" i="5"/>
  <c r="L51" i="3" s="1"/>
  <c r="AI151" i="5"/>
  <c r="L52" i="3" s="1"/>
  <c r="AI152" i="5"/>
  <c r="L53" i="3" s="1"/>
  <c r="AI153" i="5"/>
  <c r="L54" i="3" s="1"/>
  <c r="AI154" i="5"/>
  <c r="L55" i="3" s="1"/>
  <c r="AI155" i="5"/>
  <c r="L56" i="3" s="1"/>
  <c r="AI156" i="5"/>
  <c r="L57" i="3" s="1"/>
  <c r="AI157" i="5"/>
  <c r="L58" i="3" s="1"/>
  <c r="AI158" i="5"/>
  <c r="L59" i="3" s="1"/>
  <c r="AI159" i="5"/>
  <c r="L60" i="3" s="1"/>
  <c r="AI160" i="5"/>
  <c r="L61" i="3" s="1"/>
  <c r="AI161" i="5"/>
  <c r="L62" i="3" s="1"/>
  <c r="AI162" i="5"/>
  <c r="L63" i="3" s="1"/>
  <c r="AI163" i="5"/>
  <c r="L64" i="3" s="1"/>
  <c r="AI164" i="5"/>
  <c r="L65" i="3" s="1"/>
  <c r="AI165" i="5"/>
  <c r="L66" i="3" s="1"/>
  <c r="AI166" i="5"/>
  <c r="L67" i="3" s="1"/>
  <c r="AI167" i="5"/>
  <c r="L68" i="3" s="1"/>
  <c r="AI149" i="6"/>
  <c r="L73" i="3" s="1"/>
  <c r="AI150" i="6"/>
  <c r="L74" i="3" s="1"/>
  <c r="AI151" i="6"/>
  <c r="L75" i="3" s="1"/>
  <c r="AI152" i="6"/>
  <c r="L76" i="3" s="1"/>
  <c r="AI153" i="6"/>
  <c r="L77" i="3" s="1"/>
  <c r="AI154" i="6"/>
  <c r="L78" i="3" s="1"/>
  <c r="AI155" i="6"/>
  <c r="L79" i="3" s="1"/>
  <c r="AI156" i="6"/>
  <c r="L80" i="3" s="1"/>
  <c r="AI157" i="6"/>
  <c r="L81" i="3" s="1"/>
  <c r="AI158" i="6"/>
  <c r="L82" i="3" s="1"/>
  <c r="AI159" i="6"/>
  <c r="L83" i="3" s="1"/>
  <c r="AI160" i="6"/>
  <c r="L84" i="3" s="1"/>
  <c r="AI161" i="6"/>
  <c r="L85" i="3" s="1"/>
  <c r="AI162" i="6"/>
  <c r="L86" i="3" s="1"/>
  <c r="AI163" i="6"/>
  <c r="L87" i="3" s="1"/>
  <c r="AI164" i="6"/>
  <c r="L88" i="3" s="1"/>
  <c r="AI165" i="6"/>
  <c r="L89" i="3" s="1"/>
  <c r="AI166" i="6"/>
  <c r="L90" i="3" s="1"/>
  <c r="AI167" i="6"/>
  <c r="L91" i="3" s="1"/>
  <c r="AI149" i="7"/>
  <c r="L96" i="3" s="1"/>
  <c r="AI150" i="7"/>
  <c r="L97" i="3" s="1"/>
  <c r="AI151" i="7"/>
  <c r="L98" i="3" s="1"/>
  <c r="AI152" i="7"/>
  <c r="L99" i="3" s="1"/>
  <c r="AI153" i="7"/>
  <c r="L100" i="3" s="1"/>
  <c r="AI154" i="7"/>
  <c r="L101" i="3" s="1"/>
  <c r="AI155" i="7"/>
  <c r="L102" i="3" s="1"/>
  <c r="AI156" i="7"/>
  <c r="L103" i="3" s="1"/>
  <c r="AI157" i="7"/>
  <c r="L104" i="3" s="1"/>
  <c r="AI158" i="7"/>
  <c r="L105" i="3" s="1"/>
  <c r="AI159" i="7"/>
  <c r="L106" i="3" s="1"/>
  <c r="AI160" i="7"/>
  <c r="L107" i="3" s="1"/>
  <c r="AI161" i="7"/>
  <c r="L108" i="3" s="1"/>
  <c r="AI162" i="7"/>
  <c r="L109" i="3" s="1"/>
  <c r="AI163" i="7"/>
  <c r="L110" i="3" s="1"/>
  <c r="AI164" i="7"/>
  <c r="L111" i="3" s="1"/>
  <c r="AI165" i="7"/>
  <c r="L112" i="3" s="1"/>
  <c r="AI166" i="7"/>
  <c r="L113" i="3" s="1"/>
  <c r="AI167" i="7"/>
  <c r="L114" i="3" s="1"/>
  <c r="AI149" i="4"/>
  <c r="L4" i="3" s="1"/>
  <c r="AI150" i="4"/>
  <c r="L5" i="3" s="1"/>
  <c r="AI151" i="4"/>
  <c r="L6" i="3" s="1"/>
  <c r="AI152" i="4"/>
  <c r="L7" i="3" s="1"/>
  <c r="AI153" i="4"/>
  <c r="L8" i="3" s="1"/>
  <c r="AI154" i="4"/>
  <c r="L9" i="3" s="1"/>
  <c r="AI155" i="4"/>
  <c r="L10" i="3" s="1"/>
  <c r="AI156" i="4"/>
  <c r="L11" i="3" s="1"/>
  <c r="AI157" i="4"/>
  <c r="L12" i="3" s="1"/>
  <c r="AI158" i="4"/>
  <c r="L13" i="3" s="1"/>
  <c r="AI159" i="4"/>
  <c r="L14" i="3" s="1"/>
  <c r="AI160" i="4"/>
  <c r="L15" i="3" s="1"/>
  <c r="AI161" i="4"/>
  <c r="L16" i="3" s="1"/>
  <c r="AI162" i="4"/>
  <c r="L17" i="3" s="1"/>
  <c r="AI163" i="4"/>
  <c r="L18" i="3" s="1"/>
  <c r="AI164" i="4"/>
  <c r="L19" i="3" s="1"/>
  <c r="AI165" i="4"/>
  <c r="L20" i="3" s="1"/>
  <c r="AI166" i="4"/>
  <c r="L21" i="3" s="1"/>
  <c r="AI167" i="4"/>
  <c r="L22" i="3" s="1"/>
  <c r="AI125" i="2"/>
  <c r="AI126" i="2"/>
  <c r="K28" i="3" s="1"/>
  <c r="AI127" i="2"/>
  <c r="K29" i="3" s="1"/>
  <c r="AI128" i="2"/>
  <c r="K30" i="3" s="1"/>
  <c r="AI129" i="2"/>
  <c r="AI130" i="2"/>
  <c r="K32" i="3" s="1"/>
  <c r="AI131" i="2"/>
  <c r="K33" i="3" s="1"/>
  <c r="AI132" i="2"/>
  <c r="K34" i="3" s="1"/>
  <c r="AI133" i="2"/>
  <c r="K35" i="3" s="1"/>
  <c r="AI134" i="2"/>
  <c r="K36" i="3" s="1"/>
  <c r="AI135" i="2"/>
  <c r="K37" i="3" s="1"/>
  <c r="AI136" i="2"/>
  <c r="K38" i="3" s="1"/>
  <c r="AI137" i="2"/>
  <c r="AI138" i="2"/>
  <c r="K40" i="3" s="1"/>
  <c r="AI139" i="2"/>
  <c r="K41" i="3" s="1"/>
  <c r="AI140" i="2"/>
  <c r="K42" i="3" s="1"/>
  <c r="AI141" i="2"/>
  <c r="K43" i="3" s="1"/>
  <c r="AI142" i="2"/>
  <c r="K44" i="3" s="1"/>
  <c r="AI143" i="2"/>
  <c r="K45" i="3" s="1"/>
  <c r="AI125" i="5"/>
  <c r="K50" i="3" s="1"/>
  <c r="AI126" i="5"/>
  <c r="K51" i="3" s="1"/>
  <c r="AI127" i="5"/>
  <c r="K52" i="3" s="1"/>
  <c r="AI128" i="5"/>
  <c r="K53" i="3" s="1"/>
  <c r="AI129" i="5"/>
  <c r="K54" i="3" s="1"/>
  <c r="AI130" i="5"/>
  <c r="K55" i="3" s="1"/>
  <c r="AI131" i="5"/>
  <c r="K56" i="3" s="1"/>
  <c r="AI132" i="5"/>
  <c r="K57" i="3" s="1"/>
  <c r="AI133" i="5"/>
  <c r="K58" i="3" s="1"/>
  <c r="AI134" i="5"/>
  <c r="K59" i="3" s="1"/>
  <c r="AI135" i="5"/>
  <c r="K60" i="3" s="1"/>
  <c r="AI136" i="5"/>
  <c r="K61" i="3" s="1"/>
  <c r="AI137" i="5"/>
  <c r="K62" i="3" s="1"/>
  <c r="AI138" i="5"/>
  <c r="K63" i="3" s="1"/>
  <c r="AI139" i="5"/>
  <c r="K64" i="3" s="1"/>
  <c r="AI140" i="5"/>
  <c r="K65" i="3" s="1"/>
  <c r="AI141" i="5"/>
  <c r="K66" i="3" s="1"/>
  <c r="AI142" i="5"/>
  <c r="K67" i="3" s="1"/>
  <c r="AI143" i="5"/>
  <c r="K68" i="3" s="1"/>
  <c r="AI125" i="6"/>
  <c r="K73" i="3" s="1"/>
  <c r="AI126" i="6"/>
  <c r="K74" i="3" s="1"/>
  <c r="AI127" i="6"/>
  <c r="K75" i="3" s="1"/>
  <c r="AI128" i="6"/>
  <c r="K76" i="3" s="1"/>
  <c r="AI129" i="6"/>
  <c r="K77" i="3" s="1"/>
  <c r="AI130" i="6"/>
  <c r="K78" i="3" s="1"/>
  <c r="AI131" i="6"/>
  <c r="K79" i="3" s="1"/>
  <c r="AI132" i="6"/>
  <c r="K80" i="3" s="1"/>
  <c r="AI133" i="6"/>
  <c r="K81" i="3" s="1"/>
  <c r="AI134" i="6"/>
  <c r="K82" i="3" s="1"/>
  <c r="AI135" i="6"/>
  <c r="K83" i="3" s="1"/>
  <c r="AI136" i="6"/>
  <c r="K84" i="3" s="1"/>
  <c r="AI137" i="6"/>
  <c r="K85" i="3" s="1"/>
  <c r="AI138" i="6"/>
  <c r="K86" i="3" s="1"/>
  <c r="AI139" i="6"/>
  <c r="K87" i="3" s="1"/>
  <c r="AI140" i="6"/>
  <c r="K88" i="3" s="1"/>
  <c r="AI141" i="6"/>
  <c r="K89" i="3" s="1"/>
  <c r="AI142" i="6"/>
  <c r="K90" i="3" s="1"/>
  <c r="AI143" i="6"/>
  <c r="K91" i="3" s="1"/>
  <c r="AI125" i="7"/>
  <c r="K96" i="3" s="1"/>
  <c r="AI126" i="7"/>
  <c r="K97" i="3" s="1"/>
  <c r="AI127" i="7"/>
  <c r="K98" i="3" s="1"/>
  <c r="AI128" i="7"/>
  <c r="K99" i="3" s="1"/>
  <c r="AI129" i="7"/>
  <c r="K100" i="3" s="1"/>
  <c r="AI130" i="7"/>
  <c r="K101" i="3" s="1"/>
  <c r="AI131" i="7"/>
  <c r="K102" i="3" s="1"/>
  <c r="AI132" i="7"/>
  <c r="K103" i="3" s="1"/>
  <c r="AI133" i="7"/>
  <c r="K104" i="3" s="1"/>
  <c r="AI134" i="7"/>
  <c r="K105" i="3" s="1"/>
  <c r="AI135" i="7"/>
  <c r="K106" i="3" s="1"/>
  <c r="AI136" i="7"/>
  <c r="K107" i="3" s="1"/>
  <c r="AI137" i="7"/>
  <c r="K108" i="3" s="1"/>
  <c r="AI138" i="7"/>
  <c r="K109" i="3" s="1"/>
  <c r="AI139" i="7"/>
  <c r="K110" i="3" s="1"/>
  <c r="AI140" i="7"/>
  <c r="K111" i="3" s="1"/>
  <c r="AI141" i="7"/>
  <c r="K112" i="3" s="1"/>
  <c r="AI142" i="7"/>
  <c r="K113" i="3" s="1"/>
  <c r="AI143" i="7"/>
  <c r="K114" i="3" s="1"/>
  <c r="AI125" i="4"/>
  <c r="K4" i="3" s="1"/>
  <c r="AI126" i="4"/>
  <c r="K5" i="3" s="1"/>
  <c r="AI127" i="4"/>
  <c r="K6" i="3" s="1"/>
  <c r="AI128" i="4"/>
  <c r="K7" i="3" s="1"/>
  <c r="AI129" i="4"/>
  <c r="K8" i="3" s="1"/>
  <c r="AI130" i="4"/>
  <c r="K9" i="3" s="1"/>
  <c r="AI131" i="4"/>
  <c r="K10" i="3" s="1"/>
  <c r="AI132" i="4"/>
  <c r="K11" i="3" s="1"/>
  <c r="AI133" i="4"/>
  <c r="K12" i="3" s="1"/>
  <c r="AI134" i="4"/>
  <c r="K13" i="3" s="1"/>
  <c r="AI135" i="4"/>
  <c r="AI136" i="4"/>
  <c r="K15" i="3" s="1"/>
  <c r="AI137" i="4"/>
  <c r="K16" i="3" s="1"/>
  <c r="AI138" i="4"/>
  <c r="K17" i="3" s="1"/>
  <c r="AI139" i="4"/>
  <c r="K18" i="3" s="1"/>
  <c r="AI140" i="4"/>
  <c r="K19" i="3" s="1"/>
  <c r="AI141" i="4"/>
  <c r="AI142" i="4"/>
  <c r="K21" i="3" s="1"/>
  <c r="AI143" i="4"/>
  <c r="K22" i="3" s="1"/>
  <c r="AI101" i="2"/>
  <c r="J27" i="3" s="1"/>
  <c r="AI102" i="2"/>
  <c r="J28" i="3" s="1"/>
  <c r="AI103" i="2"/>
  <c r="J29" i="3" s="1"/>
  <c r="AI104" i="2"/>
  <c r="J30" i="3" s="1"/>
  <c r="AI105" i="2"/>
  <c r="J31" i="3" s="1"/>
  <c r="AI106" i="2"/>
  <c r="J32" i="3" s="1"/>
  <c r="AI107" i="2"/>
  <c r="J33" i="3" s="1"/>
  <c r="AI108" i="2"/>
  <c r="J34" i="3" s="1"/>
  <c r="AI109" i="2"/>
  <c r="J35" i="3" s="1"/>
  <c r="AI110" i="2"/>
  <c r="J36" i="3" s="1"/>
  <c r="AI111" i="2"/>
  <c r="J37" i="3" s="1"/>
  <c r="AI112" i="2"/>
  <c r="J38" i="3" s="1"/>
  <c r="AI113" i="2"/>
  <c r="J39" i="3" s="1"/>
  <c r="AI114" i="2"/>
  <c r="AI115" i="2"/>
  <c r="J41" i="3" s="1"/>
  <c r="AI116" i="2"/>
  <c r="J42" i="3" s="1"/>
  <c r="AI117" i="2"/>
  <c r="J43" i="3" s="1"/>
  <c r="AI118" i="2"/>
  <c r="J44" i="3" s="1"/>
  <c r="AI119" i="2"/>
  <c r="J45" i="3" s="1"/>
  <c r="AI101" i="5"/>
  <c r="J50" i="3" s="1"/>
  <c r="AI102" i="5"/>
  <c r="J51" i="3" s="1"/>
  <c r="AI103" i="5"/>
  <c r="J52" i="3" s="1"/>
  <c r="AI104" i="5"/>
  <c r="J53" i="3" s="1"/>
  <c r="AI105" i="5"/>
  <c r="J54" i="3" s="1"/>
  <c r="AI106" i="5"/>
  <c r="J55" i="3" s="1"/>
  <c r="AI107" i="5"/>
  <c r="J56" i="3" s="1"/>
  <c r="AI108" i="5"/>
  <c r="J57" i="3" s="1"/>
  <c r="AI109" i="5"/>
  <c r="J58" i="3" s="1"/>
  <c r="AI110" i="5"/>
  <c r="J59" i="3" s="1"/>
  <c r="AI111" i="5"/>
  <c r="AI112" i="5"/>
  <c r="J61" i="3" s="1"/>
  <c r="AI113" i="5"/>
  <c r="J62" i="3" s="1"/>
  <c r="AI114" i="5"/>
  <c r="J63" i="3" s="1"/>
  <c r="AI115" i="5"/>
  <c r="J64" i="3" s="1"/>
  <c r="AI116" i="5"/>
  <c r="J65" i="3" s="1"/>
  <c r="AI117" i="5"/>
  <c r="J66" i="3" s="1"/>
  <c r="AI118" i="5"/>
  <c r="J67" i="3" s="1"/>
  <c r="AI119" i="5"/>
  <c r="J68" i="3" s="1"/>
  <c r="AI101" i="6"/>
  <c r="J73" i="3" s="1"/>
  <c r="AI102" i="6"/>
  <c r="J74" i="3" s="1"/>
  <c r="AI103" i="6"/>
  <c r="J75" i="3" s="1"/>
  <c r="AI104" i="6"/>
  <c r="J76" i="3" s="1"/>
  <c r="AI105" i="6"/>
  <c r="J77" i="3" s="1"/>
  <c r="AI106" i="6"/>
  <c r="J78" i="3" s="1"/>
  <c r="AI107" i="6"/>
  <c r="J79" i="3" s="1"/>
  <c r="AI108" i="6"/>
  <c r="J80" i="3" s="1"/>
  <c r="AI109" i="6"/>
  <c r="J81" i="3" s="1"/>
  <c r="AI110" i="6"/>
  <c r="J82" i="3" s="1"/>
  <c r="AI111" i="6"/>
  <c r="J83" i="3" s="1"/>
  <c r="AI112" i="6"/>
  <c r="J84" i="3" s="1"/>
  <c r="AI113" i="6"/>
  <c r="J85" i="3" s="1"/>
  <c r="AI114" i="6"/>
  <c r="J86" i="3" s="1"/>
  <c r="AI115" i="6"/>
  <c r="J87" i="3" s="1"/>
  <c r="AI116" i="6"/>
  <c r="J88" i="3" s="1"/>
  <c r="AI117" i="6"/>
  <c r="J89" i="3" s="1"/>
  <c r="AI118" i="6"/>
  <c r="J90" i="3" s="1"/>
  <c r="AI119" i="6"/>
  <c r="J91" i="3" s="1"/>
  <c r="AI101" i="7"/>
  <c r="J96" i="3" s="1"/>
  <c r="AI102" i="7"/>
  <c r="J97" i="3" s="1"/>
  <c r="AI103" i="7"/>
  <c r="J98" i="3" s="1"/>
  <c r="AI104" i="7"/>
  <c r="J99" i="3" s="1"/>
  <c r="AI105" i="7"/>
  <c r="J100" i="3" s="1"/>
  <c r="AI106" i="7"/>
  <c r="J101" i="3" s="1"/>
  <c r="AI107" i="7"/>
  <c r="J102" i="3" s="1"/>
  <c r="AI108" i="7"/>
  <c r="J103" i="3" s="1"/>
  <c r="AI109" i="7"/>
  <c r="J104" i="3" s="1"/>
  <c r="AI110" i="7"/>
  <c r="J105" i="3" s="1"/>
  <c r="AI111" i="7"/>
  <c r="J106" i="3" s="1"/>
  <c r="AI112" i="7"/>
  <c r="J107" i="3" s="1"/>
  <c r="AI113" i="7"/>
  <c r="J108" i="3" s="1"/>
  <c r="AI114" i="7"/>
  <c r="J109" i="3" s="1"/>
  <c r="AI115" i="7"/>
  <c r="J110" i="3" s="1"/>
  <c r="AI116" i="7"/>
  <c r="J111" i="3" s="1"/>
  <c r="AI117" i="7"/>
  <c r="J112" i="3" s="1"/>
  <c r="AI118" i="7"/>
  <c r="J113" i="3" s="1"/>
  <c r="AI119" i="7"/>
  <c r="J114" i="3" s="1"/>
  <c r="AI101" i="4"/>
  <c r="J4" i="3" s="1"/>
  <c r="AI102" i="4"/>
  <c r="AI103" i="4"/>
  <c r="J6" i="3" s="1"/>
  <c r="AI104" i="4"/>
  <c r="J7" i="3" s="1"/>
  <c r="AI105" i="4"/>
  <c r="J8" i="3" s="1"/>
  <c r="AI106" i="4"/>
  <c r="AI107" i="4"/>
  <c r="J10" i="3" s="1"/>
  <c r="AI108" i="4"/>
  <c r="J11" i="3" s="1"/>
  <c r="AI109" i="4"/>
  <c r="J12" i="3" s="1"/>
  <c r="AI110" i="4"/>
  <c r="J13" i="3" s="1"/>
  <c r="AI111" i="4"/>
  <c r="J14" i="3" s="1"/>
  <c r="AI112" i="4"/>
  <c r="J15" i="3" s="1"/>
  <c r="AI113" i="4"/>
  <c r="J16" i="3" s="1"/>
  <c r="AI114" i="4"/>
  <c r="J17" i="3" s="1"/>
  <c r="AI115" i="4"/>
  <c r="J18" i="3" s="1"/>
  <c r="AI116" i="4"/>
  <c r="J19" i="3" s="1"/>
  <c r="AI117" i="4"/>
  <c r="J20" i="3" s="1"/>
  <c r="AI118" i="4"/>
  <c r="J21" i="3" s="1"/>
  <c r="AI119" i="4"/>
  <c r="J22" i="3" s="1"/>
  <c r="AI77" i="2"/>
  <c r="I27" i="3" s="1"/>
  <c r="AI78" i="2"/>
  <c r="I28" i="3" s="1"/>
  <c r="AI79" i="2"/>
  <c r="I29" i="3" s="1"/>
  <c r="AI80" i="2"/>
  <c r="I30" i="3" s="1"/>
  <c r="AI81" i="2"/>
  <c r="AI82" i="2"/>
  <c r="I32" i="3" s="1"/>
  <c r="AI83" i="2"/>
  <c r="I33" i="3" s="1"/>
  <c r="AI84" i="2"/>
  <c r="I34" i="3" s="1"/>
  <c r="AI85" i="2"/>
  <c r="I35" i="3" s="1"/>
  <c r="AI86" i="2"/>
  <c r="I36" i="3" s="1"/>
  <c r="AI87" i="2"/>
  <c r="I37" i="3" s="1"/>
  <c r="AI88" i="2"/>
  <c r="I38" i="3" s="1"/>
  <c r="AI89" i="2"/>
  <c r="I39" i="3" s="1"/>
  <c r="AI90" i="2"/>
  <c r="I40" i="3" s="1"/>
  <c r="AI91" i="2"/>
  <c r="I41" i="3" s="1"/>
  <c r="AI92" i="2"/>
  <c r="I42" i="3" s="1"/>
  <c r="AI93" i="2"/>
  <c r="I43" i="3" s="1"/>
  <c r="AI94" i="2"/>
  <c r="I44" i="3" s="1"/>
  <c r="AI95" i="2"/>
  <c r="I45" i="3" s="1"/>
  <c r="AI77" i="5"/>
  <c r="I50" i="3" s="1"/>
  <c r="AI78" i="5"/>
  <c r="I51" i="3" s="1"/>
  <c r="AI79" i="5"/>
  <c r="I52" i="3" s="1"/>
  <c r="AI80" i="5"/>
  <c r="I53" i="3" s="1"/>
  <c r="AI81" i="5"/>
  <c r="I54" i="3" s="1"/>
  <c r="AI82" i="5"/>
  <c r="I55" i="3" s="1"/>
  <c r="AI83" i="5"/>
  <c r="I56" i="3" s="1"/>
  <c r="AI84" i="5"/>
  <c r="I57" i="3" s="1"/>
  <c r="AI85" i="5"/>
  <c r="I58" i="3" s="1"/>
  <c r="AI86" i="5"/>
  <c r="I59" i="3" s="1"/>
  <c r="AI87" i="5"/>
  <c r="I60" i="3" s="1"/>
  <c r="AI88" i="5"/>
  <c r="I61" i="3" s="1"/>
  <c r="AI89" i="5"/>
  <c r="I62" i="3" s="1"/>
  <c r="AI90" i="5"/>
  <c r="I63" i="3" s="1"/>
  <c r="AI91" i="5"/>
  <c r="I64" i="3" s="1"/>
  <c r="AI92" i="5"/>
  <c r="I65" i="3" s="1"/>
  <c r="AI93" i="5"/>
  <c r="I66" i="3" s="1"/>
  <c r="AI94" i="5"/>
  <c r="I67" i="3" s="1"/>
  <c r="AI95" i="5"/>
  <c r="I68" i="3" s="1"/>
  <c r="AI77" i="6"/>
  <c r="I73" i="3" s="1"/>
  <c r="AI78" i="6"/>
  <c r="I74" i="3" s="1"/>
  <c r="AI79" i="6"/>
  <c r="I75" i="3" s="1"/>
  <c r="AI80" i="6"/>
  <c r="I76" i="3" s="1"/>
  <c r="AI81" i="6"/>
  <c r="I77" i="3" s="1"/>
  <c r="AI82" i="6"/>
  <c r="I78" i="3" s="1"/>
  <c r="AI83" i="6"/>
  <c r="I79" i="3" s="1"/>
  <c r="AI84" i="6"/>
  <c r="I80" i="3" s="1"/>
  <c r="AI85" i="6"/>
  <c r="I81" i="3" s="1"/>
  <c r="AI86" i="6"/>
  <c r="I82" i="3" s="1"/>
  <c r="AI87" i="6"/>
  <c r="I83" i="3" s="1"/>
  <c r="AI88" i="6"/>
  <c r="I84" i="3" s="1"/>
  <c r="AI89" i="6"/>
  <c r="I85" i="3" s="1"/>
  <c r="AI90" i="6"/>
  <c r="I86" i="3" s="1"/>
  <c r="AI91" i="6"/>
  <c r="I87" i="3" s="1"/>
  <c r="AI92" i="6"/>
  <c r="I88" i="3" s="1"/>
  <c r="AI93" i="6"/>
  <c r="I89" i="3" s="1"/>
  <c r="AI94" i="6"/>
  <c r="I90" i="3" s="1"/>
  <c r="AI95" i="6"/>
  <c r="I91" i="3" s="1"/>
  <c r="AI77" i="7"/>
  <c r="AI78" i="7"/>
  <c r="AI79" i="7"/>
  <c r="AI80" i="7"/>
  <c r="AI81" i="7"/>
  <c r="AI82" i="7"/>
  <c r="AI83" i="7"/>
  <c r="AI84" i="7"/>
  <c r="AI85" i="7"/>
  <c r="AI86" i="7"/>
  <c r="AI87" i="7"/>
  <c r="I106" i="3" s="1"/>
  <c r="AI88" i="7"/>
  <c r="I107" i="3" s="1"/>
  <c r="AI89" i="7"/>
  <c r="I108" i="3" s="1"/>
  <c r="AI90" i="7"/>
  <c r="I109" i="3" s="1"/>
  <c r="AI91" i="7"/>
  <c r="AI92" i="7"/>
  <c r="AI93" i="7"/>
  <c r="AI94" i="7"/>
  <c r="AI95" i="7"/>
  <c r="AI77" i="4"/>
  <c r="I4" i="3" s="1"/>
  <c r="AI78" i="4"/>
  <c r="I5" i="3" s="1"/>
  <c r="AI79" i="4"/>
  <c r="I6" i="3" s="1"/>
  <c r="AI80" i="4"/>
  <c r="I7" i="3" s="1"/>
  <c r="AI81" i="4"/>
  <c r="I8" i="3" s="1"/>
  <c r="AI82" i="4"/>
  <c r="I9" i="3" s="1"/>
  <c r="AI83" i="4"/>
  <c r="I10" i="3" s="1"/>
  <c r="AI84" i="4"/>
  <c r="I11" i="3" s="1"/>
  <c r="AI85" i="4"/>
  <c r="AI86" i="4"/>
  <c r="I13" i="3" s="1"/>
  <c r="AI87" i="4"/>
  <c r="I14" i="3" s="1"/>
  <c r="AI88" i="4"/>
  <c r="I15" i="3" s="1"/>
  <c r="AI89" i="4"/>
  <c r="I16" i="3" s="1"/>
  <c r="AI90" i="4"/>
  <c r="I17" i="3" s="1"/>
  <c r="AI91" i="4"/>
  <c r="AI92" i="4"/>
  <c r="I19" i="3" s="1"/>
  <c r="AI93" i="4"/>
  <c r="AI94" i="4"/>
  <c r="I21" i="3" s="1"/>
  <c r="AI95" i="4"/>
  <c r="I22" i="3" s="1"/>
  <c r="AI53" i="2"/>
  <c r="H27" i="3" s="1"/>
  <c r="AI54" i="2"/>
  <c r="H28" i="3" s="1"/>
  <c r="AI55" i="2"/>
  <c r="H29" i="3" s="1"/>
  <c r="AI56" i="2"/>
  <c r="H30" i="3" s="1"/>
  <c r="AI57" i="2"/>
  <c r="H31" i="3" s="1"/>
  <c r="AI58" i="2"/>
  <c r="H32" i="3" s="1"/>
  <c r="AI59" i="2"/>
  <c r="H33" i="3" s="1"/>
  <c r="AI60" i="2"/>
  <c r="H34" i="3" s="1"/>
  <c r="AI61" i="2"/>
  <c r="H35" i="3" s="1"/>
  <c r="AI62" i="2"/>
  <c r="H36" i="3" s="1"/>
  <c r="AI63" i="2"/>
  <c r="H37" i="3" s="1"/>
  <c r="AI64" i="2"/>
  <c r="H38" i="3" s="1"/>
  <c r="AI65" i="2"/>
  <c r="H39" i="3" s="1"/>
  <c r="AI66" i="2"/>
  <c r="H40" i="3" s="1"/>
  <c r="AI67" i="2"/>
  <c r="H41" i="3" s="1"/>
  <c r="AI68" i="2"/>
  <c r="H42" i="3" s="1"/>
  <c r="AI69" i="2"/>
  <c r="H43" i="3" s="1"/>
  <c r="AI70" i="2"/>
  <c r="H44" i="3" s="1"/>
  <c r="AI71" i="2"/>
  <c r="H45" i="3" s="1"/>
  <c r="AI53" i="5"/>
  <c r="H50" i="3" s="1"/>
  <c r="AI54" i="5"/>
  <c r="H51" i="3" s="1"/>
  <c r="AI55" i="5"/>
  <c r="H52" i="3" s="1"/>
  <c r="AI56" i="5"/>
  <c r="H53" i="3" s="1"/>
  <c r="AI57" i="5"/>
  <c r="H54" i="3" s="1"/>
  <c r="AI58" i="5"/>
  <c r="H55" i="3" s="1"/>
  <c r="AI59" i="5"/>
  <c r="H56" i="3" s="1"/>
  <c r="AI60" i="5"/>
  <c r="H57" i="3" s="1"/>
  <c r="AI61" i="5"/>
  <c r="H58" i="3" s="1"/>
  <c r="AI62" i="5"/>
  <c r="H59" i="3" s="1"/>
  <c r="AI63" i="5"/>
  <c r="H60" i="3" s="1"/>
  <c r="AI64" i="5"/>
  <c r="H61" i="3" s="1"/>
  <c r="AI65" i="5"/>
  <c r="H62" i="3" s="1"/>
  <c r="AI66" i="5"/>
  <c r="H63" i="3" s="1"/>
  <c r="AI67" i="5"/>
  <c r="H64" i="3" s="1"/>
  <c r="AI68" i="5"/>
  <c r="H65" i="3" s="1"/>
  <c r="AI69" i="5"/>
  <c r="H66" i="3" s="1"/>
  <c r="AI70" i="5"/>
  <c r="H67" i="3" s="1"/>
  <c r="AI71" i="5"/>
  <c r="H68" i="3" s="1"/>
  <c r="AI53" i="6"/>
  <c r="H73" i="3" s="1"/>
  <c r="AI54" i="6"/>
  <c r="H74" i="3" s="1"/>
  <c r="AI55" i="6"/>
  <c r="H75" i="3" s="1"/>
  <c r="AI56" i="6"/>
  <c r="H76" i="3" s="1"/>
  <c r="AI57" i="6"/>
  <c r="H77" i="3" s="1"/>
  <c r="AI58" i="6"/>
  <c r="H78" i="3" s="1"/>
  <c r="AI59" i="6"/>
  <c r="H79" i="3" s="1"/>
  <c r="AI60" i="6"/>
  <c r="AI61" i="6"/>
  <c r="H81" i="3" s="1"/>
  <c r="AI62" i="6"/>
  <c r="H82" i="3" s="1"/>
  <c r="AI63" i="6"/>
  <c r="H83" i="3" s="1"/>
  <c r="AI64" i="6"/>
  <c r="H84" i="3" s="1"/>
  <c r="AI65" i="6"/>
  <c r="H85" i="3" s="1"/>
  <c r="AI66" i="6"/>
  <c r="H86" i="3" s="1"/>
  <c r="AI67" i="6"/>
  <c r="H87" i="3" s="1"/>
  <c r="AI68" i="6"/>
  <c r="H88" i="3" s="1"/>
  <c r="AI69" i="6"/>
  <c r="H89" i="3" s="1"/>
  <c r="AI70" i="6"/>
  <c r="H90" i="3" s="1"/>
  <c r="AI71" i="6"/>
  <c r="H91" i="3" s="1"/>
  <c r="AI53" i="7"/>
  <c r="H96" i="3" s="1"/>
  <c r="AI54" i="7"/>
  <c r="H97" i="3" s="1"/>
  <c r="AI55" i="7"/>
  <c r="H98" i="3" s="1"/>
  <c r="AI56" i="7"/>
  <c r="H99" i="3" s="1"/>
  <c r="AI57" i="7"/>
  <c r="H100" i="3" s="1"/>
  <c r="AI58" i="7"/>
  <c r="H101" i="3" s="1"/>
  <c r="AI59" i="7"/>
  <c r="H102" i="3" s="1"/>
  <c r="AI60" i="7"/>
  <c r="H103" i="3" s="1"/>
  <c r="AI61" i="7"/>
  <c r="H104" i="3" s="1"/>
  <c r="AI62" i="7"/>
  <c r="H105" i="3" s="1"/>
  <c r="AI63" i="7"/>
  <c r="H106" i="3" s="1"/>
  <c r="AI64" i="7"/>
  <c r="H107" i="3" s="1"/>
  <c r="AI65" i="7"/>
  <c r="H108" i="3" s="1"/>
  <c r="AI66" i="7"/>
  <c r="H109" i="3" s="1"/>
  <c r="AI67" i="7"/>
  <c r="AI68" i="7"/>
  <c r="AI69" i="7"/>
  <c r="AI70" i="7"/>
  <c r="H113" i="3" s="1"/>
  <c r="AI71" i="7"/>
  <c r="H114" i="3" s="1"/>
  <c r="AI53" i="4"/>
  <c r="H4" i="3" s="1"/>
  <c r="AI54" i="4"/>
  <c r="H5" i="3" s="1"/>
  <c r="AI55" i="4"/>
  <c r="H6" i="3" s="1"/>
  <c r="AI56" i="4"/>
  <c r="H7" i="3" s="1"/>
  <c r="AI57" i="4"/>
  <c r="H8" i="3" s="1"/>
  <c r="AI58" i="4"/>
  <c r="H9" i="3" s="1"/>
  <c r="AI59" i="4"/>
  <c r="H10" i="3" s="1"/>
  <c r="AI60" i="4"/>
  <c r="H11" i="3" s="1"/>
  <c r="AI61" i="4"/>
  <c r="H12" i="3" s="1"/>
  <c r="AI62" i="4"/>
  <c r="H13" i="3" s="1"/>
  <c r="AI63" i="4"/>
  <c r="H14" i="3" s="1"/>
  <c r="AI64" i="4"/>
  <c r="H15" i="3" s="1"/>
  <c r="AI65" i="4"/>
  <c r="H16" i="3" s="1"/>
  <c r="AI66" i="4"/>
  <c r="H17" i="3" s="1"/>
  <c r="AI67" i="4"/>
  <c r="H18" i="3" s="1"/>
  <c r="AI68" i="4"/>
  <c r="H19" i="3" s="1"/>
  <c r="AI69" i="4"/>
  <c r="H20" i="3" s="1"/>
  <c r="AI70" i="4"/>
  <c r="AI71" i="4"/>
  <c r="H22" i="3" s="1"/>
  <c r="AI29" i="2"/>
  <c r="G27" i="3" s="1"/>
  <c r="AI30" i="2"/>
  <c r="G28" i="3" s="1"/>
  <c r="AI31" i="2"/>
  <c r="AI32" i="2"/>
  <c r="G30" i="3" s="1"/>
  <c r="AI33" i="2"/>
  <c r="G31" i="3" s="1"/>
  <c r="AI34" i="2"/>
  <c r="G32" i="3" s="1"/>
  <c r="AI35" i="2"/>
  <c r="G33" i="3" s="1"/>
  <c r="AI36" i="2"/>
  <c r="G34" i="3" s="1"/>
  <c r="AI37" i="2"/>
  <c r="AI38" i="2"/>
  <c r="G36" i="3" s="1"/>
  <c r="AI39" i="2"/>
  <c r="AI40" i="2"/>
  <c r="G38" i="3" s="1"/>
  <c r="AI41" i="2"/>
  <c r="AI42" i="2"/>
  <c r="G40" i="3" s="1"/>
  <c r="AI43" i="2"/>
  <c r="G41" i="3" s="1"/>
  <c r="AI44" i="2"/>
  <c r="G42" i="3" s="1"/>
  <c r="AI45" i="2"/>
  <c r="G43" i="3" s="1"/>
  <c r="AI46" i="2"/>
  <c r="G44" i="3" s="1"/>
  <c r="AI47" i="2"/>
  <c r="G45" i="3" s="1"/>
  <c r="AI29" i="5"/>
  <c r="G50" i="3" s="1"/>
  <c r="AI30" i="5"/>
  <c r="G51" i="3" s="1"/>
  <c r="AI31" i="5"/>
  <c r="G52" i="3" s="1"/>
  <c r="AI32" i="5"/>
  <c r="AI33" i="5"/>
  <c r="G54" i="3" s="1"/>
  <c r="AI34" i="5"/>
  <c r="G55" i="3" s="1"/>
  <c r="AI35" i="5"/>
  <c r="G56" i="3" s="1"/>
  <c r="AI36" i="5"/>
  <c r="G57" i="3" s="1"/>
  <c r="AI37" i="5"/>
  <c r="G58" i="3" s="1"/>
  <c r="AI38" i="5"/>
  <c r="G59" i="3" s="1"/>
  <c r="AI39" i="5"/>
  <c r="G60" i="3" s="1"/>
  <c r="AI40" i="5"/>
  <c r="G61" i="3" s="1"/>
  <c r="AI41" i="5"/>
  <c r="G62" i="3" s="1"/>
  <c r="AI42" i="5"/>
  <c r="G63" i="3" s="1"/>
  <c r="AI43" i="5"/>
  <c r="G64" i="3" s="1"/>
  <c r="AI44" i="5"/>
  <c r="G65" i="3" s="1"/>
  <c r="AI45" i="5"/>
  <c r="G66" i="3" s="1"/>
  <c r="AI46" i="5"/>
  <c r="G67" i="3" s="1"/>
  <c r="AI47" i="5"/>
  <c r="G68" i="3" s="1"/>
  <c r="AI29" i="6"/>
  <c r="G73" i="3" s="1"/>
  <c r="AI30" i="6"/>
  <c r="G74" i="3" s="1"/>
  <c r="AI31" i="6"/>
  <c r="G75" i="3" s="1"/>
  <c r="AI32" i="6"/>
  <c r="G76" i="3" s="1"/>
  <c r="AI33" i="6"/>
  <c r="G77" i="3" s="1"/>
  <c r="AI34" i="6"/>
  <c r="G78" i="3" s="1"/>
  <c r="AI35" i="6"/>
  <c r="G79" i="3" s="1"/>
  <c r="AI36" i="6"/>
  <c r="G80" i="3" s="1"/>
  <c r="AI37" i="6"/>
  <c r="G81" i="3" s="1"/>
  <c r="AI38" i="6"/>
  <c r="G82" i="3" s="1"/>
  <c r="AI39" i="6"/>
  <c r="G83" i="3" s="1"/>
  <c r="AI40" i="6"/>
  <c r="G84" i="3" s="1"/>
  <c r="AI41" i="6"/>
  <c r="G85" i="3" s="1"/>
  <c r="AI42" i="6"/>
  <c r="G86" i="3" s="1"/>
  <c r="AI43" i="6"/>
  <c r="AI44" i="6"/>
  <c r="G88" i="3" s="1"/>
  <c r="AI45" i="6"/>
  <c r="G89" i="3" s="1"/>
  <c r="AI46" i="6"/>
  <c r="G90" i="3" s="1"/>
  <c r="AI47" i="6"/>
  <c r="G91" i="3" s="1"/>
  <c r="AI29" i="7"/>
  <c r="G96" i="3" s="1"/>
  <c r="AI30" i="7"/>
  <c r="G97" i="3" s="1"/>
  <c r="AI31" i="7"/>
  <c r="G98" i="3" s="1"/>
  <c r="AI32" i="7"/>
  <c r="G99" i="3" s="1"/>
  <c r="AI33" i="7"/>
  <c r="G100" i="3" s="1"/>
  <c r="AI34" i="7"/>
  <c r="G101" i="3" s="1"/>
  <c r="AI35" i="7"/>
  <c r="G102" i="3" s="1"/>
  <c r="AI36" i="7"/>
  <c r="G103" i="3" s="1"/>
  <c r="AI37" i="7"/>
  <c r="G104" i="3" s="1"/>
  <c r="AI38" i="7"/>
  <c r="G105" i="3" s="1"/>
  <c r="AI39" i="7"/>
  <c r="G106" i="3" s="1"/>
  <c r="AI40" i="7"/>
  <c r="G107" i="3" s="1"/>
  <c r="AI41" i="7"/>
  <c r="G108" i="3" s="1"/>
  <c r="AI42" i="7"/>
  <c r="G109" i="3" s="1"/>
  <c r="AI43" i="7"/>
  <c r="G110" i="3" s="1"/>
  <c r="AI44" i="7"/>
  <c r="G111" i="3" s="1"/>
  <c r="AI45" i="7"/>
  <c r="G112" i="3" s="1"/>
  <c r="AI46" i="7"/>
  <c r="G113" i="3" s="1"/>
  <c r="AI47" i="7"/>
  <c r="G114" i="3" s="1"/>
  <c r="AI29" i="4"/>
  <c r="G4" i="3" s="1"/>
  <c r="AI30" i="4"/>
  <c r="G5" i="3" s="1"/>
  <c r="AI31" i="4"/>
  <c r="G6" i="3" s="1"/>
  <c r="AI32" i="4"/>
  <c r="G7" i="3" s="1"/>
  <c r="AI33" i="4"/>
  <c r="G8" i="3" s="1"/>
  <c r="AI34" i="4"/>
  <c r="G9" i="3" s="1"/>
  <c r="AI35" i="4"/>
  <c r="G10" i="3" s="1"/>
  <c r="AI36" i="4"/>
  <c r="G11" i="3" s="1"/>
  <c r="AI37" i="4"/>
  <c r="G12" i="3" s="1"/>
  <c r="AI38" i="4"/>
  <c r="G13" i="3" s="1"/>
  <c r="AI39" i="4"/>
  <c r="G14" i="3" s="1"/>
  <c r="AI40" i="4"/>
  <c r="G15" i="3" s="1"/>
  <c r="AI41" i="4"/>
  <c r="G16" i="3" s="1"/>
  <c r="AI42" i="4"/>
  <c r="G17" i="3" s="1"/>
  <c r="AI43" i="4"/>
  <c r="G18" i="3" s="1"/>
  <c r="AI44" i="4"/>
  <c r="G19" i="3" s="1"/>
  <c r="AI45" i="4"/>
  <c r="G20" i="3" s="1"/>
  <c r="AI46" i="4"/>
  <c r="G21" i="3" s="1"/>
  <c r="AI47" i="4"/>
  <c r="G22" i="3" s="1"/>
  <c r="AI5" i="2"/>
  <c r="F27" i="3" s="1"/>
  <c r="AI6" i="2"/>
  <c r="F28" i="3" s="1"/>
  <c r="AI7" i="2"/>
  <c r="F29" i="3" s="1"/>
  <c r="AI8" i="2"/>
  <c r="F30" i="3" s="1"/>
  <c r="AI9" i="2"/>
  <c r="F31" i="3" s="1"/>
  <c r="AI10" i="2"/>
  <c r="F32" i="3" s="1"/>
  <c r="AI11" i="2"/>
  <c r="F33" i="3" s="1"/>
  <c r="AI12" i="2"/>
  <c r="F34" i="3" s="1"/>
  <c r="AI13" i="2"/>
  <c r="F35" i="3" s="1"/>
  <c r="AI14" i="2"/>
  <c r="F36" i="3" s="1"/>
  <c r="AI15" i="2"/>
  <c r="F37" i="3" s="1"/>
  <c r="AI16" i="2"/>
  <c r="F38" i="3" s="1"/>
  <c r="AI17" i="2"/>
  <c r="F39" i="3" s="1"/>
  <c r="AI18" i="2"/>
  <c r="F40" i="3" s="1"/>
  <c r="AI19" i="2"/>
  <c r="F41" i="3" s="1"/>
  <c r="AI20" i="2"/>
  <c r="F42" i="3" s="1"/>
  <c r="AI21" i="2"/>
  <c r="F43" i="3" s="1"/>
  <c r="AI22" i="2"/>
  <c r="F44" i="3" s="1"/>
  <c r="AI23" i="2"/>
  <c r="F45" i="3" s="1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5" i="6"/>
  <c r="F73" i="3" s="1"/>
  <c r="AI6" i="6"/>
  <c r="F74" i="3" s="1"/>
  <c r="AI7" i="6"/>
  <c r="F75" i="3" s="1"/>
  <c r="AI8" i="6"/>
  <c r="F76" i="3" s="1"/>
  <c r="AI9" i="6"/>
  <c r="F77" i="3" s="1"/>
  <c r="AI10" i="6"/>
  <c r="F78" i="3" s="1"/>
  <c r="AI11" i="6"/>
  <c r="F79" i="3" s="1"/>
  <c r="AI12" i="6"/>
  <c r="F80" i="3" s="1"/>
  <c r="AI13" i="6"/>
  <c r="F81" i="3" s="1"/>
  <c r="AI14" i="6"/>
  <c r="F82" i="3" s="1"/>
  <c r="AI15" i="6"/>
  <c r="F83" i="3" s="1"/>
  <c r="AI16" i="6"/>
  <c r="F84" i="3" s="1"/>
  <c r="AI17" i="6"/>
  <c r="F85" i="3" s="1"/>
  <c r="AI18" i="6"/>
  <c r="F86" i="3" s="1"/>
  <c r="AI19" i="6"/>
  <c r="F87" i="3" s="1"/>
  <c r="AI20" i="6"/>
  <c r="F88" i="3" s="1"/>
  <c r="AI21" i="6"/>
  <c r="F89" i="3" s="1"/>
  <c r="AI22" i="6"/>
  <c r="F90" i="3" s="1"/>
  <c r="AI23" i="6"/>
  <c r="F91" i="3" s="1"/>
  <c r="AI5" i="7"/>
  <c r="F96" i="3" s="1"/>
  <c r="AI6" i="7"/>
  <c r="F97" i="3" s="1"/>
  <c r="AI7" i="7"/>
  <c r="F98" i="3" s="1"/>
  <c r="AI8" i="7"/>
  <c r="F99" i="3" s="1"/>
  <c r="AI9" i="7"/>
  <c r="F100" i="3" s="1"/>
  <c r="AI10" i="7"/>
  <c r="F101" i="3" s="1"/>
  <c r="AI11" i="7"/>
  <c r="F102" i="3" s="1"/>
  <c r="AI12" i="7"/>
  <c r="F103" i="3" s="1"/>
  <c r="AI13" i="7"/>
  <c r="F104" i="3" s="1"/>
  <c r="AI14" i="7"/>
  <c r="F105" i="3" s="1"/>
  <c r="AI15" i="7"/>
  <c r="F106" i="3" s="1"/>
  <c r="AI16" i="7"/>
  <c r="F107" i="3" s="1"/>
  <c r="AI17" i="7"/>
  <c r="F108" i="3" s="1"/>
  <c r="AI18" i="7"/>
  <c r="F109" i="3" s="1"/>
  <c r="AI19" i="7"/>
  <c r="F110" i="3" s="1"/>
  <c r="AI20" i="7"/>
  <c r="F111" i="3" s="1"/>
  <c r="AI21" i="7"/>
  <c r="F112" i="3" s="1"/>
  <c r="AI22" i="7"/>
  <c r="F113" i="3" s="1"/>
  <c r="AI23" i="7"/>
  <c r="F114" i="3" s="1"/>
  <c r="AI5" i="4"/>
  <c r="F4" i="3" s="1"/>
  <c r="AI6" i="4"/>
  <c r="F5" i="3" s="1"/>
  <c r="AI7" i="4"/>
  <c r="F6" i="3" s="1"/>
  <c r="AI8" i="4"/>
  <c r="F7" i="3" s="1"/>
  <c r="AI9" i="4"/>
  <c r="F8" i="3" s="1"/>
  <c r="AI10" i="4"/>
  <c r="F9" i="3" s="1"/>
  <c r="AI11" i="4"/>
  <c r="F10" i="3" s="1"/>
  <c r="AI12" i="4"/>
  <c r="F11" i="3" s="1"/>
  <c r="AI13" i="4"/>
  <c r="F12" i="3" s="1"/>
  <c r="AI14" i="4"/>
  <c r="F13" i="3" s="1"/>
  <c r="AI15" i="4"/>
  <c r="F14" i="3" s="1"/>
  <c r="AI16" i="4"/>
  <c r="F15" i="3" s="1"/>
  <c r="AI17" i="4"/>
  <c r="F16" i="3" s="1"/>
  <c r="AI18" i="4"/>
  <c r="F17" i="3" s="1"/>
  <c r="AI19" i="4"/>
  <c r="F18" i="3" s="1"/>
  <c r="AI20" i="4"/>
  <c r="F19" i="3" s="1"/>
  <c r="AI21" i="4"/>
  <c r="F20" i="3" s="1"/>
  <c r="AI22" i="4"/>
  <c r="F21" i="3" s="1"/>
  <c r="AI23" i="4"/>
  <c r="F22" i="3" s="1"/>
  <c r="N55" i="3"/>
  <c r="M31" i="3"/>
  <c r="M73" i="3"/>
  <c r="L34" i="3"/>
  <c r="L36" i="3"/>
  <c r="L40" i="3"/>
  <c r="K39" i="3"/>
  <c r="K14" i="3"/>
  <c r="J60" i="3"/>
  <c r="I105" i="3"/>
  <c r="I18" i="3"/>
  <c r="H21" i="3"/>
  <c r="G37" i="3"/>
  <c r="G39" i="3"/>
  <c r="G87" i="3"/>
  <c r="A287" i="7"/>
  <c r="AH287" i="7" s="1"/>
  <c r="A286" i="7"/>
  <c r="AH286" i="7" s="1"/>
  <c r="A285" i="7"/>
  <c r="AH285" i="7" s="1"/>
  <c r="A284" i="7"/>
  <c r="AH284" i="7" s="1"/>
  <c r="A283" i="7"/>
  <c r="AH283" i="7" s="1"/>
  <c r="A282" i="7"/>
  <c r="AH282" i="7" s="1"/>
  <c r="A281" i="7"/>
  <c r="AH281" i="7" s="1"/>
  <c r="A280" i="7"/>
  <c r="AH280" i="7" s="1"/>
  <c r="A279" i="7"/>
  <c r="AH279" i="7" s="1"/>
  <c r="A278" i="7"/>
  <c r="AH278" i="7" s="1"/>
  <c r="A277" i="7"/>
  <c r="AH277" i="7" s="1"/>
  <c r="A276" i="7"/>
  <c r="AH276" i="7" s="1"/>
  <c r="A275" i="7"/>
  <c r="AH275" i="7" s="1"/>
  <c r="A274" i="7"/>
  <c r="AH274" i="7" s="1"/>
  <c r="A273" i="7"/>
  <c r="AH273" i="7" s="1"/>
  <c r="A272" i="7"/>
  <c r="AH272" i="7" s="1"/>
  <c r="A271" i="7"/>
  <c r="AH271" i="7" s="1"/>
  <c r="A270" i="7"/>
  <c r="AH270" i="7" s="1"/>
  <c r="A269" i="7"/>
  <c r="AH269" i="7" s="1"/>
  <c r="A268" i="7"/>
  <c r="A263" i="7"/>
  <c r="AH263" i="7" s="1"/>
  <c r="A262" i="7"/>
  <c r="AH262" i="7" s="1"/>
  <c r="A261" i="7"/>
  <c r="AH261" i="7" s="1"/>
  <c r="A260" i="7"/>
  <c r="AH260" i="7" s="1"/>
  <c r="A259" i="7"/>
  <c r="AH259" i="7" s="1"/>
  <c r="A258" i="7"/>
  <c r="AH258" i="7" s="1"/>
  <c r="A257" i="7"/>
  <c r="AH257" i="7" s="1"/>
  <c r="A256" i="7"/>
  <c r="AH256" i="7" s="1"/>
  <c r="A255" i="7"/>
  <c r="AH255" i="7" s="1"/>
  <c r="A254" i="7"/>
  <c r="AH254" i="7" s="1"/>
  <c r="A253" i="7"/>
  <c r="AH253" i="7" s="1"/>
  <c r="A252" i="7"/>
  <c r="AH252" i="7" s="1"/>
  <c r="A251" i="7"/>
  <c r="AH251" i="7" s="1"/>
  <c r="A250" i="7"/>
  <c r="AH250" i="7" s="1"/>
  <c r="A249" i="7"/>
  <c r="AH249" i="7" s="1"/>
  <c r="A248" i="7"/>
  <c r="AH248" i="7" s="1"/>
  <c r="A247" i="7"/>
  <c r="AH247" i="7" s="1"/>
  <c r="A246" i="7"/>
  <c r="AH246" i="7" s="1"/>
  <c r="A245" i="7"/>
  <c r="AH245" i="7" s="1"/>
  <c r="A244" i="7"/>
  <c r="A239" i="7"/>
  <c r="AH239" i="7" s="1"/>
  <c r="A238" i="7"/>
  <c r="AH238" i="7" s="1"/>
  <c r="A237" i="7"/>
  <c r="AH237" i="7" s="1"/>
  <c r="A236" i="7"/>
  <c r="AH236" i="7" s="1"/>
  <c r="A235" i="7"/>
  <c r="AH235" i="7" s="1"/>
  <c r="A234" i="7"/>
  <c r="AH234" i="7" s="1"/>
  <c r="A233" i="7"/>
  <c r="AH233" i="7" s="1"/>
  <c r="A232" i="7"/>
  <c r="AH232" i="7" s="1"/>
  <c r="A231" i="7"/>
  <c r="AH231" i="7" s="1"/>
  <c r="A230" i="7"/>
  <c r="AH230" i="7" s="1"/>
  <c r="A229" i="7"/>
  <c r="AH229" i="7" s="1"/>
  <c r="A228" i="7"/>
  <c r="AH228" i="7" s="1"/>
  <c r="A227" i="7"/>
  <c r="AH227" i="7" s="1"/>
  <c r="A226" i="7"/>
  <c r="AH226" i="7" s="1"/>
  <c r="A225" i="7"/>
  <c r="AH225" i="7" s="1"/>
  <c r="A224" i="7"/>
  <c r="AH224" i="7" s="1"/>
  <c r="A223" i="7"/>
  <c r="AH223" i="7" s="1"/>
  <c r="A222" i="7"/>
  <c r="AH222" i="7" s="1"/>
  <c r="A221" i="7"/>
  <c r="AH221" i="7" s="1"/>
  <c r="A220" i="7"/>
  <c r="A215" i="7"/>
  <c r="AH215" i="7" s="1"/>
  <c r="A214" i="7"/>
  <c r="AH214" i="7" s="1"/>
  <c r="A213" i="7"/>
  <c r="AH213" i="7" s="1"/>
  <c r="A212" i="7"/>
  <c r="AH212" i="7" s="1"/>
  <c r="A211" i="7"/>
  <c r="AH211" i="7" s="1"/>
  <c r="A210" i="7"/>
  <c r="AH210" i="7" s="1"/>
  <c r="A209" i="7"/>
  <c r="AH209" i="7" s="1"/>
  <c r="A208" i="7"/>
  <c r="AH208" i="7" s="1"/>
  <c r="A207" i="7"/>
  <c r="AH207" i="7" s="1"/>
  <c r="A206" i="7"/>
  <c r="AH206" i="7" s="1"/>
  <c r="A205" i="7"/>
  <c r="AH205" i="7" s="1"/>
  <c r="A204" i="7"/>
  <c r="AH204" i="7" s="1"/>
  <c r="A203" i="7"/>
  <c r="AH203" i="7" s="1"/>
  <c r="A202" i="7"/>
  <c r="AH202" i="7" s="1"/>
  <c r="A201" i="7"/>
  <c r="AH201" i="7" s="1"/>
  <c r="A200" i="7"/>
  <c r="AH200" i="7" s="1"/>
  <c r="A199" i="7"/>
  <c r="AH199" i="7" s="1"/>
  <c r="A198" i="7"/>
  <c r="AH198" i="7" s="1"/>
  <c r="A197" i="7"/>
  <c r="AH197" i="7" s="1"/>
  <c r="A196" i="7"/>
  <c r="A191" i="7"/>
  <c r="AH191" i="7" s="1"/>
  <c r="A190" i="7"/>
  <c r="AH190" i="7" s="1"/>
  <c r="A189" i="7"/>
  <c r="AH189" i="7" s="1"/>
  <c r="A188" i="7"/>
  <c r="AH188" i="7" s="1"/>
  <c r="A187" i="7"/>
  <c r="AH187" i="7" s="1"/>
  <c r="A186" i="7"/>
  <c r="AH186" i="7" s="1"/>
  <c r="A185" i="7"/>
  <c r="AH185" i="7" s="1"/>
  <c r="A184" i="7"/>
  <c r="AH184" i="7" s="1"/>
  <c r="A183" i="7"/>
  <c r="AH183" i="7" s="1"/>
  <c r="A182" i="7"/>
  <c r="AH182" i="7" s="1"/>
  <c r="A181" i="7"/>
  <c r="AH181" i="7" s="1"/>
  <c r="A180" i="7"/>
  <c r="AH180" i="7" s="1"/>
  <c r="A179" i="7"/>
  <c r="AH179" i="7" s="1"/>
  <c r="A178" i="7"/>
  <c r="AH178" i="7" s="1"/>
  <c r="A177" i="7"/>
  <c r="AH177" i="7" s="1"/>
  <c r="A176" i="7"/>
  <c r="AH176" i="7" s="1"/>
  <c r="A175" i="7"/>
  <c r="AH175" i="7" s="1"/>
  <c r="A174" i="7"/>
  <c r="AH174" i="7" s="1"/>
  <c r="A173" i="7"/>
  <c r="AH173" i="7" s="1"/>
  <c r="A172" i="7"/>
  <c r="A167" i="7"/>
  <c r="AH167" i="7" s="1"/>
  <c r="A166" i="7"/>
  <c r="AH166" i="7" s="1"/>
  <c r="A165" i="7"/>
  <c r="AH165" i="7" s="1"/>
  <c r="A164" i="7"/>
  <c r="AH164" i="7" s="1"/>
  <c r="A163" i="7"/>
  <c r="AH163" i="7" s="1"/>
  <c r="A162" i="7"/>
  <c r="AH162" i="7" s="1"/>
  <c r="A161" i="7"/>
  <c r="AH161" i="7" s="1"/>
  <c r="A160" i="7"/>
  <c r="AH160" i="7" s="1"/>
  <c r="A159" i="7"/>
  <c r="AH159" i="7" s="1"/>
  <c r="A158" i="7"/>
  <c r="AH158" i="7" s="1"/>
  <c r="A157" i="7"/>
  <c r="AH157" i="7" s="1"/>
  <c r="A156" i="7"/>
  <c r="AH156" i="7" s="1"/>
  <c r="A155" i="7"/>
  <c r="AH155" i="7" s="1"/>
  <c r="A154" i="7"/>
  <c r="AH154" i="7" s="1"/>
  <c r="A153" i="7"/>
  <c r="AH153" i="7" s="1"/>
  <c r="A152" i="7"/>
  <c r="AH152" i="7" s="1"/>
  <c r="A151" i="7"/>
  <c r="AH151" i="7" s="1"/>
  <c r="A150" i="7"/>
  <c r="AH150" i="7" s="1"/>
  <c r="A149" i="7"/>
  <c r="AH149" i="7" s="1"/>
  <c r="A148" i="7"/>
  <c r="A143" i="7"/>
  <c r="AH143" i="7" s="1"/>
  <c r="A142" i="7"/>
  <c r="AH142" i="7" s="1"/>
  <c r="A141" i="7"/>
  <c r="AH141" i="7" s="1"/>
  <c r="A140" i="7"/>
  <c r="AH140" i="7" s="1"/>
  <c r="A139" i="7"/>
  <c r="AH139" i="7" s="1"/>
  <c r="A138" i="7"/>
  <c r="AH138" i="7" s="1"/>
  <c r="A137" i="7"/>
  <c r="AH137" i="7" s="1"/>
  <c r="A136" i="7"/>
  <c r="AH136" i="7" s="1"/>
  <c r="A135" i="7"/>
  <c r="AH135" i="7" s="1"/>
  <c r="A134" i="7"/>
  <c r="AH134" i="7" s="1"/>
  <c r="A133" i="7"/>
  <c r="AH133" i="7" s="1"/>
  <c r="A132" i="7"/>
  <c r="AH132" i="7" s="1"/>
  <c r="A131" i="7"/>
  <c r="AH131" i="7" s="1"/>
  <c r="A130" i="7"/>
  <c r="AH130" i="7" s="1"/>
  <c r="A129" i="7"/>
  <c r="AH129" i="7" s="1"/>
  <c r="A128" i="7"/>
  <c r="AH128" i="7" s="1"/>
  <c r="A127" i="7"/>
  <c r="AH127" i="7" s="1"/>
  <c r="A126" i="7"/>
  <c r="AH126" i="7" s="1"/>
  <c r="A125" i="7"/>
  <c r="AH125" i="7" s="1"/>
  <c r="A124" i="7"/>
  <c r="A119" i="7"/>
  <c r="AH119" i="7" s="1"/>
  <c r="A118" i="7"/>
  <c r="AH118" i="7" s="1"/>
  <c r="A117" i="7"/>
  <c r="AH117" i="7" s="1"/>
  <c r="A116" i="7"/>
  <c r="AH116" i="7" s="1"/>
  <c r="A115" i="7"/>
  <c r="AH115" i="7" s="1"/>
  <c r="A114" i="7"/>
  <c r="AH114" i="7" s="1"/>
  <c r="A113" i="7"/>
  <c r="AH113" i="7" s="1"/>
  <c r="A112" i="7"/>
  <c r="AH112" i="7" s="1"/>
  <c r="A111" i="7"/>
  <c r="AH111" i="7" s="1"/>
  <c r="A110" i="7"/>
  <c r="AH110" i="7" s="1"/>
  <c r="A109" i="7"/>
  <c r="AH109" i="7" s="1"/>
  <c r="A108" i="7"/>
  <c r="AH108" i="7" s="1"/>
  <c r="A107" i="7"/>
  <c r="AH107" i="7" s="1"/>
  <c r="A106" i="7"/>
  <c r="AH106" i="7" s="1"/>
  <c r="A105" i="7"/>
  <c r="AH105" i="7" s="1"/>
  <c r="A104" i="7"/>
  <c r="AH104" i="7" s="1"/>
  <c r="A103" i="7"/>
  <c r="AH103" i="7" s="1"/>
  <c r="A102" i="7"/>
  <c r="AH102" i="7" s="1"/>
  <c r="A101" i="7"/>
  <c r="AH101" i="7" s="1"/>
  <c r="A100" i="7"/>
  <c r="A95" i="7"/>
  <c r="AH95" i="7" s="1"/>
  <c r="A94" i="7"/>
  <c r="AH94" i="7" s="1"/>
  <c r="A93" i="7"/>
  <c r="AH93" i="7" s="1"/>
  <c r="A92" i="7"/>
  <c r="AH92" i="7" s="1"/>
  <c r="A91" i="7"/>
  <c r="AH91" i="7" s="1"/>
  <c r="A90" i="7"/>
  <c r="AH90" i="7" s="1"/>
  <c r="A89" i="7"/>
  <c r="AH89" i="7" s="1"/>
  <c r="A88" i="7"/>
  <c r="AH88" i="7" s="1"/>
  <c r="A87" i="7"/>
  <c r="AH87" i="7" s="1"/>
  <c r="A86" i="7"/>
  <c r="AH86" i="7" s="1"/>
  <c r="A85" i="7"/>
  <c r="AH85" i="7" s="1"/>
  <c r="A84" i="7"/>
  <c r="AH84" i="7" s="1"/>
  <c r="A83" i="7"/>
  <c r="AH83" i="7" s="1"/>
  <c r="A82" i="7"/>
  <c r="AH82" i="7" s="1"/>
  <c r="A81" i="7"/>
  <c r="AH81" i="7" s="1"/>
  <c r="A80" i="7"/>
  <c r="AH80" i="7" s="1"/>
  <c r="A79" i="7"/>
  <c r="AH79" i="7" s="1"/>
  <c r="A78" i="7"/>
  <c r="AH78" i="7" s="1"/>
  <c r="A77" i="7"/>
  <c r="AH77" i="7" s="1"/>
  <c r="A76" i="7"/>
  <c r="A71" i="7"/>
  <c r="AH71" i="7" s="1"/>
  <c r="A70" i="7"/>
  <c r="AH70" i="7" s="1"/>
  <c r="A69" i="7"/>
  <c r="AH69" i="7" s="1"/>
  <c r="A68" i="7"/>
  <c r="AH68" i="7" s="1"/>
  <c r="A67" i="7"/>
  <c r="AH67" i="7" s="1"/>
  <c r="A66" i="7"/>
  <c r="AH66" i="7" s="1"/>
  <c r="A65" i="7"/>
  <c r="AH65" i="7" s="1"/>
  <c r="A64" i="7"/>
  <c r="AH64" i="7" s="1"/>
  <c r="A63" i="7"/>
  <c r="AH63" i="7" s="1"/>
  <c r="A62" i="7"/>
  <c r="AH62" i="7" s="1"/>
  <c r="A61" i="7"/>
  <c r="AH61" i="7" s="1"/>
  <c r="A60" i="7"/>
  <c r="AH60" i="7" s="1"/>
  <c r="A59" i="7"/>
  <c r="AH59" i="7" s="1"/>
  <c r="A58" i="7"/>
  <c r="AH58" i="7" s="1"/>
  <c r="A57" i="7"/>
  <c r="AH57" i="7" s="1"/>
  <c r="A56" i="7"/>
  <c r="AH56" i="7" s="1"/>
  <c r="A55" i="7"/>
  <c r="AH55" i="7" s="1"/>
  <c r="A54" i="7"/>
  <c r="AH54" i="7" s="1"/>
  <c r="A53" i="7"/>
  <c r="AH53" i="7" s="1"/>
  <c r="A52" i="7"/>
  <c r="A47" i="7"/>
  <c r="AH47" i="7" s="1"/>
  <c r="A46" i="7"/>
  <c r="AH46" i="7" s="1"/>
  <c r="A45" i="7"/>
  <c r="AH45" i="7" s="1"/>
  <c r="A44" i="7"/>
  <c r="AH44" i="7" s="1"/>
  <c r="A43" i="7"/>
  <c r="AH43" i="7" s="1"/>
  <c r="A42" i="7"/>
  <c r="AH42" i="7" s="1"/>
  <c r="A41" i="7"/>
  <c r="AH41" i="7" s="1"/>
  <c r="A40" i="7"/>
  <c r="AH40" i="7" s="1"/>
  <c r="A39" i="7"/>
  <c r="AH39" i="7" s="1"/>
  <c r="A38" i="7"/>
  <c r="AH38" i="7" s="1"/>
  <c r="A37" i="7"/>
  <c r="AH37" i="7" s="1"/>
  <c r="A36" i="7"/>
  <c r="AH36" i="7" s="1"/>
  <c r="A35" i="7"/>
  <c r="AH35" i="7" s="1"/>
  <c r="A34" i="7"/>
  <c r="AH34" i="7" s="1"/>
  <c r="A33" i="7"/>
  <c r="AH33" i="7" s="1"/>
  <c r="A32" i="7"/>
  <c r="AH32" i="7" s="1"/>
  <c r="A31" i="7"/>
  <c r="AH31" i="7" s="1"/>
  <c r="A30" i="7"/>
  <c r="AH30" i="7" s="1"/>
  <c r="A29" i="7"/>
  <c r="AH29" i="7" s="1"/>
  <c r="A28" i="7"/>
  <c r="A23" i="7"/>
  <c r="AH23" i="7" s="1"/>
  <c r="A22" i="7"/>
  <c r="AH22" i="7" s="1"/>
  <c r="A21" i="7"/>
  <c r="AH21" i="7" s="1"/>
  <c r="A20" i="7"/>
  <c r="AH20" i="7" s="1"/>
  <c r="A19" i="7"/>
  <c r="AH19" i="7" s="1"/>
  <c r="A18" i="7"/>
  <c r="AH18" i="7" s="1"/>
  <c r="A17" i="7"/>
  <c r="AH17" i="7" s="1"/>
  <c r="A16" i="7"/>
  <c r="AH16" i="7" s="1"/>
  <c r="A15" i="7"/>
  <c r="AH15" i="7" s="1"/>
  <c r="A14" i="7"/>
  <c r="AH14" i="7" s="1"/>
  <c r="A13" i="7"/>
  <c r="AH13" i="7" s="1"/>
  <c r="A12" i="7"/>
  <c r="AH12" i="7" s="1"/>
  <c r="A11" i="7"/>
  <c r="AH11" i="7" s="1"/>
  <c r="A10" i="7"/>
  <c r="AH10" i="7" s="1"/>
  <c r="A9" i="7"/>
  <c r="AH9" i="7" s="1"/>
  <c r="A8" i="7"/>
  <c r="AH8" i="7" s="1"/>
  <c r="A7" i="7"/>
  <c r="AH7" i="7" s="1"/>
  <c r="A6" i="7"/>
  <c r="AH6" i="7" s="1"/>
  <c r="A5" i="7"/>
  <c r="AH5" i="7" s="1"/>
  <c r="A4" i="7"/>
  <c r="A287" i="6"/>
  <c r="AH287" i="6" s="1"/>
  <c r="A286" i="6"/>
  <c r="AH286" i="6" s="1"/>
  <c r="A285" i="6"/>
  <c r="AH285" i="6" s="1"/>
  <c r="A284" i="6"/>
  <c r="AH284" i="6" s="1"/>
  <c r="A283" i="6"/>
  <c r="AH283" i="6" s="1"/>
  <c r="A282" i="6"/>
  <c r="AH282" i="6" s="1"/>
  <c r="AF86" i="3" s="1"/>
  <c r="A281" i="6"/>
  <c r="AH281" i="6" s="1"/>
  <c r="AF85" i="3" s="1"/>
  <c r="A280" i="6"/>
  <c r="AH280" i="6" s="1"/>
  <c r="AF84" i="3" s="1"/>
  <c r="A279" i="6"/>
  <c r="AH279" i="6" s="1"/>
  <c r="AF83" i="3" s="1"/>
  <c r="A278" i="6"/>
  <c r="AH278" i="6" s="1"/>
  <c r="AF82" i="3" s="1"/>
  <c r="A277" i="6"/>
  <c r="AH277" i="6" s="1"/>
  <c r="A276" i="6"/>
  <c r="AH276" i="6" s="1"/>
  <c r="A275" i="6"/>
  <c r="AH275" i="6" s="1"/>
  <c r="A274" i="6"/>
  <c r="AH274" i="6" s="1"/>
  <c r="A273" i="6"/>
  <c r="AH273" i="6" s="1"/>
  <c r="A272" i="6"/>
  <c r="AH272" i="6" s="1"/>
  <c r="A271" i="6"/>
  <c r="AH271" i="6" s="1"/>
  <c r="A270" i="6"/>
  <c r="AH270" i="6" s="1"/>
  <c r="A269" i="6"/>
  <c r="AH269" i="6" s="1"/>
  <c r="A268" i="6"/>
  <c r="A263" i="6"/>
  <c r="AH263" i="6" s="1"/>
  <c r="A262" i="6"/>
  <c r="AH262" i="6" s="1"/>
  <c r="A261" i="6"/>
  <c r="AH261" i="6" s="1"/>
  <c r="A260" i="6"/>
  <c r="AH260" i="6" s="1"/>
  <c r="A259" i="6"/>
  <c r="AH259" i="6" s="1"/>
  <c r="A258" i="6"/>
  <c r="AH258" i="6" s="1"/>
  <c r="AE86" i="3" s="1"/>
  <c r="A257" i="6"/>
  <c r="AH257" i="6" s="1"/>
  <c r="AE85" i="3" s="1"/>
  <c r="A256" i="6"/>
  <c r="AH256" i="6" s="1"/>
  <c r="AE84" i="3" s="1"/>
  <c r="A255" i="6"/>
  <c r="AH255" i="6" s="1"/>
  <c r="AE83" i="3" s="1"/>
  <c r="A254" i="6"/>
  <c r="AH254" i="6" s="1"/>
  <c r="AE82" i="3" s="1"/>
  <c r="A253" i="6"/>
  <c r="AH253" i="6" s="1"/>
  <c r="A252" i="6"/>
  <c r="AH252" i="6" s="1"/>
  <c r="A251" i="6"/>
  <c r="AH251" i="6" s="1"/>
  <c r="A250" i="6"/>
  <c r="AH250" i="6" s="1"/>
  <c r="A249" i="6"/>
  <c r="AH249" i="6" s="1"/>
  <c r="A248" i="6"/>
  <c r="AH248" i="6" s="1"/>
  <c r="A247" i="6"/>
  <c r="AH247" i="6" s="1"/>
  <c r="A246" i="6"/>
  <c r="AH246" i="6" s="1"/>
  <c r="A245" i="6"/>
  <c r="AH245" i="6" s="1"/>
  <c r="A244" i="6"/>
  <c r="A239" i="6"/>
  <c r="AH239" i="6" s="1"/>
  <c r="A238" i="6"/>
  <c r="AH238" i="6" s="1"/>
  <c r="A237" i="6"/>
  <c r="AH237" i="6" s="1"/>
  <c r="A236" i="6"/>
  <c r="AH236" i="6" s="1"/>
  <c r="A235" i="6"/>
  <c r="AH235" i="6" s="1"/>
  <c r="A234" i="6"/>
  <c r="AH234" i="6" s="1"/>
  <c r="AD86" i="3" s="1"/>
  <c r="A233" i="6"/>
  <c r="AH233" i="6" s="1"/>
  <c r="AD85" i="3" s="1"/>
  <c r="A232" i="6"/>
  <c r="AH232" i="6" s="1"/>
  <c r="AD84" i="3" s="1"/>
  <c r="A231" i="6"/>
  <c r="AH231" i="6" s="1"/>
  <c r="AD83" i="3" s="1"/>
  <c r="A230" i="6"/>
  <c r="AH230" i="6" s="1"/>
  <c r="AD82" i="3" s="1"/>
  <c r="A229" i="6"/>
  <c r="AH229" i="6" s="1"/>
  <c r="A228" i="6"/>
  <c r="AH228" i="6" s="1"/>
  <c r="A227" i="6"/>
  <c r="AH227" i="6" s="1"/>
  <c r="A226" i="6"/>
  <c r="AH226" i="6" s="1"/>
  <c r="A225" i="6"/>
  <c r="AH225" i="6" s="1"/>
  <c r="A224" i="6"/>
  <c r="AH224" i="6" s="1"/>
  <c r="A223" i="6"/>
  <c r="AH223" i="6" s="1"/>
  <c r="A222" i="6"/>
  <c r="AH222" i="6" s="1"/>
  <c r="A221" i="6"/>
  <c r="AH221" i="6" s="1"/>
  <c r="A220" i="6"/>
  <c r="A215" i="6"/>
  <c r="AH215" i="6" s="1"/>
  <c r="A214" i="6"/>
  <c r="AH214" i="6" s="1"/>
  <c r="A213" i="6"/>
  <c r="AH213" i="6" s="1"/>
  <c r="A212" i="6"/>
  <c r="AH212" i="6" s="1"/>
  <c r="A211" i="6"/>
  <c r="AH211" i="6" s="1"/>
  <c r="A210" i="6"/>
  <c r="AH210" i="6" s="1"/>
  <c r="AC86" i="3" s="1"/>
  <c r="A209" i="6"/>
  <c r="AH209" i="6" s="1"/>
  <c r="AC85" i="3" s="1"/>
  <c r="A208" i="6"/>
  <c r="AH208" i="6" s="1"/>
  <c r="AC84" i="3" s="1"/>
  <c r="A207" i="6"/>
  <c r="AH207" i="6" s="1"/>
  <c r="AC83" i="3" s="1"/>
  <c r="A206" i="6"/>
  <c r="AH206" i="6" s="1"/>
  <c r="AC82" i="3" s="1"/>
  <c r="A205" i="6"/>
  <c r="AH205" i="6" s="1"/>
  <c r="A204" i="6"/>
  <c r="AH204" i="6" s="1"/>
  <c r="A203" i="6"/>
  <c r="AH203" i="6" s="1"/>
  <c r="A202" i="6"/>
  <c r="AH202" i="6" s="1"/>
  <c r="A201" i="6"/>
  <c r="AH201" i="6" s="1"/>
  <c r="A200" i="6"/>
  <c r="AH200" i="6" s="1"/>
  <c r="A199" i="6"/>
  <c r="AH199" i="6" s="1"/>
  <c r="A198" i="6"/>
  <c r="AH198" i="6" s="1"/>
  <c r="A197" i="6"/>
  <c r="AH197" i="6" s="1"/>
  <c r="A196" i="6"/>
  <c r="A191" i="6"/>
  <c r="AH191" i="6" s="1"/>
  <c r="A190" i="6"/>
  <c r="AH190" i="6" s="1"/>
  <c r="A189" i="6"/>
  <c r="AH189" i="6" s="1"/>
  <c r="A188" i="6"/>
  <c r="AH188" i="6" s="1"/>
  <c r="A187" i="6"/>
  <c r="AH187" i="6" s="1"/>
  <c r="A186" i="6"/>
  <c r="AH186" i="6" s="1"/>
  <c r="AB86" i="3" s="1"/>
  <c r="A185" i="6"/>
  <c r="AH185" i="6" s="1"/>
  <c r="AB85" i="3" s="1"/>
  <c r="A184" i="6"/>
  <c r="AH184" i="6" s="1"/>
  <c r="AB84" i="3" s="1"/>
  <c r="A183" i="6"/>
  <c r="AH183" i="6" s="1"/>
  <c r="AB83" i="3" s="1"/>
  <c r="A182" i="6"/>
  <c r="AH182" i="6" s="1"/>
  <c r="AB82" i="3" s="1"/>
  <c r="A181" i="6"/>
  <c r="AH181" i="6" s="1"/>
  <c r="A180" i="6"/>
  <c r="AH180" i="6" s="1"/>
  <c r="A179" i="6"/>
  <c r="AH179" i="6" s="1"/>
  <c r="A178" i="6"/>
  <c r="AH178" i="6" s="1"/>
  <c r="A177" i="6"/>
  <c r="AH177" i="6" s="1"/>
  <c r="A176" i="6"/>
  <c r="AH176" i="6" s="1"/>
  <c r="A175" i="6"/>
  <c r="AH175" i="6" s="1"/>
  <c r="A174" i="6"/>
  <c r="AH174" i="6" s="1"/>
  <c r="A173" i="6"/>
  <c r="AH173" i="6" s="1"/>
  <c r="A172" i="6"/>
  <c r="A167" i="6"/>
  <c r="AH167" i="6" s="1"/>
  <c r="A166" i="6"/>
  <c r="AH166" i="6" s="1"/>
  <c r="A165" i="6"/>
  <c r="AH165" i="6" s="1"/>
  <c r="A164" i="6"/>
  <c r="AH164" i="6" s="1"/>
  <c r="A163" i="6"/>
  <c r="AH163" i="6" s="1"/>
  <c r="A162" i="6"/>
  <c r="AH162" i="6" s="1"/>
  <c r="AA86" i="3" s="1"/>
  <c r="A161" i="6"/>
  <c r="AH161" i="6" s="1"/>
  <c r="AA85" i="3" s="1"/>
  <c r="A160" i="6"/>
  <c r="AH160" i="6" s="1"/>
  <c r="AA84" i="3" s="1"/>
  <c r="A159" i="6"/>
  <c r="AH159" i="6" s="1"/>
  <c r="AA83" i="3" s="1"/>
  <c r="A158" i="6"/>
  <c r="AH158" i="6" s="1"/>
  <c r="AA82" i="3" s="1"/>
  <c r="A157" i="6"/>
  <c r="AH157" i="6" s="1"/>
  <c r="A156" i="6"/>
  <c r="AH156" i="6" s="1"/>
  <c r="A155" i="6"/>
  <c r="AH155" i="6" s="1"/>
  <c r="A154" i="6"/>
  <c r="AH154" i="6" s="1"/>
  <c r="A153" i="6"/>
  <c r="AH153" i="6" s="1"/>
  <c r="A152" i="6"/>
  <c r="AH152" i="6" s="1"/>
  <c r="A151" i="6"/>
  <c r="AH151" i="6" s="1"/>
  <c r="A150" i="6"/>
  <c r="AH150" i="6" s="1"/>
  <c r="A149" i="6"/>
  <c r="AH149" i="6" s="1"/>
  <c r="A148" i="6"/>
  <c r="A143" i="6"/>
  <c r="AH143" i="6" s="1"/>
  <c r="A142" i="6"/>
  <c r="AH142" i="6" s="1"/>
  <c r="A141" i="6"/>
  <c r="AH141" i="6" s="1"/>
  <c r="A140" i="6"/>
  <c r="AH140" i="6" s="1"/>
  <c r="A139" i="6"/>
  <c r="AH139" i="6" s="1"/>
  <c r="A138" i="6"/>
  <c r="AH138" i="6" s="1"/>
  <c r="Z86" i="3" s="1"/>
  <c r="A137" i="6"/>
  <c r="AH137" i="6" s="1"/>
  <c r="Z85" i="3" s="1"/>
  <c r="A136" i="6"/>
  <c r="AH136" i="6" s="1"/>
  <c r="Z84" i="3" s="1"/>
  <c r="A135" i="6"/>
  <c r="AH135" i="6" s="1"/>
  <c r="Z83" i="3" s="1"/>
  <c r="A134" i="6"/>
  <c r="AH134" i="6" s="1"/>
  <c r="Z82" i="3" s="1"/>
  <c r="A133" i="6"/>
  <c r="AH133" i="6" s="1"/>
  <c r="A132" i="6"/>
  <c r="AH132" i="6" s="1"/>
  <c r="A131" i="6"/>
  <c r="AH131" i="6" s="1"/>
  <c r="A130" i="6"/>
  <c r="AH130" i="6" s="1"/>
  <c r="A129" i="6"/>
  <c r="AH129" i="6" s="1"/>
  <c r="A128" i="6"/>
  <c r="AH128" i="6" s="1"/>
  <c r="A127" i="6"/>
  <c r="AH127" i="6" s="1"/>
  <c r="A126" i="6"/>
  <c r="AH126" i="6" s="1"/>
  <c r="A125" i="6"/>
  <c r="AH125" i="6" s="1"/>
  <c r="A124" i="6"/>
  <c r="A119" i="6"/>
  <c r="AH119" i="6" s="1"/>
  <c r="A118" i="6"/>
  <c r="AH118" i="6" s="1"/>
  <c r="A117" i="6"/>
  <c r="AH117" i="6" s="1"/>
  <c r="A116" i="6"/>
  <c r="AH116" i="6" s="1"/>
  <c r="A115" i="6"/>
  <c r="AH115" i="6" s="1"/>
  <c r="A114" i="6"/>
  <c r="AH114" i="6" s="1"/>
  <c r="Y86" i="3" s="1"/>
  <c r="A113" i="6"/>
  <c r="AH113" i="6" s="1"/>
  <c r="Y85" i="3" s="1"/>
  <c r="A112" i="6"/>
  <c r="AH112" i="6" s="1"/>
  <c r="Y84" i="3" s="1"/>
  <c r="A111" i="6"/>
  <c r="AH111" i="6" s="1"/>
  <c r="Y83" i="3" s="1"/>
  <c r="A110" i="6"/>
  <c r="AH110" i="6" s="1"/>
  <c r="Y82" i="3" s="1"/>
  <c r="A109" i="6"/>
  <c r="AH109" i="6" s="1"/>
  <c r="A108" i="6"/>
  <c r="AH108" i="6" s="1"/>
  <c r="A107" i="6"/>
  <c r="AH107" i="6" s="1"/>
  <c r="A106" i="6"/>
  <c r="AH106" i="6" s="1"/>
  <c r="A105" i="6"/>
  <c r="AH105" i="6" s="1"/>
  <c r="A104" i="6"/>
  <c r="AH104" i="6" s="1"/>
  <c r="A103" i="6"/>
  <c r="AH103" i="6" s="1"/>
  <c r="A102" i="6"/>
  <c r="AH102" i="6" s="1"/>
  <c r="A101" i="6"/>
  <c r="AH101" i="6" s="1"/>
  <c r="A100" i="6"/>
  <c r="A95" i="6"/>
  <c r="AH95" i="6" s="1"/>
  <c r="A94" i="6"/>
  <c r="AH94" i="6" s="1"/>
  <c r="A93" i="6"/>
  <c r="AH93" i="6" s="1"/>
  <c r="A92" i="6"/>
  <c r="AH92" i="6" s="1"/>
  <c r="A91" i="6"/>
  <c r="AH91" i="6" s="1"/>
  <c r="A90" i="6"/>
  <c r="AH90" i="6" s="1"/>
  <c r="X86" i="3" s="1"/>
  <c r="A89" i="6"/>
  <c r="AH89" i="6" s="1"/>
  <c r="X85" i="3" s="1"/>
  <c r="A88" i="6"/>
  <c r="AH88" i="6" s="1"/>
  <c r="X84" i="3" s="1"/>
  <c r="A87" i="6"/>
  <c r="AH87" i="6" s="1"/>
  <c r="X83" i="3" s="1"/>
  <c r="A86" i="6"/>
  <c r="AH86" i="6" s="1"/>
  <c r="X82" i="3" s="1"/>
  <c r="A85" i="6"/>
  <c r="AH85" i="6" s="1"/>
  <c r="A84" i="6"/>
  <c r="AH84" i="6" s="1"/>
  <c r="A83" i="6"/>
  <c r="AH83" i="6" s="1"/>
  <c r="A82" i="6"/>
  <c r="AH82" i="6" s="1"/>
  <c r="A81" i="6"/>
  <c r="AH81" i="6" s="1"/>
  <c r="A80" i="6"/>
  <c r="AH80" i="6" s="1"/>
  <c r="A79" i="6"/>
  <c r="AH79" i="6" s="1"/>
  <c r="A78" i="6"/>
  <c r="AH78" i="6" s="1"/>
  <c r="A77" i="6"/>
  <c r="AH77" i="6" s="1"/>
  <c r="A76" i="6"/>
  <c r="A71" i="6"/>
  <c r="AH71" i="6" s="1"/>
  <c r="A70" i="6"/>
  <c r="AH70" i="6" s="1"/>
  <c r="A69" i="6"/>
  <c r="AH69" i="6" s="1"/>
  <c r="A68" i="6"/>
  <c r="AH68" i="6" s="1"/>
  <c r="A67" i="6"/>
  <c r="AH67" i="6" s="1"/>
  <c r="A66" i="6"/>
  <c r="AH66" i="6" s="1"/>
  <c r="W86" i="3" s="1"/>
  <c r="A65" i="6"/>
  <c r="AH65" i="6" s="1"/>
  <c r="W85" i="3" s="1"/>
  <c r="A64" i="6"/>
  <c r="AH64" i="6" s="1"/>
  <c r="W84" i="3" s="1"/>
  <c r="A63" i="6"/>
  <c r="AH63" i="6" s="1"/>
  <c r="W83" i="3" s="1"/>
  <c r="A62" i="6"/>
  <c r="AH62" i="6" s="1"/>
  <c r="W82" i="3" s="1"/>
  <c r="A61" i="6"/>
  <c r="AH61" i="6" s="1"/>
  <c r="A60" i="6"/>
  <c r="AH60" i="6" s="1"/>
  <c r="A59" i="6"/>
  <c r="AH59" i="6" s="1"/>
  <c r="A58" i="6"/>
  <c r="AH58" i="6" s="1"/>
  <c r="A57" i="6"/>
  <c r="AH57" i="6" s="1"/>
  <c r="A56" i="6"/>
  <c r="AH56" i="6" s="1"/>
  <c r="A55" i="6"/>
  <c r="AH55" i="6" s="1"/>
  <c r="A54" i="6"/>
  <c r="AH54" i="6" s="1"/>
  <c r="A53" i="6"/>
  <c r="AH53" i="6" s="1"/>
  <c r="A52" i="6"/>
  <c r="A47" i="6"/>
  <c r="AH47" i="6" s="1"/>
  <c r="A46" i="6"/>
  <c r="AH46" i="6" s="1"/>
  <c r="A45" i="6"/>
  <c r="AH45" i="6" s="1"/>
  <c r="A44" i="6"/>
  <c r="AH44" i="6" s="1"/>
  <c r="A43" i="6"/>
  <c r="AH43" i="6" s="1"/>
  <c r="A42" i="6"/>
  <c r="AH42" i="6" s="1"/>
  <c r="V86" i="3" s="1"/>
  <c r="A41" i="6"/>
  <c r="AH41" i="6" s="1"/>
  <c r="V85" i="3" s="1"/>
  <c r="A40" i="6"/>
  <c r="AH40" i="6" s="1"/>
  <c r="V84" i="3" s="1"/>
  <c r="A39" i="6"/>
  <c r="AH39" i="6" s="1"/>
  <c r="V83" i="3" s="1"/>
  <c r="A38" i="6"/>
  <c r="AH38" i="6" s="1"/>
  <c r="V82" i="3" s="1"/>
  <c r="A37" i="6"/>
  <c r="AH37" i="6" s="1"/>
  <c r="A36" i="6"/>
  <c r="AH36" i="6" s="1"/>
  <c r="A35" i="6"/>
  <c r="AH35" i="6" s="1"/>
  <c r="A34" i="6"/>
  <c r="AH34" i="6" s="1"/>
  <c r="A33" i="6"/>
  <c r="AH33" i="6" s="1"/>
  <c r="A32" i="6"/>
  <c r="AH32" i="6" s="1"/>
  <c r="A31" i="6"/>
  <c r="AH31" i="6" s="1"/>
  <c r="A30" i="6"/>
  <c r="AH30" i="6" s="1"/>
  <c r="A29" i="6"/>
  <c r="AH29" i="6" s="1"/>
  <c r="A28" i="6"/>
  <c r="A23" i="6"/>
  <c r="AH23" i="6" s="1"/>
  <c r="U91" i="3" s="1"/>
  <c r="A22" i="6"/>
  <c r="AH22" i="6" s="1"/>
  <c r="U90" i="3" s="1"/>
  <c r="A21" i="6"/>
  <c r="AH21" i="6" s="1"/>
  <c r="U89" i="3" s="1"/>
  <c r="A20" i="6"/>
  <c r="AH20" i="6" s="1"/>
  <c r="U88" i="3" s="1"/>
  <c r="A19" i="6"/>
  <c r="AH19" i="6" s="1"/>
  <c r="U87" i="3" s="1"/>
  <c r="A18" i="6"/>
  <c r="AH18" i="6" s="1"/>
  <c r="A17" i="6"/>
  <c r="AH17" i="6" s="1"/>
  <c r="A16" i="6"/>
  <c r="AH16" i="6" s="1"/>
  <c r="A15" i="6"/>
  <c r="AH15" i="6" s="1"/>
  <c r="A14" i="6"/>
  <c r="AH14" i="6" s="1"/>
  <c r="A287" i="5"/>
  <c r="AH287" i="5" s="1"/>
  <c r="A286" i="5"/>
  <c r="AH286" i="5" s="1"/>
  <c r="A285" i="5"/>
  <c r="AH285" i="5" s="1"/>
  <c r="A284" i="5"/>
  <c r="AH284" i="5" s="1"/>
  <c r="A283" i="5"/>
  <c r="AH283" i="5" s="1"/>
  <c r="A282" i="5"/>
  <c r="AH282" i="5" s="1"/>
  <c r="AF63" i="3" s="1"/>
  <c r="A281" i="5"/>
  <c r="AH281" i="5" s="1"/>
  <c r="AF62" i="3" s="1"/>
  <c r="A280" i="5"/>
  <c r="AH280" i="5" s="1"/>
  <c r="AF61" i="3" s="1"/>
  <c r="A279" i="5"/>
  <c r="AH279" i="5" s="1"/>
  <c r="AF60" i="3" s="1"/>
  <c r="A278" i="5"/>
  <c r="AH278" i="5" s="1"/>
  <c r="AF59" i="3" s="1"/>
  <c r="A277" i="5"/>
  <c r="AH277" i="5" s="1"/>
  <c r="A276" i="5"/>
  <c r="AH276" i="5" s="1"/>
  <c r="A275" i="5"/>
  <c r="AH275" i="5" s="1"/>
  <c r="A274" i="5"/>
  <c r="AH274" i="5" s="1"/>
  <c r="A273" i="5"/>
  <c r="AH273" i="5" s="1"/>
  <c r="A272" i="5"/>
  <c r="AH272" i="5" s="1"/>
  <c r="A271" i="5"/>
  <c r="AH271" i="5" s="1"/>
  <c r="A270" i="5"/>
  <c r="AH270" i="5" s="1"/>
  <c r="A269" i="5"/>
  <c r="AH269" i="5" s="1"/>
  <c r="A268" i="5"/>
  <c r="A263" i="5"/>
  <c r="AH263" i="5" s="1"/>
  <c r="A262" i="5"/>
  <c r="AH262" i="5" s="1"/>
  <c r="A261" i="5"/>
  <c r="AH261" i="5" s="1"/>
  <c r="A260" i="5"/>
  <c r="AH260" i="5" s="1"/>
  <c r="A259" i="5"/>
  <c r="AH259" i="5" s="1"/>
  <c r="A258" i="5"/>
  <c r="AH258" i="5" s="1"/>
  <c r="AE63" i="3" s="1"/>
  <c r="A257" i="5"/>
  <c r="AH257" i="5" s="1"/>
  <c r="AE62" i="3" s="1"/>
  <c r="A256" i="5"/>
  <c r="AH256" i="5" s="1"/>
  <c r="AE61" i="3" s="1"/>
  <c r="A255" i="5"/>
  <c r="AH255" i="5" s="1"/>
  <c r="AE60" i="3" s="1"/>
  <c r="A254" i="5"/>
  <c r="AH254" i="5" s="1"/>
  <c r="AE59" i="3" s="1"/>
  <c r="A253" i="5"/>
  <c r="AH253" i="5" s="1"/>
  <c r="A252" i="5"/>
  <c r="AH252" i="5" s="1"/>
  <c r="A251" i="5"/>
  <c r="AH251" i="5" s="1"/>
  <c r="A250" i="5"/>
  <c r="AH250" i="5" s="1"/>
  <c r="A249" i="5"/>
  <c r="AH249" i="5" s="1"/>
  <c r="A248" i="5"/>
  <c r="AH248" i="5" s="1"/>
  <c r="A247" i="5"/>
  <c r="AH247" i="5" s="1"/>
  <c r="A246" i="5"/>
  <c r="AH246" i="5" s="1"/>
  <c r="A245" i="5"/>
  <c r="AH245" i="5" s="1"/>
  <c r="A244" i="5"/>
  <c r="A239" i="5"/>
  <c r="AH239" i="5" s="1"/>
  <c r="A238" i="5"/>
  <c r="AH238" i="5" s="1"/>
  <c r="A237" i="5"/>
  <c r="AH237" i="5" s="1"/>
  <c r="A236" i="5"/>
  <c r="AH236" i="5" s="1"/>
  <c r="A235" i="5"/>
  <c r="AH235" i="5" s="1"/>
  <c r="A234" i="5"/>
  <c r="AH234" i="5" s="1"/>
  <c r="AD63" i="3" s="1"/>
  <c r="A233" i="5"/>
  <c r="AH233" i="5" s="1"/>
  <c r="AD62" i="3" s="1"/>
  <c r="A232" i="5"/>
  <c r="AH232" i="5" s="1"/>
  <c r="AD61" i="3" s="1"/>
  <c r="A231" i="5"/>
  <c r="AH231" i="5" s="1"/>
  <c r="AD60" i="3" s="1"/>
  <c r="A230" i="5"/>
  <c r="AH230" i="5" s="1"/>
  <c r="AD59" i="3" s="1"/>
  <c r="A229" i="5"/>
  <c r="AH229" i="5" s="1"/>
  <c r="A228" i="5"/>
  <c r="AH228" i="5" s="1"/>
  <c r="A227" i="5"/>
  <c r="AH227" i="5" s="1"/>
  <c r="A226" i="5"/>
  <c r="AH226" i="5" s="1"/>
  <c r="A225" i="5"/>
  <c r="AH225" i="5" s="1"/>
  <c r="A224" i="5"/>
  <c r="AH224" i="5" s="1"/>
  <c r="A223" i="5"/>
  <c r="AH223" i="5" s="1"/>
  <c r="A222" i="5"/>
  <c r="AH222" i="5" s="1"/>
  <c r="A221" i="5"/>
  <c r="AH221" i="5" s="1"/>
  <c r="A220" i="5"/>
  <c r="A215" i="5"/>
  <c r="AH215" i="5" s="1"/>
  <c r="A214" i="5"/>
  <c r="AH214" i="5" s="1"/>
  <c r="A213" i="5"/>
  <c r="AH213" i="5" s="1"/>
  <c r="A212" i="5"/>
  <c r="AH212" i="5" s="1"/>
  <c r="A211" i="5"/>
  <c r="AH211" i="5" s="1"/>
  <c r="A210" i="5"/>
  <c r="AH210" i="5" s="1"/>
  <c r="AC63" i="3" s="1"/>
  <c r="A209" i="5"/>
  <c r="AH209" i="5" s="1"/>
  <c r="AC62" i="3" s="1"/>
  <c r="A208" i="5"/>
  <c r="AH208" i="5" s="1"/>
  <c r="AC61" i="3" s="1"/>
  <c r="A207" i="5"/>
  <c r="AH207" i="5" s="1"/>
  <c r="AC60" i="3" s="1"/>
  <c r="A206" i="5"/>
  <c r="AH206" i="5" s="1"/>
  <c r="AC59" i="3" s="1"/>
  <c r="A205" i="5"/>
  <c r="AH205" i="5" s="1"/>
  <c r="A204" i="5"/>
  <c r="AH204" i="5" s="1"/>
  <c r="A203" i="5"/>
  <c r="AH203" i="5" s="1"/>
  <c r="A202" i="5"/>
  <c r="AH202" i="5" s="1"/>
  <c r="A201" i="5"/>
  <c r="AH201" i="5" s="1"/>
  <c r="A200" i="5"/>
  <c r="AH200" i="5" s="1"/>
  <c r="A199" i="5"/>
  <c r="AH199" i="5" s="1"/>
  <c r="A198" i="5"/>
  <c r="AH198" i="5" s="1"/>
  <c r="A197" i="5"/>
  <c r="AH197" i="5" s="1"/>
  <c r="A196" i="5"/>
  <c r="A191" i="5"/>
  <c r="AH191" i="5" s="1"/>
  <c r="A190" i="5"/>
  <c r="AH190" i="5" s="1"/>
  <c r="A189" i="5"/>
  <c r="AH189" i="5" s="1"/>
  <c r="A188" i="5"/>
  <c r="AH188" i="5" s="1"/>
  <c r="A187" i="5"/>
  <c r="AH187" i="5" s="1"/>
  <c r="A186" i="5"/>
  <c r="AH186" i="5" s="1"/>
  <c r="AB63" i="3" s="1"/>
  <c r="A185" i="5"/>
  <c r="AH185" i="5" s="1"/>
  <c r="AB62" i="3" s="1"/>
  <c r="A184" i="5"/>
  <c r="AH184" i="5" s="1"/>
  <c r="AB61" i="3" s="1"/>
  <c r="A183" i="5"/>
  <c r="AH183" i="5" s="1"/>
  <c r="AB60" i="3" s="1"/>
  <c r="A182" i="5"/>
  <c r="AH182" i="5" s="1"/>
  <c r="AB59" i="3" s="1"/>
  <c r="A181" i="5"/>
  <c r="AH181" i="5" s="1"/>
  <c r="A180" i="5"/>
  <c r="AH180" i="5" s="1"/>
  <c r="A179" i="5"/>
  <c r="AH179" i="5" s="1"/>
  <c r="A178" i="5"/>
  <c r="AH178" i="5" s="1"/>
  <c r="A177" i="5"/>
  <c r="AH177" i="5" s="1"/>
  <c r="A176" i="5"/>
  <c r="AH176" i="5" s="1"/>
  <c r="A175" i="5"/>
  <c r="AH175" i="5" s="1"/>
  <c r="A174" i="5"/>
  <c r="AH174" i="5" s="1"/>
  <c r="A173" i="5"/>
  <c r="AH173" i="5" s="1"/>
  <c r="A172" i="5"/>
  <c r="A167" i="5"/>
  <c r="AH167" i="5" s="1"/>
  <c r="A166" i="5"/>
  <c r="AH166" i="5" s="1"/>
  <c r="A165" i="5"/>
  <c r="AH165" i="5" s="1"/>
  <c r="A164" i="5"/>
  <c r="AH164" i="5" s="1"/>
  <c r="A163" i="5"/>
  <c r="AH163" i="5" s="1"/>
  <c r="A162" i="5"/>
  <c r="AH162" i="5" s="1"/>
  <c r="AA63" i="3" s="1"/>
  <c r="A161" i="5"/>
  <c r="AH161" i="5" s="1"/>
  <c r="AA62" i="3" s="1"/>
  <c r="A160" i="5"/>
  <c r="AH160" i="5" s="1"/>
  <c r="AA61" i="3" s="1"/>
  <c r="A159" i="5"/>
  <c r="AH159" i="5" s="1"/>
  <c r="AA60" i="3" s="1"/>
  <c r="A158" i="5"/>
  <c r="AH158" i="5" s="1"/>
  <c r="AA59" i="3" s="1"/>
  <c r="A157" i="5"/>
  <c r="AH157" i="5" s="1"/>
  <c r="A156" i="5"/>
  <c r="AH156" i="5" s="1"/>
  <c r="A155" i="5"/>
  <c r="AH155" i="5" s="1"/>
  <c r="A154" i="5"/>
  <c r="AH154" i="5" s="1"/>
  <c r="A153" i="5"/>
  <c r="AH153" i="5" s="1"/>
  <c r="A152" i="5"/>
  <c r="AH152" i="5" s="1"/>
  <c r="A151" i="5"/>
  <c r="AH151" i="5" s="1"/>
  <c r="A150" i="5"/>
  <c r="AH150" i="5" s="1"/>
  <c r="A149" i="5"/>
  <c r="AH149" i="5" s="1"/>
  <c r="A148" i="5"/>
  <c r="A143" i="5"/>
  <c r="AH143" i="5" s="1"/>
  <c r="A142" i="5"/>
  <c r="AH142" i="5" s="1"/>
  <c r="A141" i="5"/>
  <c r="AH141" i="5" s="1"/>
  <c r="A140" i="5"/>
  <c r="AH140" i="5" s="1"/>
  <c r="A139" i="5"/>
  <c r="AH139" i="5" s="1"/>
  <c r="A138" i="5"/>
  <c r="AH138" i="5" s="1"/>
  <c r="Z63" i="3" s="1"/>
  <c r="A137" i="5"/>
  <c r="AH137" i="5" s="1"/>
  <c r="Z62" i="3" s="1"/>
  <c r="A136" i="5"/>
  <c r="AH136" i="5" s="1"/>
  <c r="Z61" i="3" s="1"/>
  <c r="A135" i="5"/>
  <c r="AH135" i="5" s="1"/>
  <c r="Z60" i="3" s="1"/>
  <c r="A134" i="5"/>
  <c r="AH134" i="5" s="1"/>
  <c r="Z59" i="3" s="1"/>
  <c r="A133" i="5"/>
  <c r="AH133" i="5" s="1"/>
  <c r="A132" i="5"/>
  <c r="AH132" i="5" s="1"/>
  <c r="A131" i="5"/>
  <c r="AH131" i="5" s="1"/>
  <c r="A130" i="5"/>
  <c r="AH130" i="5" s="1"/>
  <c r="A129" i="5"/>
  <c r="AH129" i="5" s="1"/>
  <c r="A128" i="5"/>
  <c r="AH128" i="5" s="1"/>
  <c r="A127" i="5"/>
  <c r="AH127" i="5" s="1"/>
  <c r="A126" i="5"/>
  <c r="AH126" i="5" s="1"/>
  <c r="A125" i="5"/>
  <c r="AH125" i="5" s="1"/>
  <c r="A124" i="5"/>
  <c r="A119" i="5"/>
  <c r="AH119" i="5" s="1"/>
  <c r="A118" i="5"/>
  <c r="AH118" i="5" s="1"/>
  <c r="A117" i="5"/>
  <c r="AH117" i="5" s="1"/>
  <c r="A116" i="5"/>
  <c r="AH116" i="5" s="1"/>
  <c r="A115" i="5"/>
  <c r="AH115" i="5" s="1"/>
  <c r="A114" i="5"/>
  <c r="AH114" i="5" s="1"/>
  <c r="Y63" i="3" s="1"/>
  <c r="A113" i="5"/>
  <c r="AH113" i="5" s="1"/>
  <c r="Y62" i="3" s="1"/>
  <c r="A112" i="5"/>
  <c r="AH112" i="5" s="1"/>
  <c r="Y61" i="3" s="1"/>
  <c r="A111" i="5"/>
  <c r="AH111" i="5" s="1"/>
  <c r="Y60" i="3" s="1"/>
  <c r="A110" i="5"/>
  <c r="AH110" i="5" s="1"/>
  <c r="Y59" i="3" s="1"/>
  <c r="A109" i="5"/>
  <c r="AH109" i="5" s="1"/>
  <c r="A108" i="5"/>
  <c r="AH108" i="5" s="1"/>
  <c r="A107" i="5"/>
  <c r="AH107" i="5" s="1"/>
  <c r="A106" i="5"/>
  <c r="AH106" i="5" s="1"/>
  <c r="A105" i="5"/>
  <c r="AH105" i="5" s="1"/>
  <c r="A104" i="5"/>
  <c r="AH104" i="5" s="1"/>
  <c r="A103" i="5"/>
  <c r="AH103" i="5" s="1"/>
  <c r="A102" i="5"/>
  <c r="AH102" i="5" s="1"/>
  <c r="A101" i="5"/>
  <c r="AH101" i="5" s="1"/>
  <c r="A100" i="5"/>
  <c r="A95" i="5"/>
  <c r="AH95" i="5" s="1"/>
  <c r="A94" i="5"/>
  <c r="AH94" i="5" s="1"/>
  <c r="A93" i="5"/>
  <c r="AH93" i="5" s="1"/>
  <c r="A92" i="5"/>
  <c r="AH92" i="5" s="1"/>
  <c r="A91" i="5"/>
  <c r="AH91" i="5" s="1"/>
  <c r="A90" i="5"/>
  <c r="AH90" i="5" s="1"/>
  <c r="X63" i="3" s="1"/>
  <c r="A89" i="5"/>
  <c r="AH89" i="5" s="1"/>
  <c r="X62" i="3" s="1"/>
  <c r="A88" i="5"/>
  <c r="AH88" i="5" s="1"/>
  <c r="X61" i="3" s="1"/>
  <c r="A87" i="5"/>
  <c r="AH87" i="5" s="1"/>
  <c r="X60" i="3" s="1"/>
  <c r="A86" i="5"/>
  <c r="AH86" i="5" s="1"/>
  <c r="X59" i="3" s="1"/>
  <c r="A85" i="5"/>
  <c r="AH85" i="5" s="1"/>
  <c r="A84" i="5"/>
  <c r="AH84" i="5" s="1"/>
  <c r="A83" i="5"/>
  <c r="AH83" i="5" s="1"/>
  <c r="A82" i="5"/>
  <c r="AH82" i="5" s="1"/>
  <c r="A81" i="5"/>
  <c r="AH81" i="5" s="1"/>
  <c r="A80" i="5"/>
  <c r="AH80" i="5" s="1"/>
  <c r="A79" i="5"/>
  <c r="AH79" i="5" s="1"/>
  <c r="A78" i="5"/>
  <c r="AH78" i="5" s="1"/>
  <c r="A77" i="5"/>
  <c r="AH77" i="5" s="1"/>
  <c r="A76" i="5"/>
  <c r="A71" i="5"/>
  <c r="AH71" i="5" s="1"/>
  <c r="A70" i="5"/>
  <c r="AH70" i="5" s="1"/>
  <c r="A69" i="5"/>
  <c r="AH69" i="5" s="1"/>
  <c r="A68" i="5"/>
  <c r="AH68" i="5" s="1"/>
  <c r="A67" i="5"/>
  <c r="AH67" i="5" s="1"/>
  <c r="A66" i="5"/>
  <c r="AH66" i="5" s="1"/>
  <c r="W63" i="3" s="1"/>
  <c r="A65" i="5"/>
  <c r="AH65" i="5" s="1"/>
  <c r="W62" i="3" s="1"/>
  <c r="A64" i="5"/>
  <c r="AH64" i="5" s="1"/>
  <c r="W61" i="3" s="1"/>
  <c r="A63" i="5"/>
  <c r="AH63" i="5" s="1"/>
  <c r="W60" i="3" s="1"/>
  <c r="A62" i="5"/>
  <c r="AH62" i="5" s="1"/>
  <c r="W59" i="3" s="1"/>
  <c r="A61" i="5"/>
  <c r="AH61" i="5" s="1"/>
  <c r="A60" i="5"/>
  <c r="AH60" i="5" s="1"/>
  <c r="A59" i="5"/>
  <c r="AH59" i="5" s="1"/>
  <c r="A58" i="5"/>
  <c r="AH58" i="5" s="1"/>
  <c r="A57" i="5"/>
  <c r="AH57" i="5" s="1"/>
  <c r="A56" i="5"/>
  <c r="AH56" i="5" s="1"/>
  <c r="A55" i="5"/>
  <c r="AH55" i="5" s="1"/>
  <c r="A54" i="5"/>
  <c r="AH54" i="5" s="1"/>
  <c r="A53" i="5"/>
  <c r="AH53" i="5" s="1"/>
  <c r="A52" i="5"/>
  <c r="A47" i="5"/>
  <c r="AH47" i="5" s="1"/>
  <c r="A46" i="5"/>
  <c r="AH46" i="5" s="1"/>
  <c r="A45" i="5"/>
  <c r="AH45" i="5" s="1"/>
  <c r="A44" i="5"/>
  <c r="AH44" i="5" s="1"/>
  <c r="A43" i="5"/>
  <c r="AH43" i="5" s="1"/>
  <c r="A42" i="5"/>
  <c r="AH42" i="5" s="1"/>
  <c r="V63" i="3" s="1"/>
  <c r="A41" i="5"/>
  <c r="AH41" i="5" s="1"/>
  <c r="V62" i="3" s="1"/>
  <c r="A40" i="5"/>
  <c r="AH40" i="5" s="1"/>
  <c r="V61" i="3" s="1"/>
  <c r="A39" i="5"/>
  <c r="AH39" i="5" s="1"/>
  <c r="V60" i="3" s="1"/>
  <c r="A38" i="5"/>
  <c r="AH38" i="5" s="1"/>
  <c r="V59" i="3" s="1"/>
  <c r="A37" i="5"/>
  <c r="AH37" i="5" s="1"/>
  <c r="A36" i="5"/>
  <c r="AH36" i="5" s="1"/>
  <c r="A35" i="5"/>
  <c r="AH35" i="5" s="1"/>
  <c r="A34" i="5"/>
  <c r="AH34" i="5" s="1"/>
  <c r="A33" i="5"/>
  <c r="AH33" i="5" s="1"/>
  <c r="A32" i="5"/>
  <c r="AH32" i="5" s="1"/>
  <c r="A31" i="5"/>
  <c r="AH31" i="5" s="1"/>
  <c r="A30" i="5"/>
  <c r="AH30" i="5" s="1"/>
  <c r="A29" i="5"/>
  <c r="AH29" i="5" s="1"/>
  <c r="A28" i="5"/>
  <c r="A23" i="5"/>
  <c r="AH23" i="5" s="1"/>
  <c r="U68" i="3" s="1"/>
  <c r="A22" i="5"/>
  <c r="AH22" i="5" s="1"/>
  <c r="U67" i="3" s="1"/>
  <c r="A21" i="5"/>
  <c r="AH21" i="5" s="1"/>
  <c r="U66" i="3" s="1"/>
  <c r="A20" i="5"/>
  <c r="AH20" i="5" s="1"/>
  <c r="U65" i="3" s="1"/>
  <c r="A19" i="5"/>
  <c r="AH19" i="5" s="1"/>
  <c r="U64" i="3" s="1"/>
  <c r="A18" i="5"/>
  <c r="AH18" i="5" s="1"/>
  <c r="A17" i="5"/>
  <c r="AH17" i="5" s="1"/>
  <c r="A16" i="5"/>
  <c r="AH16" i="5" s="1"/>
  <c r="A15" i="5"/>
  <c r="AH15" i="5" s="1"/>
  <c r="A14" i="5"/>
  <c r="AH14" i="5" s="1"/>
  <c r="A287" i="2"/>
  <c r="AH287" i="2" s="1"/>
  <c r="A286" i="2"/>
  <c r="AH286" i="2" s="1"/>
  <c r="A285" i="2"/>
  <c r="AH285" i="2" s="1"/>
  <c r="A284" i="2"/>
  <c r="AH284" i="2" s="1"/>
  <c r="A283" i="2"/>
  <c r="AH283" i="2" s="1"/>
  <c r="A282" i="2"/>
  <c r="AH282" i="2" s="1"/>
  <c r="AF40" i="3" s="1"/>
  <c r="A281" i="2"/>
  <c r="AH281" i="2" s="1"/>
  <c r="AF39" i="3" s="1"/>
  <c r="A280" i="2"/>
  <c r="AH280" i="2" s="1"/>
  <c r="AF38" i="3" s="1"/>
  <c r="A279" i="2"/>
  <c r="AH279" i="2" s="1"/>
  <c r="AF37" i="3" s="1"/>
  <c r="A278" i="2"/>
  <c r="AH278" i="2" s="1"/>
  <c r="AF36" i="3" s="1"/>
  <c r="A277" i="2"/>
  <c r="AH277" i="2" s="1"/>
  <c r="A276" i="2"/>
  <c r="AH276" i="2" s="1"/>
  <c r="A275" i="2"/>
  <c r="AH275" i="2" s="1"/>
  <c r="A274" i="2"/>
  <c r="AH274" i="2" s="1"/>
  <c r="A273" i="2"/>
  <c r="AH273" i="2" s="1"/>
  <c r="A272" i="2"/>
  <c r="AH272" i="2" s="1"/>
  <c r="A271" i="2"/>
  <c r="AH271" i="2" s="1"/>
  <c r="A270" i="2"/>
  <c r="AH270" i="2" s="1"/>
  <c r="A269" i="2"/>
  <c r="AH269" i="2" s="1"/>
  <c r="A268" i="2"/>
  <c r="A263" i="2"/>
  <c r="AH263" i="2" s="1"/>
  <c r="A262" i="2"/>
  <c r="AH262" i="2" s="1"/>
  <c r="A261" i="2"/>
  <c r="AH261" i="2" s="1"/>
  <c r="A260" i="2"/>
  <c r="AH260" i="2" s="1"/>
  <c r="A259" i="2"/>
  <c r="AH259" i="2" s="1"/>
  <c r="A258" i="2"/>
  <c r="AH258" i="2" s="1"/>
  <c r="AE40" i="3" s="1"/>
  <c r="A257" i="2"/>
  <c r="AH257" i="2" s="1"/>
  <c r="AE39" i="3" s="1"/>
  <c r="A256" i="2"/>
  <c r="AH256" i="2" s="1"/>
  <c r="AE38" i="3" s="1"/>
  <c r="A255" i="2"/>
  <c r="AH255" i="2" s="1"/>
  <c r="AE37" i="3" s="1"/>
  <c r="A254" i="2"/>
  <c r="AH254" i="2" s="1"/>
  <c r="AE36" i="3" s="1"/>
  <c r="A253" i="2"/>
  <c r="AH253" i="2" s="1"/>
  <c r="A252" i="2"/>
  <c r="AH252" i="2" s="1"/>
  <c r="A251" i="2"/>
  <c r="AH251" i="2" s="1"/>
  <c r="A250" i="2"/>
  <c r="AH250" i="2" s="1"/>
  <c r="A249" i="2"/>
  <c r="AH249" i="2" s="1"/>
  <c r="A248" i="2"/>
  <c r="AH248" i="2" s="1"/>
  <c r="A247" i="2"/>
  <c r="AH247" i="2" s="1"/>
  <c r="A246" i="2"/>
  <c r="AH246" i="2" s="1"/>
  <c r="A245" i="2"/>
  <c r="AH245" i="2" s="1"/>
  <c r="A244" i="2"/>
  <c r="A239" i="2"/>
  <c r="AH239" i="2" s="1"/>
  <c r="A238" i="2"/>
  <c r="AH238" i="2" s="1"/>
  <c r="A237" i="2"/>
  <c r="AH237" i="2" s="1"/>
  <c r="A236" i="2"/>
  <c r="AH236" i="2" s="1"/>
  <c r="A235" i="2"/>
  <c r="AH235" i="2" s="1"/>
  <c r="A234" i="2"/>
  <c r="AH234" i="2" s="1"/>
  <c r="AD40" i="3" s="1"/>
  <c r="A233" i="2"/>
  <c r="AH233" i="2" s="1"/>
  <c r="AD39" i="3" s="1"/>
  <c r="A232" i="2"/>
  <c r="AH232" i="2" s="1"/>
  <c r="AD38" i="3" s="1"/>
  <c r="A231" i="2"/>
  <c r="AH231" i="2" s="1"/>
  <c r="AD37" i="3" s="1"/>
  <c r="A230" i="2"/>
  <c r="AH230" i="2" s="1"/>
  <c r="AD36" i="3" s="1"/>
  <c r="A229" i="2"/>
  <c r="AH229" i="2" s="1"/>
  <c r="A228" i="2"/>
  <c r="AH228" i="2" s="1"/>
  <c r="A227" i="2"/>
  <c r="AH227" i="2" s="1"/>
  <c r="A226" i="2"/>
  <c r="AH226" i="2" s="1"/>
  <c r="A225" i="2"/>
  <c r="AH225" i="2" s="1"/>
  <c r="A224" i="2"/>
  <c r="AH224" i="2" s="1"/>
  <c r="A223" i="2"/>
  <c r="AH223" i="2" s="1"/>
  <c r="A222" i="2"/>
  <c r="AH222" i="2" s="1"/>
  <c r="A221" i="2"/>
  <c r="AH221" i="2" s="1"/>
  <c r="A220" i="2"/>
  <c r="A215" i="2"/>
  <c r="AH215" i="2" s="1"/>
  <c r="A214" i="2"/>
  <c r="AH214" i="2" s="1"/>
  <c r="A213" i="2"/>
  <c r="AH213" i="2" s="1"/>
  <c r="A212" i="2"/>
  <c r="AH212" i="2" s="1"/>
  <c r="A211" i="2"/>
  <c r="AH211" i="2" s="1"/>
  <c r="A210" i="2"/>
  <c r="AH210" i="2" s="1"/>
  <c r="AC40" i="3" s="1"/>
  <c r="A209" i="2"/>
  <c r="AH209" i="2" s="1"/>
  <c r="AC39" i="3" s="1"/>
  <c r="A208" i="2"/>
  <c r="AH208" i="2" s="1"/>
  <c r="AC38" i="3" s="1"/>
  <c r="A207" i="2"/>
  <c r="AH207" i="2" s="1"/>
  <c r="AC37" i="3" s="1"/>
  <c r="A206" i="2"/>
  <c r="AH206" i="2" s="1"/>
  <c r="AC36" i="3" s="1"/>
  <c r="A205" i="2"/>
  <c r="AH205" i="2" s="1"/>
  <c r="A204" i="2"/>
  <c r="AH204" i="2" s="1"/>
  <c r="A203" i="2"/>
  <c r="AH203" i="2" s="1"/>
  <c r="A202" i="2"/>
  <c r="AH202" i="2" s="1"/>
  <c r="A201" i="2"/>
  <c r="AH201" i="2" s="1"/>
  <c r="A200" i="2"/>
  <c r="AH200" i="2" s="1"/>
  <c r="A199" i="2"/>
  <c r="AH199" i="2" s="1"/>
  <c r="A198" i="2"/>
  <c r="AH198" i="2" s="1"/>
  <c r="A197" i="2"/>
  <c r="AH197" i="2" s="1"/>
  <c r="A196" i="2"/>
  <c r="A191" i="2"/>
  <c r="AH191" i="2" s="1"/>
  <c r="A190" i="2"/>
  <c r="AH190" i="2" s="1"/>
  <c r="A189" i="2"/>
  <c r="AH189" i="2" s="1"/>
  <c r="A188" i="2"/>
  <c r="AH188" i="2" s="1"/>
  <c r="A187" i="2"/>
  <c r="AH187" i="2" s="1"/>
  <c r="A186" i="2"/>
  <c r="AH186" i="2" s="1"/>
  <c r="AB40" i="3" s="1"/>
  <c r="A185" i="2"/>
  <c r="AH185" i="2" s="1"/>
  <c r="AB39" i="3" s="1"/>
  <c r="A184" i="2"/>
  <c r="AH184" i="2" s="1"/>
  <c r="AB38" i="3" s="1"/>
  <c r="A183" i="2"/>
  <c r="AH183" i="2" s="1"/>
  <c r="AB37" i="3" s="1"/>
  <c r="A182" i="2"/>
  <c r="AH182" i="2" s="1"/>
  <c r="AB36" i="3" s="1"/>
  <c r="A181" i="2"/>
  <c r="AH181" i="2" s="1"/>
  <c r="A180" i="2"/>
  <c r="AH180" i="2" s="1"/>
  <c r="A179" i="2"/>
  <c r="AH179" i="2" s="1"/>
  <c r="A178" i="2"/>
  <c r="AH178" i="2" s="1"/>
  <c r="A177" i="2"/>
  <c r="AH177" i="2" s="1"/>
  <c r="A176" i="2"/>
  <c r="AH176" i="2" s="1"/>
  <c r="A175" i="2"/>
  <c r="AH175" i="2" s="1"/>
  <c r="A174" i="2"/>
  <c r="AH174" i="2" s="1"/>
  <c r="A173" i="2"/>
  <c r="AH173" i="2" s="1"/>
  <c r="A172" i="2"/>
  <c r="A167" i="2"/>
  <c r="AH167" i="2" s="1"/>
  <c r="A166" i="2"/>
  <c r="AH166" i="2" s="1"/>
  <c r="A165" i="2"/>
  <c r="AH165" i="2" s="1"/>
  <c r="A164" i="2"/>
  <c r="AH164" i="2" s="1"/>
  <c r="A163" i="2"/>
  <c r="AH163" i="2" s="1"/>
  <c r="A162" i="2"/>
  <c r="AH162" i="2" s="1"/>
  <c r="AA40" i="3" s="1"/>
  <c r="A161" i="2"/>
  <c r="AH161" i="2" s="1"/>
  <c r="AA39" i="3" s="1"/>
  <c r="A160" i="2"/>
  <c r="AH160" i="2" s="1"/>
  <c r="AA38" i="3" s="1"/>
  <c r="A159" i="2"/>
  <c r="AH159" i="2" s="1"/>
  <c r="AA37" i="3" s="1"/>
  <c r="A158" i="2"/>
  <c r="AH158" i="2" s="1"/>
  <c r="AA36" i="3" s="1"/>
  <c r="A157" i="2"/>
  <c r="AH157" i="2" s="1"/>
  <c r="A156" i="2"/>
  <c r="AH156" i="2" s="1"/>
  <c r="A155" i="2"/>
  <c r="AH155" i="2" s="1"/>
  <c r="A154" i="2"/>
  <c r="AH154" i="2" s="1"/>
  <c r="A153" i="2"/>
  <c r="AH153" i="2" s="1"/>
  <c r="A152" i="2"/>
  <c r="AH152" i="2" s="1"/>
  <c r="A151" i="2"/>
  <c r="AH151" i="2" s="1"/>
  <c r="A150" i="2"/>
  <c r="AH150" i="2" s="1"/>
  <c r="A149" i="2"/>
  <c r="AH149" i="2" s="1"/>
  <c r="A148" i="2"/>
  <c r="A143" i="2"/>
  <c r="AH143" i="2" s="1"/>
  <c r="A142" i="2"/>
  <c r="AH142" i="2" s="1"/>
  <c r="A141" i="2"/>
  <c r="AH141" i="2" s="1"/>
  <c r="A140" i="2"/>
  <c r="AH140" i="2" s="1"/>
  <c r="A139" i="2"/>
  <c r="AH139" i="2" s="1"/>
  <c r="A138" i="2"/>
  <c r="AH138" i="2" s="1"/>
  <c r="Z40" i="3" s="1"/>
  <c r="A137" i="2"/>
  <c r="AH137" i="2" s="1"/>
  <c r="Z39" i="3" s="1"/>
  <c r="A136" i="2"/>
  <c r="AH136" i="2" s="1"/>
  <c r="Z38" i="3" s="1"/>
  <c r="A135" i="2"/>
  <c r="AH135" i="2" s="1"/>
  <c r="Z37" i="3" s="1"/>
  <c r="A134" i="2"/>
  <c r="AH134" i="2" s="1"/>
  <c r="Z36" i="3" s="1"/>
  <c r="A133" i="2"/>
  <c r="AH133" i="2" s="1"/>
  <c r="A132" i="2"/>
  <c r="AH132" i="2" s="1"/>
  <c r="A131" i="2"/>
  <c r="AH131" i="2" s="1"/>
  <c r="A130" i="2"/>
  <c r="AH130" i="2" s="1"/>
  <c r="A129" i="2"/>
  <c r="AH129" i="2" s="1"/>
  <c r="A128" i="2"/>
  <c r="AH128" i="2" s="1"/>
  <c r="A127" i="2"/>
  <c r="AH127" i="2" s="1"/>
  <c r="A126" i="2"/>
  <c r="AH126" i="2" s="1"/>
  <c r="A125" i="2"/>
  <c r="AH125" i="2" s="1"/>
  <c r="A124" i="2"/>
  <c r="A119" i="2"/>
  <c r="AH119" i="2" s="1"/>
  <c r="A118" i="2"/>
  <c r="AH118" i="2" s="1"/>
  <c r="A117" i="2"/>
  <c r="AH117" i="2" s="1"/>
  <c r="A116" i="2"/>
  <c r="AH116" i="2" s="1"/>
  <c r="A115" i="2"/>
  <c r="AH115" i="2" s="1"/>
  <c r="A114" i="2"/>
  <c r="AH114" i="2" s="1"/>
  <c r="Y40" i="3" s="1"/>
  <c r="A113" i="2"/>
  <c r="AH113" i="2" s="1"/>
  <c r="Y39" i="3" s="1"/>
  <c r="A112" i="2"/>
  <c r="AH112" i="2" s="1"/>
  <c r="Y38" i="3" s="1"/>
  <c r="A111" i="2"/>
  <c r="AH111" i="2" s="1"/>
  <c r="Y37" i="3" s="1"/>
  <c r="A110" i="2"/>
  <c r="AH110" i="2" s="1"/>
  <c r="Y36" i="3" s="1"/>
  <c r="A109" i="2"/>
  <c r="AH109" i="2" s="1"/>
  <c r="A108" i="2"/>
  <c r="AH108" i="2" s="1"/>
  <c r="A107" i="2"/>
  <c r="AH107" i="2" s="1"/>
  <c r="A106" i="2"/>
  <c r="AH106" i="2" s="1"/>
  <c r="A105" i="2"/>
  <c r="AH105" i="2" s="1"/>
  <c r="A104" i="2"/>
  <c r="AH104" i="2" s="1"/>
  <c r="A103" i="2"/>
  <c r="AH103" i="2" s="1"/>
  <c r="A102" i="2"/>
  <c r="AH102" i="2" s="1"/>
  <c r="A101" i="2"/>
  <c r="AH101" i="2" s="1"/>
  <c r="A100" i="2"/>
  <c r="A95" i="2"/>
  <c r="AH95" i="2" s="1"/>
  <c r="A94" i="2"/>
  <c r="AH94" i="2" s="1"/>
  <c r="A93" i="2"/>
  <c r="AH93" i="2" s="1"/>
  <c r="A92" i="2"/>
  <c r="AH92" i="2" s="1"/>
  <c r="A91" i="2"/>
  <c r="AH91" i="2" s="1"/>
  <c r="A90" i="2"/>
  <c r="AH90" i="2" s="1"/>
  <c r="X40" i="3" s="1"/>
  <c r="A89" i="2"/>
  <c r="AH89" i="2" s="1"/>
  <c r="X39" i="3" s="1"/>
  <c r="A88" i="2"/>
  <c r="AH88" i="2" s="1"/>
  <c r="X38" i="3" s="1"/>
  <c r="A87" i="2"/>
  <c r="AH87" i="2" s="1"/>
  <c r="X37" i="3" s="1"/>
  <c r="A86" i="2"/>
  <c r="AH86" i="2" s="1"/>
  <c r="X36" i="3" s="1"/>
  <c r="A85" i="2"/>
  <c r="AH85" i="2" s="1"/>
  <c r="A84" i="2"/>
  <c r="AH84" i="2" s="1"/>
  <c r="A83" i="2"/>
  <c r="AH83" i="2" s="1"/>
  <c r="A82" i="2"/>
  <c r="AH82" i="2" s="1"/>
  <c r="A81" i="2"/>
  <c r="AH81" i="2" s="1"/>
  <c r="A80" i="2"/>
  <c r="AH80" i="2" s="1"/>
  <c r="A79" i="2"/>
  <c r="AH79" i="2" s="1"/>
  <c r="A78" i="2"/>
  <c r="AH78" i="2" s="1"/>
  <c r="A77" i="2"/>
  <c r="AH77" i="2" s="1"/>
  <c r="A76" i="2"/>
  <c r="A71" i="2"/>
  <c r="AH71" i="2" s="1"/>
  <c r="A70" i="2"/>
  <c r="AH70" i="2" s="1"/>
  <c r="A69" i="2"/>
  <c r="AH69" i="2" s="1"/>
  <c r="A68" i="2"/>
  <c r="AH68" i="2" s="1"/>
  <c r="A67" i="2"/>
  <c r="AH67" i="2" s="1"/>
  <c r="A66" i="2"/>
  <c r="AH66" i="2" s="1"/>
  <c r="W40" i="3" s="1"/>
  <c r="A65" i="2"/>
  <c r="AH65" i="2" s="1"/>
  <c r="W39" i="3" s="1"/>
  <c r="A64" i="2"/>
  <c r="AH64" i="2" s="1"/>
  <c r="W38" i="3" s="1"/>
  <c r="A63" i="2"/>
  <c r="AH63" i="2" s="1"/>
  <c r="W37" i="3" s="1"/>
  <c r="A62" i="2"/>
  <c r="AH62" i="2" s="1"/>
  <c r="W36" i="3" s="1"/>
  <c r="A61" i="2"/>
  <c r="AH61" i="2" s="1"/>
  <c r="A60" i="2"/>
  <c r="AH60" i="2" s="1"/>
  <c r="A59" i="2"/>
  <c r="AH59" i="2" s="1"/>
  <c r="A58" i="2"/>
  <c r="AH58" i="2" s="1"/>
  <c r="A57" i="2"/>
  <c r="AH57" i="2" s="1"/>
  <c r="A56" i="2"/>
  <c r="AH56" i="2" s="1"/>
  <c r="A55" i="2"/>
  <c r="AH55" i="2" s="1"/>
  <c r="A54" i="2"/>
  <c r="AH54" i="2" s="1"/>
  <c r="A53" i="2"/>
  <c r="AH53" i="2" s="1"/>
  <c r="A52" i="2"/>
  <c r="A47" i="2"/>
  <c r="AH47" i="2" s="1"/>
  <c r="A46" i="2"/>
  <c r="AH46" i="2" s="1"/>
  <c r="A45" i="2"/>
  <c r="AH45" i="2" s="1"/>
  <c r="A44" i="2"/>
  <c r="AH44" i="2" s="1"/>
  <c r="A43" i="2"/>
  <c r="AH43" i="2" s="1"/>
  <c r="A42" i="2"/>
  <c r="AH42" i="2" s="1"/>
  <c r="V40" i="3" s="1"/>
  <c r="A41" i="2"/>
  <c r="AH41" i="2" s="1"/>
  <c r="V39" i="3" s="1"/>
  <c r="A40" i="2"/>
  <c r="AH40" i="2" s="1"/>
  <c r="V38" i="3" s="1"/>
  <c r="A39" i="2"/>
  <c r="AH39" i="2" s="1"/>
  <c r="V37" i="3" s="1"/>
  <c r="A38" i="2"/>
  <c r="AH38" i="2" s="1"/>
  <c r="V36" i="3" s="1"/>
  <c r="A37" i="2"/>
  <c r="AH37" i="2" s="1"/>
  <c r="A36" i="2"/>
  <c r="AH36" i="2" s="1"/>
  <c r="A35" i="2"/>
  <c r="AH35" i="2" s="1"/>
  <c r="A34" i="2"/>
  <c r="AH34" i="2" s="1"/>
  <c r="A33" i="2"/>
  <c r="AH33" i="2" s="1"/>
  <c r="A32" i="2"/>
  <c r="AH32" i="2" s="1"/>
  <c r="A31" i="2"/>
  <c r="AH31" i="2" s="1"/>
  <c r="A30" i="2"/>
  <c r="AH30" i="2" s="1"/>
  <c r="A29" i="2"/>
  <c r="AH29" i="2" s="1"/>
  <c r="A28" i="2"/>
  <c r="A23" i="2"/>
  <c r="AH23" i="2" s="1"/>
  <c r="U45" i="3" s="1"/>
  <c r="A22" i="2"/>
  <c r="AH22" i="2" s="1"/>
  <c r="U44" i="3" s="1"/>
  <c r="A21" i="2"/>
  <c r="AH21" i="2" s="1"/>
  <c r="U43" i="3" s="1"/>
  <c r="A20" i="2"/>
  <c r="AH20" i="2" s="1"/>
  <c r="U42" i="3" s="1"/>
  <c r="A19" i="2"/>
  <c r="AH19" i="2" s="1"/>
  <c r="U41" i="3" s="1"/>
  <c r="A18" i="2"/>
  <c r="AH18" i="2" s="1"/>
  <c r="A17" i="2"/>
  <c r="AH17" i="2" s="1"/>
  <c r="A16" i="2"/>
  <c r="AH16" i="2" s="1"/>
  <c r="A15" i="2"/>
  <c r="AH15" i="2" s="1"/>
  <c r="A14" i="2"/>
  <c r="AH14" i="2" s="1"/>
  <c r="A286" i="4"/>
  <c r="AH286" i="4" s="1"/>
  <c r="A285" i="4"/>
  <c r="AH285" i="4" s="1"/>
  <c r="A284" i="4"/>
  <c r="AH284" i="4" s="1"/>
  <c r="A283" i="4"/>
  <c r="AH283" i="4" s="1"/>
  <c r="A282" i="4"/>
  <c r="AH282" i="4" s="1"/>
  <c r="AF17" i="3" s="1"/>
  <c r="A281" i="4"/>
  <c r="AH281" i="4" s="1"/>
  <c r="AF16" i="3" s="1"/>
  <c r="A280" i="4"/>
  <c r="AH280" i="4" s="1"/>
  <c r="AF15" i="3" s="1"/>
  <c r="A279" i="4"/>
  <c r="AH279" i="4" s="1"/>
  <c r="AF14" i="3" s="1"/>
  <c r="A278" i="4"/>
  <c r="AH278" i="4" s="1"/>
  <c r="AF13" i="3" s="1"/>
  <c r="A277" i="4"/>
  <c r="AH277" i="4" s="1"/>
  <c r="A276" i="4"/>
  <c r="AH276" i="4" s="1"/>
  <c r="A275" i="4"/>
  <c r="AH275" i="4" s="1"/>
  <c r="A274" i="4"/>
  <c r="AH274" i="4" s="1"/>
  <c r="A273" i="4"/>
  <c r="AH273" i="4" s="1"/>
  <c r="A272" i="4"/>
  <c r="AH272" i="4" s="1"/>
  <c r="A271" i="4"/>
  <c r="AH271" i="4" s="1"/>
  <c r="A270" i="4"/>
  <c r="AH270" i="4" s="1"/>
  <c r="A269" i="4"/>
  <c r="AH269" i="4" s="1"/>
  <c r="A268" i="4"/>
  <c r="A262" i="4"/>
  <c r="AH262" i="4" s="1"/>
  <c r="A261" i="4"/>
  <c r="AH261" i="4" s="1"/>
  <c r="A260" i="4"/>
  <c r="AH260" i="4" s="1"/>
  <c r="A259" i="4"/>
  <c r="AH259" i="4" s="1"/>
  <c r="A258" i="4"/>
  <c r="AH258" i="4" s="1"/>
  <c r="AE17" i="3" s="1"/>
  <c r="A257" i="4"/>
  <c r="AH257" i="4" s="1"/>
  <c r="AE16" i="3" s="1"/>
  <c r="A256" i="4"/>
  <c r="AH256" i="4" s="1"/>
  <c r="AE15" i="3" s="1"/>
  <c r="A255" i="4"/>
  <c r="AH255" i="4" s="1"/>
  <c r="AE14" i="3" s="1"/>
  <c r="A254" i="4"/>
  <c r="AH254" i="4" s="1"/>
  <c r="AE13" i="3" s="1"/>
  <c r="A253" i="4"/>
  <c r="AH253" i="4" s="1"/>
  <c r="A252" i="4"/>
  <c r="AH252" i="4" s="1"/>
  <c r="A251" i="4"/>
  <c r="AH251" i="4" s="1"/>
  <c r="A250" i="4"/>
  <c r="AH250" i="4" s="1"/>
  <c r="A249" i="4"/>
  <c r="AH249" i="4" s="1"/>
  <c r="A248" i="4"/>
  <c r="AH248" i="4" s="1"/>
  <c r="A247" i="4"/>
  <c r="AH247" i="4" s="1"/>
  <c r="A246" i="4"/>
  <c r="AH246" i="4" s="1"/>
  <c r="A245" i="4"/>
  <c r="AH245" i="4" s="1"/>
  <c r="A244" i="4"/>
  <c r="A238" i="4"/>
  <c r="AH238" i="4" s="1"/>
  <c r="A237" i="4"/>
  <c r="AH237" i="4" s="1"/>
  <c r="A236" i="4"/>
  <c r="AH236" i="4" s="1"/>
  <c r="A235" i="4"/>
  <c r="AH235" i="4" s="1"/>
  <c r="A234" i="4"/>
  <c r="AH234" i="4" s="1"/>
  <c r="AD17" i="3" s="1"/>
  <c r="A233" i="4"/>
  <c r="AH233" i="4" s="1"/>
  <c r="AD16" i="3" s="1"/>
  <c r="A232" i="4"/>
  <c r="AH232" i="4" s="1"/>
  <c r="AD15" i="3" s="1"/>
  <c r="A231" i="4"/>
  <c r="AH231" i="4" s="1"/>
  <c r="AD14" i="3" s="1"/>
  <c r="A230" i="4"/>
  <c r="AH230" i="4" s="1"/>
  <c r="AD13" i="3" s="1"/>
  <c r="A229" i="4"/>
  <c r="AH229" i="4" s="1"/>
  <c r="A228" i="4"/>
  <c r="AH228" i="4" s="1"/>
  <c r="A227" i="4"/>
  <c r="AH227" i="4" s="1"/>
  <c r="A226" i="4"/>
  <c r="AH226" i="4" s="1"/>
  <c r="A225" i="4"/>
  <c r="AH225" i="4" s="1"/>
  <c r="A224" i="4"/>
  <c r="AH224" i="4" s="1"/>
  <c r="A223" i="4"/>
  <c r="AH223" i="4" s="1"/>
  <c r="A222" i="4"/>
  <c r="AH222" i="4" s="1"/>
  <c r="A221" i="4"/>
  <c r="AH221" i="4" s="1"/>
  <c r="A220" i="4"/>
  <c r="A214" i="4"/>
  <c r="AH214" i="4" s="1"/>
  <c r="A213" i="4"/>
  <c r="AH213" i="4" s="1"/>
  <c r="A212" i="4"/>
  <c r="AH212" i="4" s="1"/>
  <c r="A211" i="4"/>
  <c r="AH211" i="4" s="1"/>
  <c r="A210" i="4"/>
  <c r="AH210" i="4" s="1"/>
  <c r="AC17" i="3" s="1"/>
  <c r="A209" i="4"/>
  <c r="AH209" i="4" s="1"/>
  <c r="AC16" i="3" s="1"/>
  <c r="A208" i="4"/>
  <c r="AH208" i="4" s="1"/>
  <c r="AC15" i="3" s="1"/>
  <c r="A207" i="4"/>
  <c r="AH207" i="4" s="1"/>
  <c r="AC14" i="3" s="1"/>
  <c r="A206" i="4"/>
  <c r="AH206" i="4" s="1"/>
  <c r="AC13" i="3" s="1"/>
  <c r="A205" i="4"/>
  <c r="AH205" i="4" s="1"/>
  <c r="A204" i="4"/>
  <c r="AH204" i="4" s="1"/>
  <c r="A203" i="4"/>
  <c r="AH203" i="4" s="1"/>
  <c r="A202" i="4"/>
  <c r="AH202" i="4" s="1"/>
  <c r="A201" i="4"/>
  <c r="AH201" i="4" s="1"/>
  <c r="A200" i="4"/>
  <c r="AH200" i="4" s="1"/>
  <c r="A199" i="4"/>
  <c r="AH199" i="4" s="1"/>
  <c r="A198" i="4"/>
  <c r="AH198" i="4" s="1"/>
  <c r="A197" i="4"/>
  <c r="AH197" i="4" s="1"/>
  <c r="A196" i="4"/>
  <c r="A190" i="4"/>
  <c r="AH190" i="4" s="1"/>
  <c r="A189" i="4"/>
  <c r="AH189" i="4" s="1"/>
  <c r="A188" i="4"/>
  <c r="AH188" i="4" s="1"/>
  <c r="A187" i="4"/>
  <c r="AH187" i="4" s="1"/>
  <c r="A186" i="4"/>
  <c r="AH186" i="4" s="1"/>
  <c r="AB17" i="3" s="1"/>
  <c r="A185" i="4"/>
  <c r="AH185" i="4" s="1"/>
  <c r="AB16" i="3" s="1"/>
  <c r="A184" i="4"/>
  <c r="AH184" i="4" s="1"/>
  <c r="AB15" i="3" s="1"/>
  <c r="A183" i="4"/>
  <c r="AH183" i="4" s="1"/>
  <c r="AB14" i="3" s="1"/>
  <c r="A182" i="4"/>
  <c r="AH182" i="4" s="1"/>
  <c r="AB13" i="3" s="1"/>
  <c r="A181" i="4"/>
  <c r="AH181" i="4" s="1"/>
  <c r="A180" i="4"/>
  <c r="AH180" i="4" s="1"/>
  <c r="A179" i="4"/>
  <c r="AH179" i="4" s="1"/>
  <c r="A178" i="4"/>
  <c r="AH178" i="4" s="1"/>
  <c r="A177" i="4"/>
  <c r="AH177" i="4" s="1"/>
  <c r="A176" i="4"/>
  <c r="AH176" i="4" s="1"/>
  <c r="A175" i="4"/>
  <c r="AH175" i="4" s="1"/>
  <c r="A174" i="4"/>
  <c r="AH174" i="4" s="1"/>
  <c r="A173" i="4"/>
  <c r="AH173" i="4" s="1"/>
  <c r="A172" i="4"/>
  <c r="A166" i="4"/>
  <c r="AH166" i="4" s="1"/>
  <c r="A165" i="4"/>
  <c r="AH165" i="4" s="1"/>
  <c r="A164" i="4"/>
  <c r="AH164" i="4" s="1"/>
  <c r="A163" i="4"/>
  <c r="AH163" i="4" s="1"/>
  <c r="A162" i="4"/>
  <c r="AH162" i="4" s="1"/>
  <c r="AA17" i="3" s="1"/>
  <c r="A161" i="4"/>
  <c r="AH161" i="4" s="1"/>
  <c r="AA16" i="3" s="1"/>
  <c r="A160" i="4"/>
  <c r="AH160" i="4" s="1"/>
  <c r="AA15" i="3" s="1"/>
  <c r="A159" i="4"/>
  <c r="AH159" i="4" s="1"/>
  <c r="AA14" i="3" s="1"/>
  <c r="A158" i="4"/>
  <c r="AH158" i="4" s="1"/>
  <c r="AA13" i="3" s="1"/>
  <c r="A157" i="4"/>
  <c r="AH157" i="4" s="1"/>
  <c r="A156" i="4"/>
  <c r="AH156" i="4" s="1"/>
  <c r="A155" i="4"/>
  <c r="AH155" i="4" s="1"/>
  <c r="A154" i="4"/>
  <c r="AH154" i="4" s="1"/>
  <c r="A153" i="4"/>
  <c r="AH153" i="4" s="1"/>
  <c r="A152" i="4"/>
  <c r="AH152" i="4" s="1"/>
  <c r="A151" i="4"/>
  <c r="AH151" i="4" s="1"/>
  <c r="A150" i="4"/>
  <c r="AH150" i="4" s="1"/>
  <c r="A149" i="4"/>
  <c r="AH149" i="4" s="1"/>
  <c r="A148" i="4"/>
  <c r="A142" i="4"/>
  <c r="AH142" i="4" s="1"/>
  <c r="A141" i="4"/>
  <c r="AH141" i="4" s="1"/>
  <c r="A140" i="4"/>
  <c r="AH140" i="4" s="1"/>
  <c r="A139" i="4"/>
  <c r="AH139" i="4" s="1"/>
  <c r="A138" i="4"/>
  <c r="AH138" i="4" s="1"/>
  <c r="Z17" i="3" s="1"/>
  <c r="A137" i="4"/>
  <c r="AH137" i="4" s="1"/>
  <c r="Z16" i="3" s="1"/>
  <c r="A136" i="4"/>
  <c r="AH136" i="4" s="1"/>
  <c r="Z15" i="3" s="1"/>
  <c r="A135" i="4"/>
  <c r="AH135" i="4" s="1"/>
  <c r="Z14" i="3" s="1"/>
  <c r="A134" i="4"/>
  <c r="AH134" i="4" s="1"/>
  <c r="Z13" i="3" s="1"/>
  <c r="A133" i="4"/>
  <c r="AH133" i="4" s="1"/>
  <c r="A132" i="4"/>
  <c r="AH132" i="4" s="1"/>
  <c r="A131" i="4"/>
  <c r="AH131" i="4" s="1"/>
  <c r="A130" i="4"/>
  <c r="AH130" i="4" s="1"/>
  <c r="A129" i="4"/>
  <c r="AH129" i="4" s="1"/>
  <c r="A128" i="4"/>
  <c r="AH128" i="4" s="1"/>
  <c r="A127" i="4"/>
  <c r="AH127" i="4" s="1"/>
  <c r="A126" i="4"/>
  <c r="AH126" i="4" s="1"/>
  <c r="A125" i="4"/>
  <c r="AH125" i="4" s="1"/>
  <c r="A124" i="4"/>
  <c r="A118" i="4"/>
  <c r="AH118" i="4" s="1"/>
  <c r="A117" i="4"/>
  <c r="AH117" i="4" s="1"/>
  <c r="A116" i="4"/>
  <c r="AH116" i="4" s="1"/>
  <c r="A115" i="4"/>
  <c r="AH115" i="4" s="1"/>
  <c r="A114" i="4"/>
  <c r="AH114" i="4" s="1"/>
  <c r="Y17" i="3" s="1"/>
  <c r="A113" i="4"/>
  <c r="AH113" i="4" s="1"/>
  <c r="Y16" i="3" s="1"/>
  <c r="A112" i="4"/>
  <c r="AH112" i="4" s="1"/>
  <c r="Y15" i="3" s="1"/>
  <c r="A111" i="4"/>
  <c r="AH111" i="4" s="1"/>
  <c r="Y14" i="3" s="1"/>
  <c r="A110" i="4"/>
  <c r="AH110" i="4" s="1"/>
  <c r="Y13" i="3" s="1"/>
  <c r="A109" i="4"/>
  <c r="AH109" i="4" s="1"/>
  <c r="A108" i="4"/>
  <c r="AH108" i="4" s="1"/>
  <c r="A107" i="4"/>
  <c r="AH107" i="4" s="1"/>
  <c r="A106" i="4"/>
  <c r="AH106" i="4" s="1"/>
  <c r="A105" i="4"/>
  <c r="AH105" i="4" s="1"/>
  <c r="A104" i="4"/>
  <c r="AH104" i="4" s="1"/>
  <c r="A103" i="4"/>
  <c r="AH103" i="4" s="1"/>
  <c r="A102" i="4"/>
  <c r="AH102" i="4" s="1"/>
  <c r="A101" i="4"/>
  <c r="AH101" i="4" s="1"/>
  <c r="A100" i="4"/>
  <c r="A94" i="4"/>
  <c r="AH94" i="4" s="1"/>
  <c r="A93" i="4"/>
  <c r="AH93" i="4" s="1"/>
  <c r="A92" i="4"/>
  <c r="AH92" i="4" s="1"/>
  <c r="A91" i="4"/>
  <c r="AH91" i="4" s="1"/>
  <c r="A90" i="4"/>
  <c r="AH90" i="4" s="1"/>
  <c r="X17" i="3" s="1"/>
  <c r="A89" i="4"/>
  <c r="AH89" i="4" s="1"/>
  <c r="X16" i="3" s="1"/>
  <c r="A88" i="4"/>
  <c r="AH88" i="4" s="1"/>
  <c r="X15" i="3" s="1"/>
  <c r="A87" i="4"/>
  <c r="AH87" i="4" s="1"/>
  <c r="X14" i="3" s="1"/>
  <c r="A86" i="4"/>
  <c r="AH86" i="4" s="1"/>
  <c r="X13" i="3" s="1"/>
  <c r="A85" i="4"/>
  <c r="AH85" i="4" s="1"/>
  <c r="A84" i="4"/>
  <c r="AH84" i="4" s="1"/>
  <c r="A83" i="4"/>
  <c r="AH83" i="4" s="1"/>
  <c r="A82" i="4"/>
  <c r="AH82" i="4" s="1"/>
  <c r="A81" i="4"/>
  <c r="AH81" i="4" s="1"/>
  <c r="A80" i="4"/>
  <c r="AH80" i="4" s="1"/>
  <c r="A79" i="4"/>
  <c r="AH79" i="4" s="1"/>
  <c r="A78" i="4"/>
  <c r="AH78" i="4" s="1"/>
  <c r="A77" i="4"/>
  <c r="AH77" i="4" s="1"/>
  <c r="A76" i="4"/>
  <c r="A70" i="4"/>
  <c r="AH70" i="4" s="1"/>
  <c r="A69" i="4"/>
  <c r="AH69" i="4" s="1"/>
  <c r="A68" i="4"/>
  <c r="AH68" i="4" s="1"/>
  <c r="A67" i="4"/>
  <c r="AH67" i="4" s="1"/>
  <c r="A66" i="4"/>
  <c r="AH66" i="4" s="1"/>
  <c r="W17" i="3" s="1"/>
  <c r="A65" i="4"/>
  <c r="AH65" i="4" s="1"/>
  <c r="W16" i="3" s="1"/>
  <c r="A64" i="4"/>
  <c r="AH64" i="4" s="1"/>
  <c r="W15" i="3" s="1"/>
  <c r="A63" i="4"/>
  <c r="AH63" i="4" s="1"/>
  <c r="W14" i="3" s="1"/>
  <c r="A62" i="4"/>
  <c r="AH62" i="4" s="1"/>
  <c r="W13" i="3" s="1"/>
  <c r="A61" i="4"/>
  <c r="AH61" i="4" s="1"/>
  <c r="A60" i="4"/>
  <c r="AH60" i="4" s="1"/>
  <c r="A59" i="4"/>
  <c r="AH59" i="4" s="1"/>
  <c r="A58" i="4"/>
  <c r="AH58" i="4" s="1"/>
  <c r="A57" i="4"/>
  <c r="AH57" i="4" s="1"/>
  <c r="A56" i="4"/>
  <c r="AH56" i="4" s="1"/>
  <c r="A55" i="4"/>
  <c r="AH55" i="4" s="1"/>
  <c r="A54" i="4"/>
  <c r="AH54" i="4" s="1"/>
  <c r="A53" i="4"/>
  <c r="AH53" i="4" s="1"/>
  <c r="A52" i="4"/>
  <c r="A46" i="4"/>
  <c r="AH46" i="4" s="1"/>
  <c r="A45" i="4"/>
  <c r="AH45" i="4" s="1"/>
  <c r="A44" i="4"/>
  <c r="AH44" i="4" s="1"/>
  <c r="A43" i="4"/>
  <c r="AH43" i="4" s="1"/>
  <c r="A42" i="4"/>
  <c r="AH42" i="4" s="1"/>
  <c r="V17" i="3" s="1"/>
  <c r="A41" i="4"/>
  <c r="AH41" i="4" s="1"/>
  <c r="V16" i="3" s="1"/>
  <c r="A40" i="4"/>
  <c r="AH40" i="4" s="1"/>
  <c r="V15" i="3" s="1"/>
  <c r="A39" i="4"/>
  <c r="AH39" i="4" s="1"/>
  <c r="V14" i="3" s="1"/>
  <c r="A38" i="4"/>
  <c r="AH38" i="4" s="1"/>
  <c r="V13" i="3" s="1"/>
  <c r="A37" i="4"/>
  <c r="AH37" i="4" s="1"/>
  <c r="A36" i="4"/>
  <c r="AH36" i="4" s="1"/>
  <c r="A35" i="4"/>
  <c r="AH35" i="4" s="1"/>
  <c r="A34" i="4"/>
  <c r="AH34" i="4" s="1"/>
  <c r="A33" i="4"/>
  <c r="AH33" i="4" s="1"/>
  <c r="A32" i="4"/>
  <c r="AH32" i="4" s="1"/>
  <c r="A31" i="4"/>
  <c r="AH31" i="4" s="1"/>
  <c r="A30" i="4"/>
  <c r="AH30" i="4" s="1"/>
  <c r="A29" i="4"/>
  <c r="AH29" i="4" s="1"/>
  <c r="A28" i="4"/>
  <c r="A23" i="4"/>
  <c r="AH23" i="4" s="1"/>
  <c r="U22" i="3" s="1"/>
  <c r="A22" i="4"/>
  <c r="AH22" i="4" s="1"/>
  <c r="U21" i="3" s="1"/>
  <c r="A21" i="4"/>
  <c r="AH21" i="4" s="1"/>
  <c r="U20" i="3" s="1"/>
  <c r="A20" i="4"/>
  <c r="AH20" i="4" s="1"/>
  <c r="U19" i="3" s="1"/>
  <c r="A19" i="4"/>
  <c r="AH19" i="4" s="1"/>
  <c r="U18" i="3" s="1"/>
  <c r="A18" i="4"/>
  <c r="AH18" i="4" s="1"/>
  <c r="E82" i="3"/>
  <c r="E83" i="3"/>
  <c r="E84" i="3"/>
  <c r="E85" i="3"/>
  <c r="E86" i="3"/>
  <c r="E87" i="3"/>
  <c r="E59" i="3"/>
  <c r="E60" i="3"/>
  <c r="E61" i="3"/>
  <c r="E62" i="3"/>
  <c r="E63" i="3"/>
  <c r="E64" i="3"/>
  <c r="E36" i="3"/>
  <c r="E37" i="3"/>
  <c r="E38" i="3"/>
  <c r="E39" i="3"/>
  <c r="E40" i="3"/>
  <c r="E96" i="3"/>
  <c r="P96" i="3"/>
  <c r="E97" i="3"/>
  <c r="O97" i="3"/>
  <c r="E98" i="3"/>
  <c r="P98" i="3"/>
  <c r="E99" i="3"/>
  <c r="E100" i="3"/>
  <c r="N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P76" i="3"/>
  <c r="P78" i="3"/>
  <c r="H80" i="3"/>
  <c r="P84" i="3"/>
  <c r="P88" i="3"/>
  <c r="N50" i="3"/>
  <c r="G53" i="3"/>
  <c r="K27" i="3"/>
  <c r="G29" i="3"/>
  <c r="I31" i="3"/>
  <c r="K31" i="3"/>
  <c r="G35" i="3"/>
  <c r="J40" i="3"/>
  <c r="M4" i="3"/>
  <c r="J5" i="3"/>
  <c r="J9" i="3"/>
  <c r="P9" i="3"/>
  <c r="I12" i="3"/>
  <c r="O18" i="3"/>
  <c r="I20" i="3"/>
  <c r="K20" i="3"/>
  <c r="E18" i="3"/>
  <c r="E19" i="3"/>
  <c r="E20" i="3"/>
  <c r="E21" i="3"/>
  <c r="E22" i="3"/>
  <c r="R8" i="3" l="1"/>
  <c r="R6" i="3"/>
  <c r="R12" i="3"/>
  <c r="R4" i="3"/>
  <c r="R29" i="3"/>
  <c r="R11" i="3"/>
  <c r="R9" i="3"/>
  <c r="R7" i="3"/>
  <c r="R5" i="3"/>
  <c r="R10" i="3"/>
  <c r="R33" i="3"/>
  <c r="R81" i="3"/>
  <c r="R77" i="3"/>
  <c r="R32" i="3"/>
  <c r="R28" i="3"/>
  <c r="R80" i="3"/>
  <c r="R76" i="3"/>
  <c r="R35" i="3"/>
  <c r="R31" i="3"/>
  <c r="R27" i="3"/>
  <c r="R79" i="3"/>
  <c r="R75" i="3"/>
  <c r="R73" i="3"/>
  <c r="R34" i="3"/>
  <c r="R30" i="3"/>
  <c r="R78" i="3"/>
  <c r="R74" i="3"/>
  <c r="R15" i="3"/>
  <c r="R90" i="3"/>
  <c r="R105" i="3"/>
  <c r="S105" i="3" s="1"/>
  <c r="R84" i="3"/>
  <c r="S84" i="3" s="1"/>
  <c r="R82" i="3"/>
  <c r="S82" i="3" s="1"/>
  <c r="R14" i="3"/>
  <c r="R13" i="3"/>
  <c r="R40" i="3"/>
  <c r="S40" i="3" s="1"/>
  <c r="R38" i="3"/>
  <c r="S38" i="3" s="1"/>
  <c r="R17" i="3"/>
  <c r="R36" i="3"/>
  <c r="S36" i="3" s="1"/>
  <c r="R107" i="3"/>
  <c r="S107" i="3" s="1"/>
  <c r="R42" i="3"/>
  <c r="R106" i="3"/>
  <c r="S106" i="3" s="1"/>
  <c r="R16" i="3"/>
  <c r="R108" i="3"/>
  <c r="S108" i="3" s="1"/>
  <c r="R62" i="3"/>
  <c r="S62" i="3" s="1"/>
  <c r="R60" i="3"/>
  <c r="S60" i="3" s="1"/>
  <c r="R39" i="3"/>
  <c r="S39" i="3" s="1"/>
  <c r="R37" i="3"/>
  <c r="S37" i="3" s="1"/>
  <c r="R63" i="3"/>
  <c r="S63" i="3" s="1"/>
  <c r="R59" i="3"/>
  <c r="S59" i="3" s="1"/>
  <c r="R22" i="3"/>
  <c r="S22" i="3" s="1"/>
  <c r="R83" i="3"/>
  <c r="S83" i="3" s="1"/>
  <c r="R21" i="3"/>
  <c r="S21" i="3" s="1"/>
  <c r="R20" i="3"/>
  <c r="S20" i="3" s="1"/>
  <c r="R18" i="3"/>
  <c r="S18" i="3" s="1"/>
  <c r="R61" i="3"/>
  <c r="S61" i="3" s="1"/>
  <c r="R85" i="3"/>
  <c r="S85" i="3" s="1"/>
  <c r="R109" i="3"/>
  <c r="S109" i="3" s="1"/>
  <c r="R19" i="3"/>
  <c r="S19" i="3" s="1"/>
  <c r="R91" i="3"/>
  <c r="R87" i="3"/>
  <c r="S87" i="3" s="1"/>
  <c r="R45" i="3"/>
  <c r="R41" i="3"/>
  <c r="R89" i="3"/>
  <c r="R43" i="3"/>
  <c r="R44" i="3"/>
  <c r="R88" i="3"/>
  <c r="R86" i="3"/>
  <c r="S86" i="3" s="1"/>
  <c r="C3" i="4" l="1"/>
  <c r="D3" i="4"/>
  <c r="AI268" i="7" l="1"/>
  <c r="Q95" i="3" s="1"/>
  <c r="AH268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I244" i="7"/>
  <c r="P95" i="3" s="1"/>
  <c r="AH244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O110" i="3"/>
  <c r="AI220" i="7"/>
  <c r="O95" i="3" s="1"/>
  <c r="AH220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I196" i="7"/>
  <c r="N95" i="3" s="1"/>
  <c r="AH196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I172" i="7"/>
  <c r="M95" i="3" s="1"/>
  <c r="AH172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I148" i="7"/>
  <c r="L95" i="3" s="1"/>
  <c r="AH148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I124" i="7"/>
  <c r="K95" i="3" s="1"/>
  <c r="AH124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I100" i="7"/>
  <c r="J95" i="3" s="1"/>
  <c r="AH100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I114" i="3"/>
  <c r="R114" i="3" s="1"/>
  <c r="S114" i="3" s="1"/>
  <c r="I113" i="3"/>
  <c r="R113" i="3" s="1"/>
  <c r="S113" i="3" s="1"/>
  <c r="I112" i="3"/>
  <c r="I111" i="3"/>
  <c r="I110" i="3"/>
  <c r="I104" i="3"/>
  <c r="R104" i="3" s="1"/>
  <c r="S104" i="3" s="1"/>
  <c r="I103" i="3"/>
  <c r="R103" i="3" s="1"/>
  <c r="S103" i="3" s="1"/>
  <c r="I102" i="3"/>
  <c r="R102" i="3" s="1"/>
  <c r="S102" i="3" s="1"/>
  <c r="I101" i="3"/>
  <c r="R101" i="3" s="1"/>
  <c r="S101" i="3" s="1"/>
  <c r="I100" i="3"/>
  <c r="R100" i="3" s="1"/>
  <c r="S100" i="3" s="1"/>
  <c r="I99" i="3"/>
  <c r="R99" i="3" s="1"/>
  <c r="S99" i="3" s="1"/>
  <c r="I98" i="3"/>
  <c r="R98" i="3" s="1"/>
  <c r="S98" i="3" s="1"/>
  <c r="I97" i="3"/>
  <c r="R97" i="3" s="1"/>
  <c r="S97" i="3" s="1"/>
  <c r="I96" i="3"/>
  <c r="R96" i="3" s="1"/>
  <c r="S96" i="3" s="1"/>
  <c r="AI76" i="7"/>
  <c r="I95" i="3" s="1"/>
  <c r="AH76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H112" i="3"/>
  <c r="R112" i="3" s="1"/>
  <c r="S112" i="3" s="1"/>
  <c r="H111" i="3"/>
  <c r="R111" i="3" s="1"/>
  <c r="S111" i="3" s="1"/>
  <c r="H110" i="3"/>
  <c r="AI52" i="7"/>
  <c r="H95" i="3" s="1"/>
  <c r="AH52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I28" i="7"/>
  <c r="G95" i="3" s="1"/>
  <c r="AH28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I4" i="7"/>
  <c r="F95" i="3" s="1"/>
  <c r="AH4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R110" i="3" l="1"/>
  <c r="S110" i="3" s="1"/>
  <c r="R95" i="3"/>
  <c r="E95" i="3"/>
  <c r="S95" i="3" l="1"/>
  <c r="Y54" i="3"/>
  <c r="A10" i="4" l="1"/>
  <c r="AH10" i="4" s="1"/>
  <c r="U9" i="3" s="1"/>
  <c r="V9" i="3"/>
  <c r="W9" i="3"/>
  <c r="X9" i="3"/>
  <c r="Y9" i="3"/>
  <c r="Z9" i="3"/>
  <c r="AA9" i="3"/>
  <c r="AB9" i="3"/>
  <c r="AC9" i="3"/>
  <c r="AD9" i="3"/>
  <c r="AE9" i="3"/>
  <c r="AF9" i="3"/>
  <c r="AF91" i="3"/>
  <c r="AF90" i="3"/>
  <c r="AF89" i="3"/>
  <c r="AF88" i="3"/>
  <c r="AF87" i="3"/>
  <c r="AF81" i="3"/>
  <c r="AF80" i="3"/>
  <c r="AF79" i="3"/>
  <c r="AF78" i="3"/>
  <c r="AF77" i="3"/>
  <c r="AF76" i="3"/>
  <c r="AF75" i="3"/>
  <c r="AF74" i="3"/>
  <c r="AF73" i="3"/>
  <c r="AH268" i="6"/>
  <c r="AE91" i="3"/>
  <c r="AE90" i="3"/>
  <c r="AE89" i="3"/>
  <c r="AE88" i="3"/>
  <c r="AE87" i="3"/>
  <c r="AE81" i="3"/>
  <c r="AE80" i="3"/>
  <c r="AE79" i="3"/>
  <c r="AE78" i="3"/>
  <c r="AE77" i="3"/>
  <c r="AE76" i="3"/>
  <c r="AE75" i="3"/>
  <c r="AE74" i="3"/>
  <c r="AE73" i="3"/>
  <c r="AH244" i="6"/>
  <c r="AD91" i="3"/>
  <c r="AD90" i="3"/>
  <c r="AD89" i="3"/>
  <c r="AD88" i="3"/>
  <c r="AD87" i="3"/>
  <c r="AD81" i="3"/>
  <c r="AD80" i="3"/>
  <c r="AD79" i="3"/>
  <c r="AD78" i="3"/>
  <c r="AD77" i="3"/>
  <c r="AD76" i="3"/>
  <c r="AD75" i="3"/>
  <c r="AD74" i="3"/>
  <c r="AD73" i="3"/>
  <c r="AH220" i="6"/>
  <c r="AC91" i="3"/>
  <c r="AC90" i="3"/>
  <c r="AC89" i="3"/>
  <c r="AC88" i="3"/>
  <c r="AC87" i="3"/>
  <c r="AC81" i="3"/>
  <c r="AC80" i="3"/>
  <c r="AC79" i="3"/>
  <c r="AC78" i="3"/>
  <c r="AC77" i="3"/>
  <c r="AC76" i="3"/>
  <c r="AC75" i="3"/>
  <c r="AC74" i="3"/>
  <c r="AC73" i="3"/>
  <c r="AH196" i="6"/>
  <c r="AB91" i="3"/>
  <c r="AB90" i="3"/>
  <c r="AB89" i="3"/>
  <c r="AB88" i="3"/>
  <c r="AB87" i="3"/>
  <c r="AB81" i="3"/>
  <c r="AB80" i="3"/>
  <c r="AB79" i="3"/>
  <c r="AB78" i="3"/>
  <c r="AB77" i="3"/>
  <c r="AB76" i="3"/>
  <c r="AB75" i="3"/>
  <c r="AB74" i="3"/>
  <c r="AB73" i="3"/>
  <c r="AH172" i="6"/>
  <c r="AA91" i="3"/>
  <c r="AA90" i="3"/>
  <c r="AA89" i="3"/>
  <c r="AA88" i="3"/>
  <c r="AA87" i="3"/>
  <c r="AA81" i="3"/>
  <c r="AA80" i="3"/>
  <c r="AA79" i="3"/>
  <c r="AA78" i="3"/>
  <c r="AA77" i="3"/>
  <c r="AA76" i="3"/>
  <c r="AA75" i="3"/>
  <c r="AA74" i="3"/>
  <c r="AA73" i="3"/>
  <c r="AH148" i="6"/>
  <c r="Z91" i="3"/>
  <c r="Z90" i="3"/>
  <c r="Z89" i="3"/>
  <c r="Z88" i="3"/>
  <c r="Z87" i="3"/>
  <c r="Z81" i="3"/>
  <c r="Z80" i="3"/>
  <c r="Z79" i="3"/>
  <c r="Z78" i="3"/>
  <c r="Z77" i="3"/>
  <c r="Z76" i="3"/>
  <c r="Z75" i="3"/>
  <c r="Z74" i="3"/>
  <c r="Z73" i="3"/>
  <c r="AH124" i="6"/>
  <c r="Y91" i="3"/>
  <c r="Y90" i="3"/>
  <c r="Y89" i="3"/>
  <c r="Y88" i="3"/>
  <c r="Y87" i="3"/>
  <c r="Y81" i="3"/>
  <c r="Y80" i="3"/>
  <c r="Y79" i="3"/>
  <c r="Y78" i="3"/>
  <c r="Y77" i="3"/>
  <c r="Y76" i="3"/>
  <c r="Y75" i="3"/>
  <c r="Y74" i="3"/>
  <c r="Y73" i="3"/>
  <c r="AH100" i="6"/>
  <c r="X91" i="3"/>
  <c r="X90" i="3"/>
  <c r="X89" i="3"/>
  <c r="X88" i="3"/>
  <c r="X87" i="3"/>
  <c r="X81" i="3"/>
  <c r="X80" i="3"/>
  <c r="X79" i="3"/>
  <c r="X77" i="3"/>
  <c r="X76" i="3"/>
  <c r="X75" i="3"/>
  <c r="X74" i="3"/>
  <c r="X73" i="3"/>
  <c r="AH76" i="6"/>
  <c r="W91" i="3"/>
  <c r="W90" i="3"/>
  <c r="W89" i="3"/>
  <c r="W88" i="3"/>
  <c r="W87" i="3"/>
  <c r="W81" i="3"/>
  <c r="W80" i="3"/>
  <c r="W79" i="3"/>
  <c r="W78" i="3"/>
  <c r="W76" i="3"/>
  <c r="W75" i="3"/>
  <c r="W74" i="3"/>
  <c r="W73" i="3"/>
  <c r="AH52" i="6"/>
  <c r="V91" i="3"/>
  <c r="V90" i="3"/>
  <c r="V89" i="3"/>
  <c r="V88" i="3"/>
  <c r="V87" i="3"/>
  <c r="V81" i="3"/>
  <c r="V80" i="3"/>
  <c r="V79" i="3"/>
  <c r="V78" i="3"/>
  <c r="V77" i="3"/>
  <c r="V76" i="3"/>
  <c r="V75" i="3"/>
  <c r="V74" i="3"/>
  <c r="V73" i="3"/>
  <c r="AH28" i="6"/>
  <c r="U86" i="3"/>
  <c r="AG86" i="3" s="1"/>
  <c r="AH86" i="3" s="1"/>
  <c r="U85" i="3"/>
  <c r="AG85" i="3" s="1"/>
  <c r="AH85" i="3" s="1"/>
  <c r="U84" i="3"/>
  <c r="AG84" i="3" s="1"/>
  <c r="AH84" i="3" s="1"/>
  <c r="U83" i="3"/>
  <c r="AG83" i="3" s="1"/>
  <c r="AH83" i="3" s="1"/>
  <c r="U82" i="3"/>
  <c r="AG82" i="3" s="1"/>
  <c r="AH82" i="3" s="1"/>
  <c r="A13" i="6"/>
  <c r="AH13" i="6" s="1"/>
  <c r="U81" i="3" s="1"/>
  <c r="A12" i="6"/>
  <c r="AH12" i="6" s="1"/>
  <c r="U80" i="3" s="1"/>
  <c r="AF68" i="3"/>
  <c r="AF67" i="3"/>
  <c r="AF66" i="3"/>
  <c r="AF65" i="3"/>
  <c r="AF64" i="3"/>
  <c r="AF58" i="3"/>
  <c r="AF57" i="3"/>
  <c r="AF56" i="3"/>
  <c r="AF55" i="3"/>
  <c r="AF54" i="3"/>
  <c r="AF53" i="3"/>
  <c r="AF52" i="3"/>
  <c r="AF51" i="3"/>
  <c r="AF50" i="3"/>
  <c r="AH268" i="5"/>
  <c r="AF49" i="3" s="1"/>
  <c r="AE68" i="3"/>
  <c r="AE67" i="3"/>
  <c r="AE66" i="3"/>
  <c r="AE65" i="3"/>
  <c r="AE64" i="3"/>
  <c r="AE58" i="3"/>
  <c r="AE57" i="3"/>
  <c r="AE56" i="3"/>
  <c r="AE55" i="3"/>
  <c r="AE54" i="3"/>
  <c r="AE53" i="3"/>
  <c r="AE52" i="3"/>
  <c r="AE51" i="3"/>
  <c r="AE50" i="3"/>
  <c r="AH244" i="5"/>
  <c r="AE49" i="3" s="1"/>
  <c r="AD68" i="3"/>
  <c r="AD67" i="3"/>
  <c r="AD66" i="3"/>
  <c r="AD65" i="3"/>
  <c r="AD64" i="3"/>
  <c r="AD58" i="3"/>
  <c r="AD57" i="3"/>
  <c r="AD56" i="3"/>
  <c r="AD55" i="3"/>
  <c r="AD54" i="3"/>
  <c r="AD53" i="3"/>
  <c r="AD52" i="3"/>
  <c r="AD51" i="3"/>
  <c r="AD50" i="3"/>
  <c r="AH220" i="5"/>
  <c r="AD49" i="3" s="1"/>
  <c r="AC68" i="3"/>
  <c r="AC67" i="3"/>
  <c r="AC66" i="3"/>
  <c r="AC65" i="3"/>
  <c r="AC64" i="3"/>
  <c r="AC58" i="3"/>
  <c r="AC57" i="3"/>
  <c r="AC56" i="3"/>
  <c r="AC55" i="3"/>
  <c r="AC54" i="3"/>
  <c r="AC53" i="3"/>
  <c r="AC52" i="3"/>
  <c r="AC51" i="3"/>
  <c r="AC50" i="3"/>
  <c r="AH196" i="5"/>
  <c r="AC49" i="3" s="1"/>
  <c r="AB68" i="3"/>
  <c r="AB67" i="3"/>
  <c r="AB66" i="3"/>
  <c r="AB65" i="3"/>
  <c r="AB64" i="3"/>
  <c r="AB58" i="3"/>
  <c r="AB57" i="3"/>
  <c r="AB56" i="3"/>
  <c r="AB55" i="3"/>
  <c r="AB54" i="3"/>
  <c r="AB53" i="3"/>
  <c r="AB52" i="3"/>
  <c r="AB51" i="3"/>
  <c r="AB50" i="3"/>
  <c r="AH172" i="5"/>
  <c r="AB49" i="3" s="1"/>
  <c r="AA68" i="3"/>
  <c r="AA67" i="3"/>
  <c r="AA66" i="3"/>
  <c r="AA65" i="3"/>
  <c r="AA64" i="3"/>
  <c r="AA58" i="3"/>
  <c r="AA57" i="3"/>
  <c r="AA56" i="3"/>
  <c r="AA55" i="3"/>
  <c r="AA54" i="3"/>
  <c r="AA53" i="3"/>
  <c r="AA52" i="3"/>
  <c r="AA51" i="3"/>
  <c r="AA50" i="3"/>
  <c r="AH148" i="5"/>
  <c r="AA49" i="3" s="1"/>
  <c r="Z68" i="3"/>
  <c r="Z67" i="3"/>
  <c r="Z66" i="3"/>
  <c r="Z65" i="3"/>
  <c r="Z64" i="3"/>
  <c r="Z58" i="3"/>
  <c r="Z57" i="3"/>
  <c r="Z56" i="3"/>
  <c r="Z55" i="3"/>
  <c r="Z54" i="3"/>
  <c r="Z53" i="3"/>
  <c r="Z52" i="3"/>
  <c r="Z51" i="3"/>
  <c r="Z50" i="3"/>
  <c r="AH124" i="5"/>
  <c r="Z49" i="3" s="1"/>
  <c r="Y68" i="3"/>
  <c r="Y67" i="3"/>
  <c r="Y66" i="3"/>
  <c r="Y65" i="3"/>
  <c r="Y64" i="3"/>
  <c r="Y58" i="3"/>
  <c r="Y57" i="3"/>
  <c r="Y56" i="3"/>
  <c r="Y55" i="3"/>
  <c r="Y53" i="3"/>
  <c r="Y52" i="3"/>
  <c r="Y51" i="3"/>
  <c r="Y50" i="3"/>
  <c r="AH100" i="5"/>
  <c r="Y49" i="3" s="1"/>
  <c r="X68" i="3"/>
  <c r="X67" i="3"/>
  <c r="X66" i="3"/>
  <c r="X65" i="3"/>
  <c r="X64" i="3"/>
  <c r="X58" i="3"/>
  <c r="X57" i="3"/>
  <c r="X56" i="3"/>
  <c r="X55" i="3"/>
  <c r="X54" i="3"/>
  <c r="X53" i="3"/>
  <c r="X52" i="3"/>
  <c r="X51" i="3"/>
  <c r="X50" i="3"/>
  <c r="AH76" i="5"/>
  <c r="X49" i="3" s="1"/>
  <c r="W68" i="3"/>
  <c r="W67" i="3"/>
  <c r="W66" i="3"/>
  <c r="W65" i="3"/>
  <c r="W64" i="3"/>
  <c r="W58" i="3"/>
  <c r="W57" i="3"/>
  <c r="W56" i="3"/>
  <c r="W55" i="3"/>
  <c r="W54" i="3"/>
  <c r="W53" i="3"/>
  <c r="W52" i="3"/>
  <c r="W51" i="3"/>
  <c r="W50" i="3"/>
  <c r="AH52" i="5"/>
  <c r="W49" i="3" s="1"/>
  <c r="V68" i="3"/>
  <c r="V67" i="3"/>
  <c r="V66" i="3"/>
  <c r="V65" i="3"/>
  <c r="V64" i="3"/>
  <c r="V58" i="3"/>
  <c r="V57" i="3"/>
  <c r="V56" i="3"/>
  <c r="V55" i="3"/>
  <c r="V54" i="3"/>
  <c r="V53" i="3"/>
  <c r="V52" i="3"/>
  <c r="V51" i="3"/>
  <c r="V50" i="3"/>
  <c r="AH28" i="5"/>
  <c r="V49" i="3" s="1"/>
  <c r="U63" i="3"/>
  <c r="AG63" i="3" s="1"/>
  <c r="AH63" i="3" s="1"/>
  <c r="F68" i="3"/>
  <c r="R68" i="3" s="1"/>
  <c r="U62" i="3"/>
  <c r="AG62" i="3" s="1"/>
  <c r="AH62" i="3" s="1"/>
  <c r="U61" i="3"/>
  <c r="AG61" i="3" s="1"/>
  <c r="AH61" i="3" s="1"/>
  <c r="U60" i="3"/>
  <c r="AG60" i="3" s="1"/>
  <c r="AH60" i="3" s="1"/>
  <c r="U59" i="3"/>
  <c r="AG59" i="3" s="1"/>
  <c r="AH59" i="3" s="1"/>
  <c r="A13" i="5"/>
  <c r="AH13" i="5" s="1"/>
  <c r="U58" i="3" s="1"/>
  <c r="A12" i="5"/>
  <c r="AH12" i="5" s="1"/>
  <c r="U57" i="3" s="1"/>
  <c r="A287" i="4"/>
  <c r="AH287" i="4" s="1"/>
  <c r="AF22" i="3" s="1"/>
  <c r="AF21" i="3"/>
  <c r="AF20" i="3"/>
  <c r="AF19" i="3"/>
  <c r="AF18" i="3"/>
  <c r="AF12" i="3"/>
  <c r="AF11" i="3"/>
  <c r="AF10" i="3"/>
  <c r="AF8" i="3"/>
  <c r="AF7" i="3"/>
  <c r="AF6" i="3"/>
  <c r="AF5" i="3"/>
  <c r="AF4" i="3"/>
  <c r="AH268" i="4"/>
  <c r="A263" i="4"/>
  <c r="AH263" i="4" s="1"/>
  <c r="AE22" i="3" s="1"/>
  <c r="AE21" i="3"/>
  <c r="AE20" i="3"/>
  <c r="AE19" i="3"/>
  <c r="AE18" i="3"/>
  <c r="AE12" i="3"/>
  <c r="AE11" i="3"/>
  <c r="AE10" i="3"/>
  <c r="AE8" i="3"/>
  <c r="AE7" i="3"/>
  <c r="AE6" i="3"/>
  <c r="AE5" i="3"/>
  <c r="AE4" i="3"/>
  <c r="AH244" i="4"/>
  <c r="A239" i="4"/>
  <c r="AH239" i="4" s="1"/>
  <c r="AD22" i="3" s="1"/>
  <c r="AD21" i="3"/>
  <c r="AD20" i="3"/>
  <c r="AD19" i="3"/>
  <c r="AD18" i="3"/>
  <c r="AD12" i="3"/>
  <c r="AD11" i="3"/>
  <c r="AD10" i="3"/>
  <c r="AD8" i="3"/>
  <c r="AD7" i="3"/>
  <c r="AD6" i="3"/>
  <c r="AD5" i="3"/>
  <c r="AD4" i="3"/>
  <c r="AH220" i="4"/>
  <c r="A215" i="4"/>
  <c r="AH215" i="4" s="1"/>
  <c r="AC22" i="3" s="1"/>
  <c r="AC21" i="3"/>
  <c r="AC20" i="3"/>
  <c r="AC19" i="3"/>
  <c r="AC18" i="3"/>
  <c r="AC12" i="3"/>
  <c r="AC11" i="3"/>
  <c r="AC10" i="3"/>
  <c r="AC8" i="3"/>
  <c r="AC7" i="3"/>
  <c r="AC6" i="3"/>
  <c r="AC5" i="3"/>
  <c r="AC4" i="3"/>
  <c r="AH196" i="4"/>
  <c r="A191" i="4"/>
  <c r="AH191" i="4" s="1"/>
  <c r="AB22" i="3" s="1"/>
  <c r="AB21" i="3"/>
  <c r="AB20" i="3"/>
  <c r="AB19" i="3"/>
  <c r="AB18" i="3"/>
  <c r="AB12" i="3"/>
  <c r="AB11" i="3"/>
  <c r="AB10" i="3"/>
  <c r="AB8" i="3"/>
  <c r="AB7" i="3"/>
  <c r="AB6" i="3"/>
  <c r="AB5" i="3"/>
  <c r="AB4" i="3"/>
  <c r="AH172" i="4"/>
  <c r="A167" i="4"/>
  <c r="AH167" i="4" s="1"/>
  <c r="AA22" i="3" s="1"/>
  <c r="AA21" i="3"/>
  <c r="AA20" i="3"/>
  <c r="AA19" i="3"/>
  <c r="AA18" i="3"/>
  <c r="AA12" i="3"/>
  <c r="AA11" i="3"/>
  <c r="AA10" i="3"/>
  <c r="AA8" i="3"/>
  <c r="AA7" i="3"/>
  <c r="AA6" i="3"/>
  <c r="AA5" i="3"/>
  <c r="AA4" i="3"/>
  <c r="AH148" i="4"/>
  <c r="A143" i="4"/>
  <c r="AH143" i="4" s="1"/>
  <c r="Z22" i="3" s="1"/>
  <c r="Z21" i="3"/>
  <c r="Z20" i="3"/>
  <c r="Z19" i="3"/>
  <c r="Z18" i="3"/>
  <c r="Z12" i="3"/>
  <c r="Z11" i="3"/>
  <c r="Z10" i="3"/>
  <c r="Z8" i="3"/>
  <c r="Z7" i="3"/>
  <c r="Z6" i="3"/>
  <c r="Z5" i="3"/>
  <c r="Z4" i="3"/>
  <c r="AH124" i="4"/>
  <c r="A119" i="4"/>
  <c r="AH119" i="4" s="1"/>
  <c r="Y22" i="3" s="1"/>
  <c r="Y21" i="3"/>
  <c r="Y20" i="3"/>
  <c r="Y19" i="3"/>
  <c r="Y18" i="3"/>
  <c r="Y12" i="3"/>
  <c r="Y11" i="3"/>
  <c r="Y10" i="3"/>
  <c r="Y8" i="3"/>
  <c r="Y7" i="3"/>
  <c r="Y6" i="3"/>
  <c r="Y5" i="3"/>
  <c r="Y4" i="3"/>
  <c r="AH100" i="4"/>
  <c r="A95" i="4"/>
  <c r="AH95" i="4" s="1"/>
  <c r="X22" i="3" s="1"/>
  <c r="X21" i="3"/>
  <c r="X20" i="3"/>
  <c r="X19" i="3"/>
  <c r="X18" i="3"/>
  <c r="X12" i="3"/>
  <c r="X11" i="3"/>
  <c r="X10" i="3"/>
  <c r="X8" i="3"/>
  <c r="X7" i="3"/>
  <c r="X6" i="3"/>
  <c r="X5" i="3"/>
  <c r="X4" i="3"/>
  <c r="AH76" i="4"/>
  <c r="A71" i="4"/>
  <c r="AH71" i="4" s="1"/>
  <c r="W22" i="3" s="1"/>
  <c r="W21" i="3"/>
  <c r="W20" i="3"/>
  <c r="W19" i="3"/>
  <c r="W18" i="3"/>
  <c r="W12" i="3"/>
  <c r="W11" i="3"/>
  <c r="W10" i="3"/>
  <c r="W8" i="3"/>
  <c r="W7" i="3"/>
  <c r="W6" i="3"/>
  <c r="W5" i="3"/>
  <c r="W4" i="3"/>
  <c r="AH52" i="4"/>
  <c r="A47" i="4"/>
  <c r="AH47" i="4" s="1"/>
  <c r="V22" i="3" s="1"/>
  <c r="V21" i="3"/>
  <c r="V20" i="3"/>
  <c r="V19" i="3"/>
  <c r="V18" i="3"/>
  <c r="V12" i="3"/>
  <c r="V11" i="3"/>
  <c r="V10" i="3"/>
  <c r="V8" i="3"/>
  <c r="V7" i="3"/>
  <c r="V6" i="3"/>
  <c r="V5" i="3"/>
  <c r="V4" i="3"/>
  <c r="AH28" i="4"/>
  <c r="V3" i="3" s="1"/>
  <c r="E90" i="3"/>
  <c r="S90" i="3" s="1"/>
  <c r="E89" i="3"/>
  <c r="S89" i="3" s="1"/>
  <c r="E88" i="3"/>
  <c r="S88" i="3" s="1"/>
  <c r="E81" i="3"/>
  <c r="S81" i="3" s="1"/>
  <c r="E80" i="3"/>
  <c r="S80" i="3" s="1"/>
  <c r="E67" i="3"/>
  <c r="F67" i="3"/>
  <c r="R67" i="3" s="1"/>
  <c r="S67" i="3" s="1"/>
  <c r="E66" i="3"/>
  <c r="F66" i="3"/>
  <c r="R66" i="3" s="1"/>
  <c r="E65" i="3"/>
  <c r="F65" i="3"/>
  <c r="R65" i="3" s="1"/>
  <c r="S65" i="3" s="1"/>
  <c r="F64" i="3"/>
  <c r="R64" i="3" s="1"/>
  <c r="S64" i="3" s="1"/>
  <c r="E58" i="3"/>
  <c r="F58" i="3"/>
  <c r="R58" i="3" s="1"/>
  <c r="E57" i="3"/>
  <c r="F57" i="3"/>
  <c r="R57" i="3" s="1"/>
  <c r="AI268" i="4"/>
  <c r="Q3" i="3" s="1"/>
  <c r="AI244" i="4"/>
  <c r="P3" i="3" s="1"/>
  <c r="AI220" i="4"/>
  <c r="O3" i="3" s="1"/>
  <c r="AI196" i="4"/>
  <c r="N3" i="3" s="1"/>
  <c r="AI172" i="4"/>
  <c r="M3" i="3" s="1"/>
  <c r="AI148" i="4"/>
  <c r="L3" i="3" s="1"/>
  <c r="AI124" i="4"/>
  <c r="K3" i="3" s="1"/>
  <c r="AI100" i="4"/>
  <c r="J3" i="3" s="1"/>
  <c r="AI76" i="4"/>
  <c r="I3" i="3" s="1"/>
  <c r="AI52" i="4"/>
  <c r="H3" i="3" s="1"/>
  <c r="AI28" i="4"/>
  <c r="G3" i="3" s="1"/>
  <c r="U17" i="3"/>
  <c r="AG17" i="3" s="1"/>
  <c r="AH17" i="3" s="1"/>
  <c r="A17" i="4"/>
  <c r="AH17" i="4" s="1"/>
  <c r="U16" i="3" s="1"/>
  <c r="AG16" i="3" s="1"/>
  <c r="AH16" i="3" s="1"/>
  <c r="A16" i="4"/>
  <c r="AH16" i="4" s="1"/>
  <c r="U15" i="3" s="1"/>
  <c r="AG15" i="3" s="1"/>
  <c r="AH15" i="3" s="1"/>
  <c r="A15" i="4"/>
  <c r="AH15" i="4" s="1"/>
  <c r="U14" i="3" s="1"/>
  <c r="AG14" i="3" s="1"/>
  <c r="AH14" i="3" s="1"/>
  <c r="A14" i="4"/>
  <c r="AH14" i="4" s="1"/>
  <c r="U13" i="3" s="1"/>
  <c r="AG13" i="3" s="1"/>
  <c r="AH13" i="3" s="1"/>
  <c r="A13" i="4"/>
  <c r="AH13" i="4" s="1"/>
  <c r="U12" i="3" s="1"/>
  <c r="A12" i="4"/>
  <c r="AH12" i="4" s="1"/>
  <c r="U11" i="3" s="1"/>
  <c r="A11" i="4"/>
  <c r="AH11" i="4" s="1"/>
  <c r="U10" i="3" s="1"/>
  <c r="A9" i="4"/>
  <c r="AH9" i="4" s="1"/>
  <c r="U8" i="3" s="1"/>
  <c r="A8" i="4"/>
  <c r="AH8" i="4" s="1"/>
  <c r="U7" i="3" s="1"/>
  <c r="A7" i="4"/>
  <c r="AH7" i="4" s="1"/>
  <c r="U6" i="3" s="1"/>
  <c r="A6" i="4"/>
  <c r="AH6" i="4" s="1"/>
  <c r="U5" i="3" s="1"/>
  <c r="A5" i="4"/>
  <c r="AH5" i="4" s="1"/>
  <c r="U4" i="3" s="1"/>
  <c r="AI4" i="4"/>
  <c r="F3" i="3" s="1"/>
  <c r="A4" i="4"/>
  <c r="AH4" i="4" s="1"/>
  <c r="U3" i="3" s="1"/>
  <c r="AI268" i="5"/>
  <c r="Q49" i="3" s="1"/>
  <c r="AI268" i="6"/>
  <c r="Q72" i="3" s="1"/>
  <c r="AF45" i="3"/>
  <c r="AF44" i="3"/>
  <c r="AF43" i="3"/>
  <c r="AF42" i="3"/>
  <c r="AF41" i="3"/>
  <c r="AF35" i="3"/>
  <c r="AF34" i="3"/>
  <c r="AF33" i="3"/>
  <c r="AF32" i="3"/>
  <c r="AF31" i="3"/>
  <c r="AF30" i="3"/>
  <c r="AF29" i="3"/>
  <c r="AF28" i="3"/>
  <c r="AF27" i="3"/>
  <c r="AI268" i="2"/>
  <c r="Q26" i="3" s="1"/>
  <c r="AH268" i="2"/>
  <c r="AF26" i="3" s="1"/>
  <c r="AI244" i="5"/>
  <c r="P49" i="3" s="1"/>
  <c r="AI244" i="6"/>
  <c r="P72" i="3" s="1"/>
  <c r="AE45" i="3"/>
  <c r="AE44" i="3"/>
  <c r="AE43" i="3"/>
  <c r="AE42" i="3"/>
  <c r="AE41" i="3"/>
  <c r="AE35" i="3"/>
  <c r="AE34" i="3"/>
  <c r="AE33" i="3"/>
  <c r="AE32" i="3"/>
  <c r="AE31" i="3"/>
  <c r="AE30" i="3"/>
  <c r="AE29" i="3"/>
  <c r="AE28" i="3"/>
  <c r="AE27" i="3"/>
  <c r="AI244" i="2"/>
  <c r="P26" i="3" s="1"/>
  <c r="AH244" i="2"/>
  <c r="AE26" i="3" s="1"/>
  <c r="AI220" i="5"/>
  <c r="O49" i="3" s="1"/>
  <c r="AI220" i="6"/>
  <c r="O72" i="3" s="1"/>
  <c r="AD45" i="3"/>
  <c r="AD44" i="3"/>
  <c r="AD43" i="3"/>
  <c r="AD42" i="3"/>
  <c r="AD41" i="3"/>
  <c r="AD35" i="3"/>
  <c r="AD34" i="3"/>
  <c r="AD33" i="3"/>
  <c r="AD32" i="3"/>
  <c r="AD31" i="3"/>
  <c r="AD30" i="3"/>
  <c r="AD29" i="3"/>
  <c r="AD28" i="3"/>
  <c r="AD27" i="3"/>
  <c r="AI220" i="2"/>
  <c r="O26" i="3" s="1"/>
  <c r="AH220" i="2"/>
  <c r="AD26" i="3" s="1"/>
  <c r="AI196" i="5"/>
  <c r="N49" i="3" s="1"/>
  <c r="AI196" i="6"/>
  <c r="N72" i="3" s="1"/>
  <c r="AC45" i="3"/>
  <c r="AC44" i="3"/>
  <c r="AC43" i="3"/>
  <c r="AC42" i="3"/>
  <c r="AC41" i="3"/>
  <c r="AC35" i="3"/>
  <c r="AC34" i="3"/>
  <c r="AC33" i="3"/>
  <c r="AC32" i="3"/>
  <c r="AC31" i="3"/>
  <c r="AC30" i="3"/>
  <c r="AC29" i="3"/>
  <c r="AC28" i="3"/>
  <c r="AC27" i="3"/>
  <c r="AI196" i="2"/>
  <c r="N26" i="3" s="1"/>
  <c r="AH196" i="2"/>
  <c r="AC26" i="3" s="1"/>
  <c r="AI172" i="5"/>
  <c r="M49" i="3" s="1"/>
  <c r="AI172" i="6"/>
  <c r="M72" i="3" s="1"/>
  <c r="AB45" i="3"/>
  <c r="AB44" i="3"/>
  <c r="AB43" i="3"/>
  <c r="AB42" i="3"/>
  <c r="AB41" i="3"/>
  <c r="AB35" i="3"/>
  <c r="AB34" i="3"/>
  <c r="AB33" i="3"/>
  <c r="AB32" i="3"/>
  <c r="AB31" i="3"/>
  <c r="AB30" i="3"/>
  <c r="AB29" i="3"/>
  <c r="AB28" i="3"/>
  <c r="AB27" i="3"/>
  <c r="AI172" i="2"/>
  <c r="M26" i="3" s="1"/>
  <c r="AH172" i="2"/>
  <c r="AB26" i="3" s="1"/>
  <c r="AI148" i="5"/>
  <c r="L49" i="3" s="1"/>
  <c r="AI148" i="6"/>
  <c r="L72" i="3" s="1"/>
  <c r="AA45" i="3"/>
  <c r="AA44" i="3"/>
  <c r="AA43" i="3"/>
  <c r="AA42" i="3"/>
  <c r="AA41" i="3"/>
  <c r="AA35" i="3"/>
  <c r="AA34" i="3"/>
  <c r="AA33" i="3"/>
  <c r="AA32" i="3"/>
  <c r="AA31" i="3"/>
  <c r="AA30" i="3"/>
  <c r="AA29" i="3"/>
  <c r="AA28" i="3"/>
  <c r="AA27" i="3"/>
  <c r="AI148" i="2"/>
  <c r="L26" i="3" s="1"/>
  <c r="AH148" i="2"/>
  <c r="AA26" i="3" s="1"/>
  <c r="AI124" i="5"/>
  <c r="K49" i="3" s="1"/>
  <c r="AI124" i="6"/>
  <c r="K72" i="3" s="1"/>
  <c r="Z45" i="3"/>
  <c r="Z44" i="3"/>
  <c r="Z43" i="3"/>
  <c r="Z42" i="3"/>
  <c r="Z41" i="3"/>
  <c r="Z35" i="3"/>
  <c r="Z34" i="3"/>
  <c r="Z33" i="3"/>
  <c r="Z32" i="3"/>
  <c r="Z31" i="3"/>
  <c r="Z30" i="3"/>
  <c r="Z29" i="3"/>
  <c r="Z28" i="3"/>
  <c r="Z27" i="3"/>
  <c r="AI124" i="2"/>
  <c r="K26" i="3" s="1"/>
  <c r="AH124" i="2"/>
  <c r="Z26" i="3" s="1"/>
  <c r="AI100" i="5"/>
  <c r="J49" i="3" s="1"/>
  <c r="AI100" i="6"/>
  <c r="J72" i="3" s="1"/>
  <c r="Y45" i="3"/>
  <c r="Y44" i="3"/>
  <c r="Y43" i="3"/>
  <c r="Y42" i="3"/>
  <c r="Y41" i="3"/>
  <c r="Y35" i="3"/>
  <c r="Y34" i="3"/>
  <c r="Y33" i="3"/>
  <c r="Y32" i="3"/>
  <c r="Y31" i="3"/>
  <c r="Y30" i="3"/>
  <c r="Y29" i="3"/>
  <c r="Y28" i="3"/>
  <c r="Y27" i="3"/>
  <c r="AI100" i="2"/>
  <c r="J26" i="3" s="1"/>
  <c r="AH100" i="2"/>
  <c r="Y26" i="3" s="1"/>
  <c r="AI76" i="5"/>
  <c r="I49" i="3" s="1"/>
  <c r="X78" i="3"/>
  <c r="AI76" i="6"/>
  <c r="I72" i="3" s="1"/>
  <c r="X45" i="3"/>
  <c r="X44" i="3"/>
  <c r="X43" i="3"/>
  <c r="X42" i="3"/>
  <c r="X41" i="3"/>
  <c r="X35" i="3"/>
  <c r="X34" i="3"/>
  <c r="X33" i="3"/>
  <c r="X32" i="3"/>
  <c r="X31" i="3"/>
  <c r="X30" i="3"/>
  <c r="X29" i="3"/>
  <c r="X28" i="3"/>
  <c r="X27" i="3"/>
  <c r="AI76" i="2"/>
  <c r="I26" i="3" s="1"/>
  <c r="AH76" i="2"/>
  <c r="X26" i="3" s="1"/>
  <c r="AI52" i="5"/>
  <c r="H49" i="3" s="1"/>
  <c r="W77" i="3"/>
  <c r="AI52" i="6"/>
  <c r="H72" i="3" s="1"/>
  <c r="W45" i="3"/>
  <c r="W44" i="3"/>
  <c r="W43" i="3"/>
  <c r="W42" i="3"/>
  <c r="W41" i="3"/>
  <c r="W35" i="3"/>
  <c r="W34" i="3"/>
  <c r="W33" i="3"/>
  <c r="W32" i="3"/>
  <c r="W31" i="3"/>
  <c r="W30" i="3"/>
  <c r="W29" i="3"/>
  <c r="W28" i="3"/>
  <c r="W27" i="3"/>
  <c r="AI52" i="2"/>
  <c r="H26" i="3" s="1"/>
  <c r="AH52" i="2"/>
  <c r="W26" i="3" s="1"/>
  <c r="AI28" i="5"/>
  <c r="G49" i="3" s="1"/>
  <c r="AI28" i="6"/>
  <c r="G72" i="3" s="1"/>
  <c r="V45" i="3"/>
  <c r="V44" i="3"/>
  <c r="V43" i="3"/>
  <c r="V42" i="3"/>
  <c r="V41" i="3"/>
  <c r="V35" i="3"/>
  <c r="V34" i="3"/>
  <c r="V33" i="3"/>
  <c r="V32" i="3"/>
  <c r="V31" i="3"/>
  <c r="V30" i="3"/>
  <c r="V29" i="3"/>
  <c r="V28" i="3"/>
  <c r="V27" i="3"/>
  <c r="AI28" i="2"/>
  <c r="G26" i="3" s="1"/>
  <c r="AH28" i="2"/>
  <c r="V26" i="3" s="1"/>
  <c r="A5" i="5"/>
  <c r="AH5" i="5" s="1"/>
  <c r="U50" i="3" s="1"/>
  <c r="F50" i="3"/>
  <c r="R50" i="3" s="1"/>
  <c r="A6" i="5"/>
  <c r="AH6" i="5" s="1"/>
  <c r="U51" i="3" s="1"/>
  <c r="F51" i="3"/>
  <c r="R51" i="3" s="1"/>
  <c r="A7" i="5"/>
  <c r="AH7" i="5" s="1"/>
  <c r="U52" i="3" s="1"/>
  <c r="F52" i="3"/>
  <c r="R52" i="3" s="1"/>
  <c r="A8" i="5"/>
  <c r="AH8" i="5" s="1"/>
  <c r="U53" i="3" s="1"/>
  <c r="F53" i="3"/>
  <c r="R53" i="3" s="1"/>
  <c r="A9" i="5"/>
  <c r="AH9" i="5" s="1"/>
  <c r="U54" i="3" s="1"/>
  <c r="F54" i="3"/>
  <c r="R54" i="3" s="1"/>
  <c r="A10" i="5"/>
  <c r="AH10" i="5" s="1"/>
  <c r="U55" i="3" s="1"/>
  <c r="F55" i="3"/>
  <c r="R55" i="3" s="1"/>
  <c r="A11" i="5"/>
  <c r="AH11" i="5" s="1"/>
  <c r="U56" i="3" s="1"/>
  <c r="F56" i="3"/>
  <c r="R56" i="3" s="1"/>
  <c r="A5" i="6"/>
  <c r="AH5" i="6" s="1"/>
  <c r="U73" i="3" s="1"/>
  <c r="A6" i="6"/>
  <c r="AH6" i="6" s="1"/>
  <c r="U74" i="3" s="1"/>
  <c r="A7" i="6"/>
  <c r="AH7" i="6" s="1"/>
  <c r="U75" i="3" s="1"/>
  <c r="A8" i="6"/>
  <c r="AH8" i="6" s="1"/>
  <c r="U76" i="3" s="1"/>
  <c r="A9" i="6"/>
  <c r="AH9" i="6" s="1"/>
  <c r="U77" i="3" s="1"/>
  <c r="A10" i="6"/>
  <c r="AH10" i="6" s="1"/>
  <c r="U78" i="3" s="1"/>
  <c r="A11" i="6"/>
  <c r="AH11" i="6" s="1"/>
  <c r="U79" i="3" s="1"/>
  <c r="A5" i="2"/>
  <c r="AH5" i="2" s="1"/>
  <c r="U27" i="3" s="1"/>
  <c r="A6" i="2"/>
  <c r="AH6" i="2" s="1"/>
  <c r="U28" i="3" s="1"/>
  <c r="A7" i="2"/>
  <c r="AH7" i="2" s="1"/>
  <c r="U29" i="3" s="1"/>
  <c r="A8" i="2"/>
  <c r="AH8" i="2" s="1"/>
  <c r="U30" i="3" s="1"/>
  <c r="A9" i="2"/>
  <c r="AH9" i="2" s="1"/>
  <c r="U31" i="3" s="1"/>
  <c r="A10" i="2"/>
  <c r="AH10" i="2" s="1"/>
  <c r="U32" i="3" s="1"/>
  <c r="A11" i="2"/>
  <c r="AH11" i="2" s="1"/>
  <c r="U33" i="3" s="1"/>
  <c r="A12" i="2"/>
  <c r="AH12" i="2" s="1"/>
  <c r="U34" i="3" s="1"/>
  <c r="A13" i="2"/>
  <c r="AH13" i="2" s="1"/>
  <c r="U35" i="3" s="1"/>
  <c r="U36" i="3"/>
  <c r="AG36" i="3" s="1"/>
  <c r="AH36" i="3" s="1"/>
  <c r="U37" i="3"/>
  <c r="AG37" i="3" s="1"/>
  <c r="AH37" i="3" s="1"/>
  <c r="U38" i="3"/>
  <c r="AG38" i="3" s="1"/>
  <c r="AH38" i="3" s="1"/>
  <c r="U39" i="3"/>
  <c r="AG39" i="3" s="1"/>
  <c r="AH39" i="3" s="1"/>
  <c r="U40" i="3"/>
  <c r="AG40" i="3" s="1"/>
  <c r="AH40" i="3" s="1"/>
  <c r="A4" i="5"/>
  <c r="AH4" i="5" s="1"/>
  <c r="U49" i="3" s="1"/>
  <c r="A4" i="6"/>
  <c r="AH4" i="6" s="1"/>
  <c r="U72" i="3" s="1"/>
  <c r="A4" i="2"/>
  <c r="AH4" i="2" s="1"/>
  <c r="U26" i="3" s="1"/>
  <c r="E44" i="3"/>
  <c r="S44" i="3" s="1"/>
  <c r="E43" i="3"/>
  <c r="S43" i="3" s="1"/>
  <c r="E42" i="3"/>
  <c r="S42" i="3" s="1"/>
  <c r="E41" i="3"/>
  <c r="S41" i="3" s="1"/>
  <c r="E35" i="3"/>
  <c r="S35" i="3" s="1"/>
  <c r="E34" i="3"/>
  <c r="S34" i="3" s="1"/>
  <c r="E17" i="3"/>
  <c r="S17" i="3" s="1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B3" i="4"/>
  <c r="E3" i="4"/>
  <c r="F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E72" i="3"/>
  <c r="E73" i="3"/>
  <c r="S73" i="3" s="1"/>
  <c r="E74" i="3"/>
  <c r="S74" i="3" s="1"/>
  <c r="E75" i="3"/>
  <c r="S75" i="3" s="1"/>
  <c r="E76" i="3"/>
  <c r="S76" i="3" s="1"/>
  <c r="E77" i="3"/>
  <c r="S77" i="3" s="1"/>
  <c r="E78" i="3"/>
  <c r="S78" i="3" s="1"/>
  <c r="E79" i="3"/>
  <c r="S79" i="3" s="1"/>
  <c r="E91" i="3"/>
  <c r="S91" i="3" s="1"/>
  <c r="AI4" i="6"/>
  <c r="F72" i="3" s="1"/>
  <c r="AI4" i="5"/>
  <c r="F49" i="3" s="1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B267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B243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B219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B195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B171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B147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B123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B99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B75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B51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B27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B3" i="6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B267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B243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B219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B195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B171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B147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B123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B99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B75" i="5"/>
  <c r="AF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B51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B27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B3" i="5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B267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B243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B219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B195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B171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B147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B123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B99" i="2"/>
  <c r="AE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B75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B51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B27" i="2"/>
  <c r="B27" i="4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B3" i="2"/>
  <c r="E68" i="3"/>
  <c r="E56" i="3"/>
  <c r="E55" i="3"/>
  <c r="E54" i="3"/>
  <c r="E53" i="3"/>
  <c r="E52" i="3"/>
  <c r="E51" i="3"/>
  <c r="E50" i="3"/>
  <c r="E49" i="3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AF2" i="4"/>
  <c r="AF3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E16" i="3"/>
  <c r="S16" i="3" s="1"/>
  <c r="E15" i="3"/>
  <c r="S15" i="3" s="1"/>
  <c r="E14" i="3"/>
  <c r="S14" i="3" s="1"/>
  <c r="E13" i="3"/>
  <c r="S13" i="3" s="1"/>
  <c r="E12" i="3"/>
  <c r="S12" i="3" s="1"/>
  <c r="E11" i="3"/>
  <c r="S11" i="3" s="1"/>
  <c r="E10" i="3"/>
  <c r="S10" i="3" s="1"/>
  <c r="E9" i="3"/>
  <c r="S9" i="3" s="1"/>
  <c r="E8" i="3"/>
  <c r="S8" i="3" s="1"/>
  <c r="E7" i="3"/>
  <c r="S7" i="3" s="1"/>
  <c r="E6" i="3"/>
  <c r="S6" i="3" s="1"/>
  <c r="E5" i="3"/>
  <c r="S5" i="3" s="1"/>
  <c r="E4" i="3"/>
  <c r="S4" i="3" s="1"/>
  <c r="E3" i="3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B266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B242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B218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B194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B170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B146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B122" i="2"/>
  <c r="B98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B74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B50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B26" i="2"/>
  <c r="E45" i="3"/>
  <c r="S45" i="3" s="1"/>
  <c r="E33" i="3"/>
  <c r="S33" i="3" s="1"/>
  <c r="E32" i="3"/>
  <c r="S32" i="3" s="1"/>
  <c r="E31" i="3"/>
  <c r="S31" i="3" s="1"/>
  <c r="E30" i="3"/>
  <c r="S30" i="3" s="1"/>
  <c r="AI4" i="2"/>
  <c r="F26" i="3" s="1"/>
  <c r="E27" i="3"/>
  <c r="S27" i="3" s="1"/>
  <c r="E28" i="3"/>
  <c r="S28" i="3" s="1"/>
  <c r="E29" i="3"/>
  <c r="S29" i="3" s="1"/>
  <c r="E26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S56" i="3" l="1"/>
  <c r="S52" i="3"/>
  <c r="S57" i="3"/>
  <c r="S68" i="3"/>
  <c r="AG22" i="3"/>
  <c r="AH22" i="3" s="1"/>
  <c r="S58" i="3"/>
  <c r="S66" i="3"/>
  <c r="S54" i="3"/>
  <c r="S50" i="3"/>
  <c r="S55" i="3"/>
  <c r="S53" i="3"/>
  <c r="S51" i="3"/>
  <c r="AG79" i="3"/>
  <c r="AH79" i="3" s="1"/>
  <c r="AG88" i="3"/>
  <c r="AH88" i="3" s="1"/>
  <c r="AG30" i="3"/>
  <c r="AH30" i="3" s="1"/>
  <c r="AG34" i="3"/>
  <c r="AH34" i="3" s="1"/>
  <c r="AG28" i="3"/>
  <c r="AH28" i="3" s="1"/>
  <c r="AG32" i="3"/>
  <c r="AH32" i="3" s="1"/>
  <c r="AG41" i="3"/>
  <c r="AH41" i="3" s="1"/>
  <c r="AG45" i="3"/>
  <c r="AH45" i="3" s="1"/>
  <c r="AG5" i="3"/>
  <c r="AH5" i="3" s="1"/>
  <c r="AG10" i="3"/>
  <c r="AH10" i="3" s="1"/>
  <c r="AG19" i="3"/>
  <c r="AH19" i="3" s="1"/>
  <c r="AG35" i="3"/>
  <c r="AH35" i="3" s="1"/>
  <c r="AG53" i="3"/>
  <c r="AH53" i="3" s="1"/>
  <c r="AG57" i="3"/>
  <c r="AH57" i="3" s="1"/>
  <c r="AG4" i="3"/>
  <c r="AH4" i="3" s="1"/>
  <c r="AG8" i="3"/>
  <c r="AH8" i="3" s="1"/>
  <c r="AG42" i="3"/>
  <c r="AH42" i="3" s="1"/>
  <c r="AG43" i="3"/>
  <c r="AH43" i="3" s="1"/>
  <c r="AG66" i="3"/>
  <c r="AH66" i="3" s="1"/>
  <c r="AG44" i="3"/>
  <c r="AH44" i="3" s="1"/>
  <c r="AG18" i="3"/>
  <c r="AH18" i="3" s="1"/>
  <c r="AG81" i="3"/>
  <c r="AH81" i="3" s="1"/>
  <c r="AG90" i="3"/>
  <c r="AH90" i="3" s="1"/>
  <c r="AG80" i="3"/>
  <c r="AH80" i="3" s="1"/>
  <c r="AG89" i="3"/>
  <c r="AH89" i="3" s="1"/>
  <c r="AG87" i="3"/>
  <c r="AH87" i="3" s="1"/>
  <c r="AG91" i="3"/>
  <c r="AH91" i="3" s="1"/>
  <c r="AG76" i="3"/>
  <c r="AH76" i="3" s="1"/>
  <c r="AG74" i="3"/>
  <c r="AH74" i="3" s="1"/>
  <c r="AG78" i="3"/>
  <c r="AH78" i="3" s="1"/>
  <c r="AG73" i="3"/>
  <c r="AH73" i="3" s="1"/>
  <c r="AG77" i="3"/>
  <c r="AH77" i="3" s="1"/>
  <c r="AG75" i="3"/>
  <c r="AH75" i="3" s="1"/>
  <c r="AG51" i="3"/>
  <c r="AH51" i="3" s="1"/>
  <c r="AG55" i="3"/>
  <c r="AH55" i="3" s="1"/>
  <c r="AG64" i="3"/>
  <c r="AH64" i="3" s="1"/>
  <c r="AG68" i="3"/>
  <c r="AH68" i="3" s="1"/>
  <c r="AG50" i="3"/>
  <c r="AH50" i="3" s="1"/>
  <c r="AG54" i="3"/>
  <c r="AH54" i="3" s="1"/>
  <c r="AG58" i="3"/>
  <c r="AH58" i="3" s="1"/>
  <c r="AG67" i="3"/>
  <c r="AH67" i="3" s="1"/>
  <c r="AG52" i="3"/>
  <c r="AH52" i="3" s="1"/>
  <c r="AG56" i="3"/>
  <c r="AH56" i="3" s="1"/>
  <c r="AG65" i="3"/>
  <c r="AH65" i="3" s="1"/>
  <c r="AG27" i="3"/>
  <c r="AH27" i="3" s="1"/>
  <c r="AG29" i="3"/>
  <c r="AH29" i="3" s="1"/>
  <c r="AG31" i="3"/>
  <c r="AH31" i="3" s="1"/>
  <c r="AG33" i="3"/>
  <c r="AH33" i="3" s="1"/>
  <c r="AG6" i="3"/>
  <c r="AH6" i="3" s="1"/>
  <c r="AG11" i="3"/>
  <c r="AH11" i="3" s="1"/>
  <c r="AG20" i="3"/>
  <c r="AH20" i="3" s="1"/>
  <c r="AG9" i="3"/>
  <c r="AH9" i="3" s="1"/>
  <c r="AG7" i="3"/>
  <c r="AH7" i="3" s="1"/>
  <c r="AG12" i="3"/>
  <c r="AH12" i="3" s="1"/>
  <c r="AG21" i="3"/>
  <c r="AH21" i="3" s="1"/>
  <c r="W3" i="3"/>
  <c r="AA3" i="3"/>
  <c r="AE3" i="3"/>
  <c r="X3" i="3"/>
  <c r="Z3" i="3"/>
  <c r="AB3" i="3"/>
  <c r="AD3" i="3"/>
  <c r="AF3" i="3"/>
  <c r="Y3" i="3"/>
  <c r="AC3" i="3"/>
  <c r="AF72" i="3"/>
  <c r="AE72" i="3"/>
  <c r="AD72" i="3"/>
  <c r="AC72" i="3"/>
  <c r="AB72" i="3"/>
  <c r="AA72" i="3"/>
  <c r="Z72" i="3"/>
  <c r="Y72" i="3"/>
  <c r="X72" i="3"/>
  <c r="W72" i="3"/>
  <c r="V72" i="3"/>
  <c r="R49" i="3"/>
  <c r="S49" i="3" s="1"/>
  <c r="AG49" i="3"/>
  <c r="AH49" i="3" s="1"/>
  <c r="R26" i="3"/>
  <c r="S26" i="3" s="1"/>
  <c r="AG26" i="3"/>
  <c r="AH26" i="3" s="1"/>
  <c r="R72" i="3"/>
  <c r="S72" i="3" s="1"/>
  <c r="R3" i="3"/>
  <c r="S3" i="3" s="1"/>
  <c r="AG3" i="3" l="1"/>
  <c r="AH3" i="3" s="1"/>
  <c r="AG72" i="3"/>
  <c r="AH72" i="3" s="1"/>
</calcChain>
</file>

<file path=xl/sharedStrings.xml><?xml version="1.0" encoding="utf-8"?>
<sst xmlns="http://schemas.openxmlformats.org/spreadsheetml/2006/main" count="10243" uniqueCount="102">
  <si>
    <t>JANUÁR</t>
  </si>
  <si>
    <t>V</t>
  </si>
  <si>
    <t>X</t>
  </si>
  <si>
    <t>"B" műszak</t>
  </si>
  <si>
    <t>"C" műszak</t>
  </si>
  <si>
    <t>"D" műszak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</si>
  <si>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</si>
  <si>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</si>
  <si>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</si>
  <si>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</si>
  <si>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</si>
  <si>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</si>
  <si>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</si>
  <si>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</si>
  <si>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</si>
  <si>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</si>
  <si>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</si>
  <si>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ÁRPILIS</t>
  </si>
  <si>
    <t xml:space="preserve"> +</t>
  </si>
  <si>
    <t>SZF</t>
  </si>
  <si>
    <t>szf</t>
  </si>
  <si>
    <t>Áth.</t>
  </si>
  <si>
    <t>Össz.</t>
  </si>
  <si>
    <t>I.</t>
  </si>
  <si>
    <t>II</t>
  </si>
  <si>
    <t>II.</t>
  </si>
  <si>
    <t>III</t>
  </si>
  <si>
    <t>III.</t>
  </si>
  <si>
    <t>IV</t>
  </si>
  <si>
    <t>IV.</t>
  </si>
  <si>
    <t>V.</t>
  </si>
  <si>
    <t>VI</t>
  </si>
  <si>
    <t>VI.</t>
  </si>
  <si>
    <t>VII</t>
  </si>
  <si>
    <t>VIII</t>
  </si>
  <si>
    <t>IX</t>
  </si>
  <si>
    <t>XI</t>
  </si>
  <si>
    <t>XII</t>
  </si>
  <si>
    <t>M.</t>
  </si>
  <si>
    <t>Szf</t>
  </si>
  <si>
    <t>N é v</t>
  </si>
  <si>
    <t>Gye-rek</t>
  </si>
  <si>
    <t>"A" műszak</t>
  </si>
  <si>
    <t>Név15</t>
  </si>
  <si>
    <t>Név10</t>
  </si>
  <si>
    <t>Név11</t>
  </si>
  <si>
    <t>Név12</t>
  </si>
  <si>
    <t>Név13</t>
  </si>
  <si>
    <t>Név14</t>
  </si>
  <si>
    <t>Név8</t>
  </si>
  <si>
    <t>Név9</t>
  </si>
  <si>
    <t>K</t>
  </si>
  <si>
    <t>Sze</t>
  </si>
  <si>
    <t>Cs</t>
  </si>
  <si>
    <t>P</t>
  </si>
  <si>
    <t>Szo</t>
  </si>
  <si>
    <t>H</t>
  </si>
  <si>
    <t>Név16</t>
  </si>
  <si>
    <t>Név17</t>
  </si>
  <si>
    <t>Név18</t>
  </si>
  <si>
    <t>Név19</t>
  </si>
  <si>
    <t>Név20</t>
  </si>
  <si>
    <t>2021. év</t>
  </si>
  <si>
    <t>Fü</t>
  </si>
  <si>
    <t>Csuka Lajos</t>
  </si>
  <si>
    <t>Batiz Attila</t>
  </si>
  <si>
    <t>Daku Gábor</t>
  </si>
  <si>
    <t>Füredi Antal</t>
  </si>
  <si>
    <t>Iványi István</t>
  </si>
  <si>
    <t>Katonka Tibor</t>
  </si>
  <si>
    <t>Kiss János Tamás</t>
  </si>
  <si>
    <t>Vatamány Gergő</t>
  </si>
  <si>
    <t>Katona László</t>
  </si>
  <si>
    <t>Habara Gábor</t>
  </si>
  <si>
    <t>Holba Imre</t>
  </si>
  <si>
    <t>Király Bálint Donát</t>
  </si>
  <si>
    <t>Mezei Lajos</t>
  </si>
  <si>
    <t>Kuik-Filep András</t>
  </si>
  <si>
    <t>Balogh Zsolt</t>
  </si>
  <si>
    <t>Éliás Viktor</t>
  </si>
  <si>
    <t>Hadházi Kálmán</t>
  </si>
  <si>
    <t>Kiss Attila</t>
  </si>
  <si>
    <t>Serestyén Dániel</t>
  </si>
  <si>
    <t>Varga Imre</t>
  </si>
  <si>
    <t>Borbély Csaba</t>
  </si>
  <si>
    <t>Erdei Bálint</t>
  </si>
  <si>
    <t>Fábián Gábor</t>
  </si>
  <si>
    <t>Gellei Zsolt</t>
  </si>
  <si>
    <t>Kiss Gyula</t>
  </si>
  <si>
    <t>Nagy István</t>
  </si>
  <si>
    <t>Fényi László</t>
  </si>
  <si>
    <t>Kovács Kriszitán</t>
  </si>
  <si>
    <t>Besse Éva</t>
  </si>
  <si>
    <t>Oláh Erika</t>
  </si>
  <si>
    <t>Bulyáki Csaba</t>
  </si>
  <si>
    <t>Fekete Tamás</t>
  </si>
  <si>
    <t>Tóth János</t>
  </si>
  <si>
    <t>Tóth Krisztián</t>
  </si>
  <si>
    <t>Mizsák Péter</t>
  </si>
  <si>
    <t>Dancsi Attila</t>
  </si>
  <si>
    <t>Iványi Roland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</si>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</sst>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HTimes"/>
      <charset val="238"/>
    </font>
    <font>
      <sz val="10"/>
      <name val="HTimes"/>
      <charset val="238"/>
    </font>
    <font>
      <sz val="12"/>
      <name val="Times New Roman CE"/>
      <charset val="238"/>
    </font>
    <font>
      <b/>
      <sz val="9"/>
      <name val="Times New Roman CE"/>
      <charset val="238"/>
    </font>
    <font>
      <sz val="9"/>
      <name val="Times New Roman CE"/>
      <family val="1"/>
      <charset val="238"/>
    </font>
    <font>
      <b/>
      <sz val="9"/>
      <name val="Times New Roman CE"/>
      <family val="1"/>
      <charset val="238"/>
    </font>
    <font>
      <b/>
      <sz val="10"/>
      <name val="Times New Roman CE"/>
      <family val="1"/>
      <charset val="238"/>
    </font>
    <font>
      <sz val="10"/>
      <name val="HTimes"/>
      <charset val="238"/>
    </font>
    <font>
      <sz val="10"/>
      <name val="Times New Roman CE"/>
      <family val="1"/>
      <charset val="238"/>
    </font>
    <font>
      <b/>
      <sz val="10"/>
      <name val="Times New Roman CE"/>
      <charset val="238"/>
    </font>
    <font>
      <b/>
      <sz val="10"/>
      <name val="Times New Roman"/>
      <family val="1"/>
      <charset val="238"/>
    </font>
    <font>
      <sz val="9"/>
      <name val="HTimes"/>
      <charset val="238"/>
    </font>
    <font>
      <sz val="10"/>
      <name val="HTimes"/>
      <charset val="238"/>
    </font>
    <font>
      <sz val="8"/>
      <name val="Times New Roman"/>
      <family val="1"/>
      <charset val="238"/>
    </font>
    <font>
      <i/>
      <sz val="8"/>
      <name val="Times New Roman"/>
      <family val="1"/>
      <charset val="238"/>
    </font>
    <font>
      <b/>
      <sz val="8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Border="0"/>
    <xf numFmtId="0" fontId="2" fillId="0" borderId="0"/>
    <xf numFmtId="0" fontId="2" fillId="0" borderId="0"/>
  </cellStyleXfs>
  <cellXfs count="63">
    <xf numFmtId="0" fontId="0" fillId="0" borderId="0" xfId="0"/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/>
    </xf>
    <xf numFmtId="0" fontId="5" fillId="0" borderId="0" xfId="1" applyFont="1"/>
    <xf numFmtId="0" fontId="4" fillId="0" borderId="0" xfId="1" applyFont="1" applyFill="1"/>
    <xf numFmtId="0" fontId="5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8" fillId="0" borderId="0" xfId="2" applyFont="1" applyFill="1" applyBorder="1" applyProtection="1">
      <protection locked="0"/>
    </xf>
    <xf numFmtId="0" fontId="5" fillId="0" borderId="0" xfId="1" applyFont="1" applyFill="1"/>
    <xf numFmtId="0" fontId="4" fillId="0" borderId="1" xfId="1" applyFont="1" applyFill="1" applyBorder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>
      <alignment horizontal="center"/>
    </xf>
    <xf numFmtId="1" fontId="4" fillId="0" borderId="1" xfId="1" applyNumberFormat="1" applyFont="1" applyFill="1" applyBorder="1" applyAlignment="1">
      <alignment horizontal="center"/>
    </xf>
    <xf numFmtId="0" fontId="8" fillId="0" borderId="0" xfId="2" applyFont="1" applyFill="1" applyBorder="1" applyProtection="1"/>
    <xf numFmtId="0" fontId="4" fillId="0" borderId="0" xfId="1" applyFont="1" applyFill="1" applyBorder="1"/>
    <xf numFmtId="0" fontId="11" fillId="0" borderId="1" xfId="0" applyFont="1" applyFill="1" applyBorder="1" applyAlignment="1" applyProtection="1">
      <alignment horizontal="center" vertical="center"/>
      <protection locked="0"/>
    </xf>
    <xf numFmtId="0" fontId="9" fillId="0" borderId="1" xfId="2" applyFont="1" applyFill="1" applyBorder="1" applyAlignment="1" applyProtection="1">
      <alignment horizontal="center"/>
    </xf>
    <xf numFmtId="0" fontId="5" fillId="0" borderId="1" xfId="1" applyFont="1" applyBorder="1"/>
    <xf numFmtId="0" fontId="4" fillId="0" borderId="1" xfId="1" applyFont="1" applyBorder="1"/>
    <xf numFmtId="0" fontId="5" fillId="0" borderId="1" xfId="1" applyFont="1" applyFill="1" applyBorder="1" applyAlignment="1">
      <alignment horizontal="center"/>
    </xf>
    <xf numFmtId="0" fontId="8" fillId="0" borderId="1" xfId="2" applyFont="1" applyFill="1" applyBorder="1" applyProtection="1"/>
    <xf numFmtId="0" fontId="5" fillId="3" borderId="1" xfId="1" applyFont="1" applyFill="1" applyBorder="1" applyAlignment="1">
      <alignment horizontal="center"/>
    </xf>
    <xf numFmtId="0" fontId="8" fillId="0" borderId="0" xfId="1" applyFont="1" applyFill="1"/>
    <xf numFmtId="0" fontId="8" fillId="0" borderId="0" xfId="1" applyFont="1" applyFill="1" applyProtection="1"/>
    <xf numFmtId="0" fontId="8" fillId="0" borderId="0" xfId="1" applyFont="1" applyFill="1" applyBorder="1" applyProtection="1"/>
    <xf numFmtId="0" fontId="6" fillId="3" borderId="1" xfId="1" applyFont="1" applyFill="1" applyBorder="1" applyAlignment="1" applyProtection="1">
      <alignment horizontal="center"/>
    </xf>
    <xf numFmtId="0" fontId="6" fillId="0" borderId="1" xfId="1" applyFont="1" applyFill="1" applyBorder="1" applyAlignment="1" applyProtection="1">
      <alignment horizontal="center"/>
    </xf>
    <xf numFmtId="0" fontId="6" fillId="0" borderId="0" xfId="1" applyFont="1" applyFill="1" applyProtection="1"/>
    <xf numFmtId="0" fontId="8" fillId="0" borderId="1" xfId="1" applyFont="1" applyFill="1" applyBorder="1" applyAlignment="1" applyProtection="1">
      <alignment horizontal="center"/>
    </xf>
    <xf numFmtId="0" fontId="8" fillId="0" borderId="0" xfId="1" applyFont="1" applyFill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 vertical="center"/>
    </xf>
    <xf numFmtId="1" fontId="8" fillId="0" borderId="1" xfId="1" applyNumberFormat="1" applyFont="1" applyFill="1" applyBorder="1" applyAlignment="1" applyProtection="1">
      <alignment horizontal="center"/>
    </xf>
    <xf numFmtId="0" fontId="8" fillId="0" borderId="0" xfId="1" applyFont="1" applyFill="1" applyBorder="1" applyAlignment="1" applyProtection="1">
      <alignment horizontal="center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5" fillId="4" borderId="1" xfId="1" applyFont="1" applyFill="1" applyBorder="1" applyAlignment="1">
      <alignment horizont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9" fillId="2" borderId="1" xfId="2" applyFont="1" applyFill="1" applyBorder="1" applyAlignment="1" applyProtection="1">
      <alignment horizontal="center"/>
    </xf>
    <xf numFmtId="0" fontId="6" fillId="0" borderId="1" xfId="2" applyFont="1" applyFill="1" applyBorder="1" applyAlignment="1" applyProtection="1">
      <alignment horizontal="center"/>
    </xf>
    <xf numFmtId="0" fontId="6" fillId="2" borderId="1" xfId="2" applyFont="1" applyFill="1" applyBorder="1" applyAlignment="1" applyProtection="1">
      <alignment horizontal="center" wrapText="1"/>
    </xf>
    <xf numFmtId="0" fontId="8" fillId="0" borderId="0" xfId="1" applyFont="1"/>
    <xf numFmtId="0" fontId="8" fillId="2" borderId="1" xfId="2" applyFont="1" applyFill="1" applyBorder="1" applyAlignment="1" applyProtection="1">
      <alignment horizontal="center"/>
    </xf>
    <xf numFmtId="0" fontId="8" fillId="0" borderId="1" xfId="2" applyFont="1" applyFill="1" applyBorder="1" applyAlignment="1" applyProtection="1">
      <alignment horizontal="center"/>
    </xf>
    <xf numFmtId="0" fontId="6" fillId="2" borderId="1" xfId="2" applyFont="1" applyFill="1" applyBorder="1" applyAlignment="1" applyProtection="1">
      <alignment horizontal="center"/>
    </xf>
    <xf numFmtId="0" fontId="8" fillId="0" borderId="0" xfId="1" applyFont="1" applyFill="1" applyAlignment="1">
      <alignment horizontal="center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</cellXfs>
  <cellStyles count="3">
    <cellStyle name="Normál" xfId="0" builtinId="0"/>
    <cellStyle name="Normál_Szabi" xfId="1"/>
    <cellStyle name="Normál_SZN_99" xfId="2"/>
  </cellStyles>
  <dxfs count="4083"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auto="1"/>
      </font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ont>
        <color rgb="FF9C0006"/>
      </font>
    </dxf>
    <dxf>
      <font>
        <color rgb="FF00B05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56E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rmeles_V_Feld/D%20m&#369;szak/2021_D_Szabads&#225;gter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Összes"/>
      <sheetName val="D"/>
      <sheetName val="Munka3"/>
    </sheetNames>
    <sheetDataSet>
      <sheetData sheetId="0"/>
      <sheetData sheetId="1">
        <row r="4">
          <cell r="B4" t="str">
            <v>+</v>
          </cell>
          <cell r="C4"/>
          <cell r="D4"/>
          <cell r="E4"/>
          <cell r="F4"/>
          <cell r="G4"/>
          <cell r="H4" t="str">
            <v>X</v>
          </cell>
          <cell r="I4" t="str">
            <v>X</v>
          </cell>
          <cell r="J4"/>
          <cell r="K4"/>
          <cell r="L4"/>
          <cell r="M4"/>
          <cell r="N4"/>
          <cell r="O4"/>
          <cell r="P4" t="str">
            <v>X</v>
          </cell>
          <cell r="Q4" t="str">
            <v>X</v>
          </cell>
          <cell r="R4"/>
          <cell r="S4"/>
          <cell r="T4"/>
          <cell r="U4"/>
          <cell r="V4"/>
          <cell r="W4"/>
          <cell r="X4" t="str">
            <v>X</v>
          </cell>
          <cell r="Y4" t="str">
            <v>X</v>
          </cell>
          <cell r="Z4"/>
          <cell r="AA4"/>
          <cell r="AB4"/>
          <cell r="AC4"/>
          <cell r="AD4"/>
          <cell r="AE4"/>
        </row>
        <row r="5">
          <cell r="B5"/>
          <cell r="C5"/>
          <cell r="D5"/>
          <cell r="E5"/>
          <cell r="F5"/>
          <cell r="G5" t="str">
            <v>+</v>
          </cell>
          <cell r="H5" t="str">
            <v>X</v>
          </cell>
          <cell r="I5" t="str">
            <v>X</v>
          </cell>
          <cell r="J5"/>
          <cell r="K5"/>
          <cell r="L5"/>
          <cell r="M5"/>
          <cell r="N5"/>
          <cell r="O5"/>
          <cell r="P5" t="str">
            <v>X</v>
          </cell>
          <cell r="Q5" t="str">
            <v>X</v>
          </cell>
          <cell r="R5"/>
          <cell r="S5"/>
          <cell r="T5"/>
          <cell r="U5"/>
          <cell r="V5"/>
          <cell r="W5"/>
          <cell r="X5" t="str">
            <v>X</v>
          </cell>
          <cell r="Y5" t="str">
            <v>X</v>
          </cell>
          <cell r="Z5"/>
          <cell r="AA5"/>
          <cell r="AB5"/>
          <cell r="AC5"/>
          <cell r="AD5"/>
          <cell r="AE5"/>
        </row>
        <row r="6">
          <cell r="B6"/>
          <cell r="C6"/>
          <cell r="D6"/>
          <cell r="E6"/>
          <cell r="F6"/>
          <cell r="G6"/>
          <cell r="H6" t="str">
            <v>X</v>
          </cell>
          <cell r="I6" t="str">
            <v>X</v>
          </cell>
          <cell r="J6"/>
          <cell r="K6"/>
          <cell r="L6"/>
          <cell r="M6"/>
          <cell r="N6"/>
          <cell r="O6"/>
          <cell r="P6" t="str">
            <v>X</v>
          </cell>
          <cell r="Q6" t="str">
            <v>X</v>
          </cell>
          <cell r="R6"/>
          <cell r="S6"/>
          <cell r="T6"/>
          <cell r="U6"/>
          <cell r="V6"/>
          <cell r="W6"/>
          <cell r="X6" t="str">
            <v>X</v>
          </cell>
          <cell r="Y6" t="str">
            <v>X</v>
          </cell>
          <cell r="Z6"/>
          <cell r="AA6"/>
          <cell r="AB6"/>
          <cell r="AC6"/>
          <cell r="AD6"/>
          <cell r="AE6"/>
        </row>
        <row r="7">
          <cell r="B7"/>
          <cell r="C7"/>
          <cell r="D7"/>
          <cell r="E7"/>
          <cell r="F7"/>
          <cell r="G7"/>
          <cell r="H7" t="str">
            <v>X</v>
          </cell>
          <cell r="I7" t="str">
            <v>X</v>
          </cell>
          <cell r="J7"/>
          <cell r="K7"/>
          <cell r="L7"/>
          <cell r="M7"/>
          <cell r="N7"/>
          <cell r="O7"/>
          <cell r="P7" t="str">
            <v>X</v>
          </cell>
          <cell r="Q7" t="str">
            <v>X</v>
          </cell>
          <cell r="R7"/>
          <cell r="S7"/>
          <cell r="T7"/>
          <cell r="U7"/>
          <cell r="V7"/>
          <cell r="W7"/>
          <cell r="X7" t="str">
            <v>X</v>
          </cell>
          <cell r="Y7" t="str">
            <v>X</v>
          </cell>
          <cell r="Z7"/>
          <cell r="AA7"/>
          <cell r="AB7"/>
          <cell r="AC7"/>
          <cell r="AD7"/>
          <cell r="AE7"/>
        </row>
        <row r="8">
          <cell r="B8"/>
          <cell r="C8"/>
          <cell r="D8"/>
          <cell r="E8"/>
          <cell r="F8"/>
          <cell r="G8"/>
          <cell r="H8" t="str">
            <v>X</v>
          </cell>
          <cell r="I8" t="str">
            <v>X</v>
          </cell>
          <cell r="J8"/>
          <cell r="K8"/>
          <cell r="L8"/>
          <cell r="M8"/>
          <cell r="N8"/>
          <cell r="O8"/>
          <cell r="P8" t="str">
            <v>X</v>
          </cell>
          <cell r="Q8" t="str">
            <v>X</v>
          </cell>
          <cell r="R8"/>
          <cell r="S8"/>
          <cell r="T8"/>
          <cell r="U8"/>
          <cell r="V8"/>
          <cell r="W8"/>
          <cell r="X8" t="str">
            <v>X</v>
          </cell>
          <cell r="Y8" t="str">
            <v>X</v>
          </cell>
          <cell r="Z8"/>
          <cell r="AA8"/>
          <cell r="AB8"/>
          <cell r="AC8"/>
          <cell r="AD8"/>
          <cell r="AE8"/>
        </row>
        <row r="9">
          <cell r="B9"/>
          <cell r="C9"/>
          <cell r="D9"/>
          <cell r="E9"/>
          <cell r="F9"/>
          <cell r="G9"/>
          <cell r="H9" t="str">
            <v>X</v>
          </cell>
          <cell r="I9" t="str">
            <v>X</v>
          </cell>
          <cell r="J9"/>
          <cell r="K9"/>
          <cell r="L9"/>
          <cell r="M9"/>
          <cell r="N9"/>
          <cell r="O9"/>
          <cell r="P9" t="str">
            <v>X</v>
          </cell>
          <cell r="Q9" t="str">
            <v>X</v>
          </cell>
          <cell r="R9"/>
          <cell r="S9"/>
          <cell r="T9"/>
          <cell r="U9"/>
          <cell r="V9"/>
          <cell r="W9"/>
          <cell r="X9" t="str">
            <v>X</v>
          </cell>
          <cell r="Y9" t="str">
            <v>X</v>
          </cell>
          <cell r="Z9"/>
          <cell r="AA9"/>
          <cell r="AB9"/>
          <cell r="AC9"/>
          <cell r="AD9"/>
          <cell r="AE9"/>
        </row>
        <row r="10">
          <cell r="B10"/>
          <cell r="C10"/>
          <cell r="D10"/>
          <cell r="E10"/>
          <cell r="F10"/>
          <cell r="G10"/>
          <cell r="H10" t="str">
            <v>X</v>
          </cell>
          <cell r="I10" t="str">
            <v>X</v>
          </cell>
          <cell r="J10"/>
          <cell r="K10"/>
          <cell r="L10"/>
          <cell r="M10"/>
          <cell r="N10"/>
          <cell r="O10"/>
          <cell r="P10" t="str">
            <v>X</v>
          </cell>
          <cell r="Q10" t="str">
            <v>X</v>
          </cell>
          <cell r="R10"/>
          <cell r="S10"/>
          <cell r="T10"/>
          <cell r="U10"/>
          <cell r="V10"/>
          <cell r="W10"/>
          <cell r="X10" t="str">
            <v>X</v>
          </cell>
          <cell r="Y10" t="str">
            <v>X</v>
          </cell>
          <cell r="Z10"/>
          <cell r="AA10"/>
          <cell r="AB10"/>
          <cell r="AC10"/>
          <cell r="AD10"/>
          <cell r="AE10"/>
        </row>
        <row r="15">
          <cell r="C15"/>
          <cell r="D15"/>
          <cell r="E15"/>
          <cell r="F15"/>
          <cell r="G15"/>
          <cell r="H15"/>
          <cell r="I15" t="str">
            <v>X</v>
          </cell>
          <cell r="J15" t="str">
            <v>X</v>
          </cell>
          <cell r="K15"/>
          <cell r="L15"/>
          <cell r="M15"/>
          <cell r="N15"/>
          <cell r="O15"/>
          <cell r="P15"/>
          <cell r="Q15" t="str">
            <v>X</v>
          </cell>
          <cell r="R15" t="str">
            <v>X</v>
          </cell>
          <cell r="S15"/>
          <cell r="T15"/>
          <cell r="U15"/>
          <cell r="V15"/>
          <cell r="W15"/>
          <cell r="X15"/>
          <cell r="Y15" t="str">
            <v>X</v>
          </cell>
          <cell r="Z15" t="str">
            <v>X</v>
          </cell>
          <cell r="AA15"/>
          <cell r="AB15"/>
          <cell r="AC15"/>
        </row>
        <row r="16">
          <cell r="C16"/>
          <cell r="D16"/>
          <cell r="E16"/>
          <cell r="F16"/>
          <cell r="G16"/>
          <cell r="H16"/>
          <cell r="I16" t="str">
            <v>X</v>
          </cell>
          <cell r="J16" t="str">
            <v>X</v>
          </cell>
          <cell r="K16"/>
          <cell r="L16"/>
          <cell r="M16"/>
          <cell r="N16"/>
          <cell r="O16"/>
          <cell r="P16"/>
          <cell r="Q16" t="str">
            <v>X</v>
          </cell>
          <cell r="R16" t="str">
            <v>X</v>
          </cell>
          <cell r="S16"/>
          <cell r="T16"/>
          <cell r="U16"/>
          <cell r="V16"/>
          <cell r="W16"/>
          <cell r="X16"/>
          <cell r="Y16" t="str">
            <v>X</v>
          </cell>
          <cell r="Z16" t="str">
            <v>X</v>
          </cell>
          <cell r="AA16"/>
          <cell r="AB16"/>
          <cell r="AC16"/>
        </row>
        <row r="17">
          <cell r="C17"/>
          <cell r="D17"/>
          <cell r="E17"/>
          <cell r="F17"/>
          <cell r="G17"/>
          <cell r="H17"/>
          <cell r="I17" t="str">
            <v>X</v>
          </cell>
          <cell r="J17" t="str">
            <v>X</v>
          </cell>
          <cell r="K17"/>
          <cell r="L17"/>
          <cell r="M17"/>
          <cell r="N17"/>
          <cell r="O17"/>
          <cell r="P17"/>
          <cell r="Q17" t="str">
            <v>X</v>
          </cell>
          <cell r="R17" t="str">
            <v>X</v>
          </cell>
          <cell r="S17"/>
          <cell r="T17"/>
          <cell r="U17"/>
          <cell r="V17"/>
          <cell r="W17"/>
          <cell r="X17"/>
          <cell r="Y17" t="str">
            <v>X</v>
          </cell>
          <cell r="Z17" t="str">
            <v>X</v>
          </cell>
          <cell r="AA17"/>
          <cell r="AB17"/>
          <cell r="AC17"/>
        </row>
        <row r="18">
          <cell r="C18"/>
          <cell r="D18"/>
          <cell r="E18"/>
          <cell r="F18"/>
          <cell r="G18"/>
          <cell r="H18"/>
          <cell r="I18" t="str">
            <v>X</v>
          </cell>
          <cell r="J18" t="str">
            <v>X</v>
          </cell>
          <cell r="K18"/>
          <cell r="L18"/>
          <cell r="M18"/>
          <cell r="N18"/>
          <cell r="O18"/>
          <cell r="P18"/>
          <cell r="Q18" t="str">
            <v>X</v>
          </cell>
          <cell r="R18" t="str">
            <v>X</v>
          </cell>
          <cell r="S18"/>
          <cell r="T18"/>
          <cell r="U18"/>
          <cell r="V18"/>
          <cell r="W18"/>
          <cell r="X18"/>
          <cell r="Y18" t="str">
            <v>X</v>
          </cell>
          <cell r="Z18" t="str">
            <v>X</v>
          </cell>
          <cell r="AA18"/>
          <cell r="AB18"/>
          <cell r="AC18"/>
        </row>
        <row r="19">
          <cell r="C19"/>
          <cell r="D19"/>
          <cell r="E19"/>
          <cell r="F19"/>
          <cell r="G19"/>
          <cell r="H19"/>
          <cell r="I19" t="str">
            <v>X</v>
          </cell>
          <cell r="J19" t="str">
            <v>X</v>
          </cell>
          <cell r="K19"/>
          <cell r="L19"/>
          <cell r="M19"/>
          <cell r="N19"/>
          <cell r="O19"/>
          <cell r="P19"/>
          <cell r="Q19" t="str">
            <v>X</v>
          </cell>
          <cell r="R19" t="str">
            <v>X</v>
          </cell>
          <cell r="S19"/>
          <cell r="T19"/>
          <cell r="U19"/>
          <cell r="V19"/>
          <cell r="W19"/>
          <cell r="X19"/>
          <cell r="Y19" t="str">
            <v>X</v>
          </cell>
          <cell r="Z19" t="str">
            <v>X</v>
          </cell>
          <cell r="AA19"/>
          <cell r="AB19"/>
          <cell r="AC19"/>
        </row>
        <row r="20">
          <cell r="C20"/>
          <cell r="D20"/>
          <cell r="E20"/>
          <cell r="F20"/>
          <cell r="G20"/>
          <cell r="H20"/>
          <cell r="I20" t="str">
            <v>X</v>
          </cell>
          <cell r="J20" t="str">
            <v>X</v>
          </cell>
          <cell r="K20"/>
          <cell r="L20"/>
          <cell r="M20"/>
          <cell r="N20"/>
          <cell r="O20"/>
          <cell r="P20"/>
          <cell r="Q20" t="str">
            <v>X</v>
          </cell>
          <cell r="R20" t="str">
            <v>X</v>
          </cell>
          <cell r="S20"/>
          <cell r="T20"/>
          <cell r="U20"/>
          <cell r="V20"/>
          <cell r="W20"/>
          <cell r="X20"/>
          <cell r="Y20" t="str">
            <v>X</v>
          </cell>
          <cell r="Z20" t="str">
            <v>X</v>
          </cell>
          <cell r="AA20"/>
          <cell r="AB20"/>
          <cell r="AC20"/>
        </row>
        <row r="21">
          <cell r="C21"/>
          <cell r="D21"/>
          <cell r="E21"/>
          <cell r="F21"/>
          <cell r="G21"/>
          <cell r="H21"/>
          <cell r="I21" t="str">
            <v>X</v>
          </cell>
          <cell r="J21" t="str">
            <v>X</v>
          </cell>
          <cell r="K21"/>
          <cell r="L21"/>
          <cell r="M21"/>
          <cell r="N21"/>
          <cell r="O21"/>
          <cell r="P21"/>
          <cell r="Q21" t="str">
            <v>X</v>
          </cell>
          <cell r="R21" t="str">
            <v>X</v>
          </cell>
          <cell r="S21"/>
          <cell r="T21"/>
          <cell r="U21"/>
          <cell r="V21"/>
          <cell r="W21"/>
          <cell r="X21"/>
          <cell r="Y21" t="str">
            <v>X</v>
          </cell>
          <cell r="Z21" t="str">
            <v>X</v>
          </cell>
          <cell r="AA21"/>
          <cell r="AB21"/>
          <cell r="AC21"/>
        </row>
        <row r="26">
          <cell r="B26"/>
          <cell r="C26"/>
          <cell r="D26"/>
          <cell r="E26" t="str">
            <v>X</v>
          </cell>
          <cell r="F26" t="str">
            <v>X</v>
          </cell>
          <cell r="G26"/>
          <cell r="H26"/>
          <cell r="I26"/>
          <cell r="J26"/>
          <cell r="K26"/>
          <cell r="L26"/>
          <cell r="M26" t="str">
            <v>X</v>
          </cell>
          <cell r="N26" t="str">
            <v>X</v>
          </cell>
          <cell r="O26"/>
          <cell r="P26"/>
          <cell r="Q26"/>
          <cell r="R26"/>
          <cell r="S26"/>
          <cell r="T26"/>
          <cell r="U26" t="str">
            <v>X</v>
          </cell>
          <cell r="V26" t="str">
            <v>X</v>
          </cell>
          <cell r="W26"/>
          <cell r="X26"/>
          <cell r="Y26"/>
          <cell r="Z26"/>
          <cell r="AA26"/>
          <cell r="AB26"/>
          <cell r="AC26" t="str">
            <v>X</v>
          </cell>
          <cell r="AD26" t="str">
            <v>X</v>
          </cell>
          <cell r="AE26"/>
          <cell r="AF26"/>
        </row>
        <row r="27">
          <cell r="B27"/>
          <cell r="C27"/>
          <cell r="D27"/>
          <cell r="E27" t="str">
            <v>X</v>
          </cell>
          <cell r="F27" t="str">
            <v>X</v>
          </cell>
          <cell r="G27"/>
          <cell r="H27"/>
          <cell r="I27"/>
          <cell r="J27"/>
          <cell r="K27"/>
          <cell r="L27"/>
          <cell r="M27" t="str">
            <v>X</v>
          </cell>
          <cell r="N27" t="str">
            <v>X</v>
          </cell>
          <cell r="O27"/>
          <cell r="P27"/>
          <cell r="Q27"/>
          <cell r="R27"/>
          <cell r="S27"/>
          <cell r="T27"/>
          <cell r="U27" t="str">
            <v>X</v>
          </cell>
          <cell r="V27" t="str">
            <v>X</v>
          </cell>
          <cell r="W27"/>
          <cell r="X27"/>
          <cell r="Y27"/>
          <cell r="Z27"/>
          <cell r="AA27"/>
          <cell r="AB27"/>
          <cell r="AC27" t="str">
            <v>X</v>
          </cell>
          <cell r="AD27" t="str">
            <v>X</v>
          </cell>
          <cell r="AE27"/>
          <cell r="AF27"/>
        </row>
        <row r="28">
          <cell r="B28"/>
          <cell r="C28"/>
          <cell r="D28"/>
          <cell r="E28" t="str">
            <v>X</v>
          </cell>
          <cell r="F28" t="str">
            <v>X</v>
          </cell>
          <cell r="G28"/>
          <cell r="H28"/>
          <cell r="I28"/>
          <cell r="J28"/>
          <cell r="K28"/>
          <cell r="L28"/>
          <cell r="M28" t="str">
            <v>X</v>
          </cell>
          <cell r="N28" t="str">
            <v>X</v>
          </cell>
          <cell r="O28"/>
          <cell r="P28"/>
          <cell r="Q28"/>
          <cell r="R28"/>
          <cell r="S28"/>
          <cell r="T28"/>
          <cell r="U28" t="str">
            <v>X</v>
          </cell>
          <cell r="V28" t="str">
            <v>X</v>
          </cell>
          <cell r="W28"/>
          <cell r="X28"/>
          <cell r="Y28"/>
          <cell r="Z28"/>
          <cell r="AA28"/>
          <cell r="AB28"/>
          <cell r="AC28" t="str">
            <v>X</v>
          </cell>
          <cell r="AD28" t="str">
            <v>X</v>
          </cell>
          <cell r="AE28"/>
          <cell r="AF28"/>
        </row>
        <row r="29">
          <cell r="B29"/>
          <cell r="C29"/>
          <cell r="D29"/>
          <cell r="E29" t="str">
            <v>X</v>
          </cell>
          <cell r="F29" t="str">
            <v>X</v>
          </cell>
          <cell r="G29"/>
          <cell r="H29"/>
          <cell r="I29"/>
          <cell r="J29"/>
          <cell r="K29"/>
          <cell r="L29"/>
          <cell r="M29" t="str">
            <v>X</v>
          </cell>
          <cell r="N29" t="str">
            <v>X</v>
          </cell>
          <cell r="O29"/>
          <cell r="P29"/>
          <cell r="Q29"/>
          <cell r="R29"/>
          <cell r="S29"/>
          <cell r="T29"/>
          <cell r="U29" t="str">
            <v>X</v>
          </cell>
          <cell r="V29" t="str">
            <v>X</v>
          </cell>
          <cell r="W29"/>
          <cell r="X29"/>
          <cell r="Y29"/>
          <cell r="Z29"/>
          <cell r="AA29"/>
          <cell r="AB29"/>
          <cell r="AC29" t="str">
            <v>X</v>
          </cell>
          <cell r="AD29" t="str">
            <v>X</v>
          </cell>
          <cell r="AE29"/>
          <cell r="AF29"/>
        </row>
        <row r="30">
          <cell r="B30"/>
          <cell r="C30"/>
          <cell r="D30"/>
          <cell r="E30" t="str">
            <v>X</v>
          </cell>
          <cell r="F30" t="str">
            <v>X</v>
          </cell>
          <cell r="G30"/>
          <cell r="H30"/>
          <cell r="I30"/>
          <cell r="J30"/>
          <cell r="K30"/>
          <cell r="L30"/>
          <cell r="M30" t="str">
            <v>X</v>
          </cell>
          <cell r="N30" t="str">
            <v>X</v>
          </cell>
          <cell r="O30"/>
          <cell r="P30"/>
          <cell r="Q30"/>
          <cell r="R30"/>
          <cell r="S30"/>
          <cell r="T30"/>
          <cell r="U30" t="str">
            <v>X</v>
          </cell>
          <cell r="V30" t="str">
            <v>X</v>
          </cell>
          <cell r="W30"/>
          <cell r="X30"/>
          <cell r="Y30"/>
          <cell r="Z30"/>
          <cell r="AA30"/>
          <cell r="AB30"/>
          <cell r="AC30" t="str">
            <v>X</v>
          </cell>
          <cell r="AD30" t="str">
            <v>X</v>
          </cell>
          <cell r="AE30"/>
          <cell r="AF30"/>
        </row>
        <row r="31">
          <cell r="B31"/>
          <cell r="C31"/>
          <cell r="D31"/>
          <cell r="E31" t="str">
            <v>X</v>
          </cell>
          <cell r="F31" t="str">
            <v>X</v>
          </cell>
          <cell r="G31"/>
          <cell r="H31"/>
          <cell r="I31"/>
          <cell r="J31"/>
          <cell r="K31"/>
          <cell r="L31"/>
          <cell r="M31" t="str">
            <v>X</v>
          </cell>
          <cell r="N31" t="str">
            <v>X</v>
          </cell>
          <cell r="O31"/>
          <cell r="P31"/>
          <cell r="Q31"/>
          <cell r="R31"/>
          <cell r="S31"/>
          <cell r="T31"/>
          <cell r="U31" t="str">
            <v>X</v>
          </cell>
          <cell r="V31" t="str">
            <v>X</v>
          </cell>
          <cell r="W31"/>
          <cell r="X31"/>
          <cell r="Y31"/>
          <cell r="Z31"/>
          <cell r="AA31"/>
          <cell r="AB31"/>
          <cell r="AC31" t="str">
            <v>X</v>
          </cell>
          <cell r="AD31" t="str">
            <v>X</v>
          </cell>
          <cell r="AE31"/>
          <cell r="AF31"/>
        </row>
        <row r="32">
          <cell r="B32"/>
          <cell r="C32"/>
          <cell r="D32"/>
          <cell r="E32" t="str">
            <v>X</v>
          </cell>
          <cell r="F32" t="str">
            <v>X</v>
          </cell>
          <cell r="G32"/>
          <cell r="H32"/>
          <cell r="I32"/>
          <cell r="J32"/>
          <cell r="K32"/>
          <cell r="L32"/>
          <cell r="M32" t="str">
            <v>X</v>
          </cell>
          <cell r="N32" t="str">
            <v>X</v>
          </cell>
          <cell r="O32"/>
          <cell r="P32"/>
          <cell r="Q32"/>
          <cell r="R32"/>
          <cell r="S32"/>
          <cell r="T32"/>
          <cell r="U32" t="str">
            <v>X</v>
          </cell>
          <cell r="V32" t="str">
            <v>X</v>
          </cell>
          <cell r="W32"/>
          <cell r="X32"/>
          <cell r="Y32"/>
          <cell r="Z32"/>
          <cell r="AA32"/>
          <cell r="AB32"/>
          <cell r="AC32" t="str">
            <v>X</v>
          </cell>
          <cell r="AD32" t="str">
            <v>X</v>
          </cell>
          <cell r="AE32"/>
          <cell r="AF32"/>
        </row>
        <row r="37">
          <cell r="B37"/>
          <cell r="C37"/>
          <cell r="D37"/>
          <cell r="E37"/>
          <cell r="F37" t="str">
            <v>X</v>
          </cell>
          <cell r="G37" t="str">
            <v>X</v>
          </cell>
          <cell r="H37"/>
          <cell r="I37"/>
          <cell r="J37"/>
          <cell r="K37"/>
          <cell r="L37"/>
          <cell r="M37"/>
          <cell r="N37" t="str">
            <v>X</v>
          </cell>
          <cell r="O37" t="str">
            <v>X</v>
          </cell>
          <cell r="P37"/>
          <cell r="Q37"/>
          <cell r="R37"/>
          <cell r="S37"/>
          <cell r="T37"/>
          <cell r="U37"/>
          <cell r="V37" t="str">
            <v>X</v>
          </cell>
          <cell r="W37" t="str">
            <v>X</v>
          </cell>
          <cell r="X37"/>
          <cell r="Y37"/>
          <cell r="Z37"/>
          <cell r="AA37"/>
          <cell r="AB37"/>
          <cell r="AC37"/>
        </row>
        <row r="38">
          <cell r="B38"/>
          <cell r="C38"/>
          <cell r="D38"/>
          <cell r="E38"/>
          <cell r="F38" t="str">
            <v>X</v>
          </cell>
          <cell r="G38" t="str">
            <v>X</v>
          </cell>
          <cell r="H38"/>
          <cell r="I38"/>
          <cell r="J38"/>
          <cell r="K38"/>
          <cell r="L38"/>
          <cell r="M38"/>
          <cell r="N38" t="str">
            <v>X</v>
          </cell>
          <cell r="O38" t="str">
            <v>X</v>
          </cell>
          <cell r="P38"/>
          <cell r="Q38"/>
          <cell r="R38"/>
          <cell r="S38"/>
          <cell r="T38"/>
          <cell r="U38"/>
          <cell r="V38" t="str">
            <v>X</v>
          </cell>
          <cell r="W38" t="str">
            <v>X</v>
          </cell>
          <cell r="X38"/>
          <cell r="Y38"/>
          <cell r="Z38"/>
          <cell r="AA38"/>
          <cell r="AB38"/>
          <cell r="AC38"/>
        </row>
        <row r="39">
          <cell r="B39"/>
          <cell r="C39"/>
          <cell r="D39"/>
          <cell r="E39"/>
          <cell r="F39" t="str">
            <v>X</v>
          </cell>
          <cell r="G39" t="str">
            <v>X</v>
          </cell>
          <cell r="H39"/>
          <cell r="I39"/>
          <cell r="J39"/>
          <cell r="K39"/>
          <cell r="L39"/>
          <cell r="M39"/>
          <cell r="N39" t="str">
            <v>X</v>
          </cell>
          <cell r="O39" t="str">
            <v>X</v>
          </cell>
          <cell r="P39"/>
          <cell r="Q39"/>
          <cell r="R39"/>
          <cell r="S39"/>
          <cell r="T39"/>
          <cell r="U39"/>
          <cell r="V39" t="str">
            <v>X</v>
          </cell>
          <cell r="W39" t="str">
            <v>X</v>
          </cell>
          <cell r="X39"/>
          <cell r="Y39"/>
          <cell r="Z39"/>
          <cell r="AA39"/>
          <cell r="AB39"/>
          <cell r="AC39"/>
        </row>
        <row r="40">
          <cell r="B40"/>
          <cell r="C40"/>
          <cell r="D40"/>
          <cell r="E40"/>
          <cell r="F40" t="str">
            <v>X</v>
          </cell>
          <cell r="G40" t="str">
            <v>X</v>
          </cell>
          <cell r="H40"/>
          <cell r="I40"/>
          <cell r="J40"/>
          <cell r="K40"/>
          <cell r="L40"/>
          <cell r="M40"/>
          <cell r="N40" t="str">
            <v>X</v>
          </cell>
          <cell r="O40" t="str">
            <v>X</v>
          </cell>
          <cell r="P40"/>
          <cell r="Q40"/>
          <cell r="R40"/>
          <cell r="S40"/>
          <cell r="T40"/>
          <cell r="U40"/>
          <cell r="V40" t="str">
            <v>X</v>
          </cell>
          <cell r="W40" t="str">
            <v>X</v>
          </cell>
          <cell r="X40"/>
          <cell r="Y40"/>
          <cell r="Z40"/>
          <cell r="AA40"/>
          <cell r="AB40"/>
          <cell r="AC40"/>
        </row>
        <row r="41">
          <cell r="B41"/>
          <cell r="C41"/>
          <cell r="D41"/>
          <cell r="E41"/>
          <cell r="F41" t="str">
            <v>X</v>
          </cell>
          <cell r="G41" t="str">
            <v>X</v>
          </cell>
          <cell r="H41"/>
          <cell r="I41"/>
          <cell r="J41"/>
          <cell r="K41"/>
          <cell r="L41"/>
          <cell r="M41"/>
          <cell r="N41" t="str">
            <v>X</v>
          </cell>
          <cell r="O41" t="str">
            <v>X</v>
          </cell>
          <cell r="P41"/>
          <cell r="Q41"/>
          <cell r="R41"/>
          <cell r="S41"/>
          <cell r="T41"/>
          <cell r="U41"/>
          <cell r="V41" t="str">
            <v>X</v>
          </cell>
          <cell r="W41" t="str">
            <v>X</v>
          </cell>
          <cell r="X41"/>
          <cell r="Y41"/>
          <cell r="Z41"/>
          <cell r="AA41"/>
          <cell r="AB41"/>
          <cell r="AC41"/>
        </row>
        <row r="42">
          <cell r="B42"/>
          <cell r="C42"/>
          <cell r="D42"/>
          <cell r="E42"/>
          <cell r="F42" t="str">
            <v>X</v>
          </cell>
          <cell r="G42" t="str">
            <v>X</v>
          </cell>
          <cell r="H42"/>
          <cell r="I42"/>
          <cell r="J42"/>
          <cell r="K42"/>
          <cell r="L42"/>
          <cell r="M42"/>
          <cell r="N42" t="str">
            <v>X</v>
          </cell>
          <cell r="O42" t="str">
            <v>X</v>
          </cell>
          <cell r="P42"/>
          <cell r="Q42"/>
          <cell r="R42"/>
          <cell r="S42"/>
          <cell r="T42"/>
          <cell r="U42"/>
          <cell r="V42" t="str">
            <v>X</v>
          </cell>
          <cell r="W42" t="str">
            <v>X</v>
          </cell>
          <cell r="X42"/>
          <cell r="Y42"/>
          <cell r="Z42"/>
          <cell r="AA42"/>
          <cell r="AB42"/>
          <cell r="AC42"/>
        </row>
        <row r="43">
          <cell r="B43"/>
          <cell r="C43"/>
          <cell r="D43"/>
          <cell r="E43"/>
          <cell r="F43" t="str">
            <v>X</v>
          </cell>
          <cell r="G43" t="str">
            <v>X</v>
          </cell>
          <cell r="H43"/>
          <cell r="I43"/>
          <cell r="J43"/>
          <cell r="K43"/>
          <cell r="L43"/>
          <cell r="M43"/>
          <cell r="N43" t="str">
            <v>X</v>
          </cell>
          <cell r="O43" t="str">
            <v>X</v>
          </cell>
          <cell r="P43"/>
          <cell r="Q43"/>
          <cell r="R43"/>
          <cell r="S43"/>
          <cell r="T43"/>
          <cell r="U43"/>
          <cell r="V43" t="str">
            <v>X</v>
          </cell>
          <cell r="W43" t="str">
            <v>X</v>
          </cell>
          <cell r="X43"/>
          <cell r="Y43"/>
          <cell r="Z43"/>
          <cell r="AA43"/>
          <cell r="AB43"/>
          <cell r="AC43"/>
        </row>
        <row r="48">
          <cell r="B48"/>
          <cell r="C48"/>
          <cell r="D48"/>
          <cell r="E48"/>
          <cell r="F48"/>
          <cell r="G48"/>
          <cell r="H48" t="str">
            <v>X</v>
          </cell>
          <cell r="I48" t="str">
            <v>X</v>
          </cell>
          <cell r="J48"/>
          <cell r="K48"/>
          <cell r="L48"/>
          <cell r="M48"/>
          <cell r="N48"/>
          <cell r="O48"/>
          <cell r="P48" t="str">
            <v>X</v>
          </cell>
          <cell r="Q48" t="str">
            <v>X</v>
          </cell>
          <cell r="R48"/>
          <cell r="S48"/>
          <cell r="T48"/>
          <cell r="U48"/>
          <cell r="V48"/>
          <cell r="W48"/>
          <cell r="X48" t="str">
            <v>X</v>
          </cell>
          <cell r="Y48" t="str">
            <v>X</v>
          </cell>
          <cell r="Z48"/>
          <cell r="AA48"/>
          <cell r="AB48"/>
          <cell r="AC48"/>
          <cell r="AD48"/>
          <cell r="AE48"/>
        </row>
        <row r="49">
          <cell r="B49"/>
          <cell r="C49"/>
          <cell r="D49"/>
          <cell r="E49"/>
          <cell r="F49"/>
          <cell r="G49"/>
          <cell r="H49" t="str">
            <v>X</v>
          </cell>
          <cell r="I49" t="str">
            <v>X</v>
          </cell>
          <cell r="J49"/>
          <cell r="K49"/>
          <cell r="L49"/>
          <cell r="M49"/>
          <cell r="N49"/>
          <cell r="O49"/>
          <cell r="P49" t="str">
            <v>X</v>
          </cell>
          <cell r="Q49" t="str">
            <v>X</v>
          </cell>
          <cell r="R49"/>
          <cell r="S49"/>
          <cell r="T49"/>
          <cell r="U49"/>
          <cell r="V49"/>
          <cell r="W49"/>
          <cell r="X49" t="str">
            <v>X</v>
          </cell>
          <cell r="Y49" t="str">
            <v>X</v>
          </cell>
          <cell r="Z49"/>
          <cell r="AA49"/>
          <cell r="AB49"/>
          <cell r="AC49"/>
          <cell r="AD49"/>
          <cell r="AE49"/>
        </row>
        <row r="50">
          <cell r="B50"/>
          <cell r="C50"/>
          <cell r="D50"/>
          <cell r="E50"/>
          <cell r="F50"/>
          <cell r="G50"/>
          <cell r="H50" t="str">
            <v>X</v>
          </cell>
          <cell r="I50" t="str">
            <v>X</v>
          </cell>
          <cell r="J50"/>
          <cell r="K50"/>
          <cell r="L50"/>
          <cell r="M50"/>
          <cell r="N50"/>
          <cell r="O50"/>
          <cell r="P50" t="str">
            <v>X</v>
          </cell>
          <cell r="Q50" t="str">
            <v>X</v>
          </cell>
          <cell r="R50"/>
          <cell r="S50"/>
          <cell r="T50"/>
          <cell r="U50"/>
          <cell r="V50"/>
          <cell r="W50"/>
          <cell r="X50" t="str">
            <v>X</v>
          </cell>
          <cell r="Y50" t="str">
            <v>X</v>
          </cell>
          <cell r="Z50"/>
          <cell r="AA50"/>
          <cell r="AB50"/>
          <cell r="AC50"/>
          <cell r="AD50"/>
          <cell r="AE50"/>
        </row>
        <row r="51">
          <cell r="B51"/>
          <cell r="C51"/>
          <cell r="D51"/>
          <cell r="E51"/>
          <cell r="F51"/>
          <cell r="G51"/>
          <cell r="H51" t="str">
            <v>X</v>
          </cell>
          <cell r="I51" t="str">
            <v>X</v>
          </cell>
          <cell r="J51"/>
          <cell r="K51"/>
          <cell r="L51"/>
          <cell r="M51"/>
          <cell r="N51"/>
          <cell r="O51"/>
          <cell r="P51" t="str">
            <v>X</v>
          </cell>
          <cell r="Q51" t="str">
            <v>X</v>
          </cell>
          <cell r="R51"/>
          <cell r="S51"/>
          <cell r="T51"/>
          <cell r="U51"/>
          <cell r="V51"/>
          <cell r="W51"/>
          <cell r="X51" t="str">
            <v>X</v>
          </cell>
          <cell r="Y51" t="str">
            <v>X</v>
          </cell>
          <cell r="Z51"/>
          <cell r="AA51"/>
          <cell r="AB51"/>
          <cell r="AC51"/>
          <cell r="AD51"/>
          <cell r="AE51"/>
        </row>
        <row r="52">
          <cell r="B52"/>
          <cell r="C52"/>
          <cell r="D52"/>
          <cell r="E52"/>
          <cell r="F52"/>
          <cell r="G52"/>
          <cell r="H52" t="str">
            <v>X</v>
          </cell>
          <cell r="I52" t="str">
            <v>X</v>
          </cell>
          <cell r="J52"/>
          <cell r="K52"/>
          <cell r="L52"/>
          <cell r="M52"/>
          <cell r="N52"/>
          <cell r="O52"/>
          <cell r="P52" t="str">
            <v>X</v>
          </cell>
          <cell r="Q52" t="str">
            <v>X</v>
          </cell>
          <cell r="R52"/>
          <cell r="S52"/>
          <cell r="T52"/>
          <cell r="U52"/>
          <cell r="V52"/>
          <cell r="W52"/>
          <cell r="X52" t="str">
            <v>X</v>
          </cell>
          <cell r="Y52" t="str">
            <v>X</v>
          </cell>
          <cell r="Z52"/>
          <cell r="AA52"/>
          <cell r="AB52"/>
          <cell r="AC52"/>
          <cell r="AD52"/>
          <cell r="AE52"/>
        </row>
        <row r="53">
          <cell r="B53"/>
          <cell r="C53"/>
          <cell r="D53"/>
          <cell r="E53"/>
          <cell r="F53"/>
          <cell r="G53"/>
          <cell r="H53" t="str">
            <v>X</v>
          </cell>
          <cell r="I53" t="str">
            <v>X</v>
          </cell>
          <cell r="J53"/>
          <cell r="K53"/>
          <cell r="L53"/>
          <cell r="M53"/>
          <cell r="N53"/>
          <cell r="O53"/>
          <cell r="P53" t="str">
            <v>X</v>
          </cell>
          <cell r="Q53" t="str">
            <v>X</v>
          </cell>
          <cell r="R53"/>
          <cell r="S53"/>
          <cell r="T53"/>
          <cell r="U53"/>
          <cell r="V53"/>
          <cell r="W53"/>
          <cell r="X53" t="str">
            <v>X</v>
          </cell>
          <cell r="Y53" t="str">
            <v>X</v>
          </cell>
          <cell r="Z53"/>
          <cell r="AA53"/>
          <cell r="AB53"/>
          <cell r="AC53"/>
          <cell r="AD53"/>
          <cell r="AE53"/>
        </row>
        <row r="54">
          <cell r="B54"/>
          <cell r="C54"/>
          <cell r="D54"/>
          <cell r="E54"/>
          <cell r="F54"/>
          <cell r="G54"/>
          <cell r="H54" t="str">
            <v>X</v>
          </cell>
          <cell r="I54" t="str">
            <v>X</v>
          </cell>
          <cell r="J54"/>
          <cell r="K54"/>
          <cell r="L54"/>
          <cell r="M54"/>
          <cell r="N54"/>
          <cell r="O54"/>
          <cell r="P54" t="str">
            <v>X</v>
          </cell>
          <cell r="Q54" t="str">
            <v>X</v>
          </cell>
          <cell r="R54"/>
          <cell r="S54"/>
          <cell r="T54"/>
          <cell r="U54"/>
          <cell r="V54"/>
          <cell r="W54"/>
          <cell r="X54" t="str">
            <v>X</v>
          </cell>
          <cell r="Y54" t="str">
            <v>X</v>
          </cell>
          <cell r="Z54"/>
          <cell r="AA54"/>
          <cell r="AB54"/>
          <cell r="AC54"/>
          <cell r="AD54"/>
          <cell r="AE54"/>
        </row>
        <row r="59">
          <cell r="C59"/>
          <cell r="D59"/>
          <cell r="E59"/>
          <cell r="F59"/>
          <cell r="G59"/>
          <cell r="H59"/>
          <cell r="I59" t="str">
            <v>X</v>
          </cell>
          <cell r="J59" t="str">
            <v>X</v>
          </cell>
          <cell r="K59"/>
          <cell r="L59"/>
          <cell r="M59"/>
          <cell r="N59"/>
          <cell r="O59"/>
          <cell r="P59"/>
          <cell r="Q59" t="str">
            <v>X</v>
          </cell>
          <cell r="R59" t="str">
            <v>X</v>
          </cell>
          <cell r="S59"/>
          <cell r="T59"/>
          <cell r="U59"/>
          <cell r="V59"/>
          <cell r="W59"/>
          <cell r="X59"/>
          <cell r="Y59" t="str">
            <v>X</v>
          </cell>
          <cell r="Z59" t="str">
            <v>X</v>
          </cell>
          <cell r="AA59"/>
          <cell r="AB59"/>
          <cell r="AC59"/>
          <cell r="AD59"/>
          <cell r="AE59"/>
        </row>
        <row r="60">
          <cell r="C60"/>
          <cell r="D60"/>
          <cell r="E60"/>
          <cell r="F60"/>
          <cell r="G60"/>
          <cell r="H60"/>
          <cell r="I60" t="str">
            <v>X</v>
          </cell>
          <cell r="J60" t="str">
            <v>X</v>
          </cell>
          <cell r="K60"/>
          <cell r="L60"/>
          <cell r="M60"/>
          <cell r="N60"/>
          <cell r="O60"/>
          <cell r="P60"/>
          <cell r="Q60" t="str">
            <v>X</v>
          </cell>
          <cell r="R60" t="str">
            <v>X</v>
          </cell>
          <cell r="S60"/>
          <cell r="T60"/>
          <cell r="U60"/>
          <cell r="V60"/>
          <cell r="W60"/>
          <cell r="X60"/>
          <cell r="Y60" t="str">
            <v>X</v>
          </cell>
          <cell r="Z60" t="str">
            <v>X</v>
          </cell>
          <cell r="AA60"/>
          <cell r="AB60"/>
          <cell r="AC60"/>
          <cell r="AD60"/>
          <cell r="AE60"/>
        </row>
        <row r="61">
          <cell r="C61"/>
          <cell r="D61"/>
          <cell r="E61"/>
          <cell r="F61"/>
          <cell r="G61"/>
          <cell r="H61"/>
          <cell r="I61" t="str">
            <v>X</v>
          </cell>
          <cell r="J61" t="str">
            <v>X</v>
          </cell>
          <cell r="K61"/>
          <cell r="L61"/>
          <cell r="M61"/>
          <cell r="N61"/>
          <cell r="O61"/>
          <cell r="P61"/>
          <cell r="Q61" t="str">
            <v>X</v>
          </cell>
          <cell r="R61" t="str">
            <v>X</v>
          </cell>
          <cell r="S61"/>
          <cell r="T61"/>
          <cell r="U61"/>
          <cell r="V61"/>
          <cell r="W61"/>
          <cell r="X61"/>
          <cell r="Y61" t="str">
            <v>X</v>
          </cell>
          <cell r="Z61" t="str">
            <v>X</v>
          </cell>
          <cell r="AA61"/>
          <cell r="AB61"/>
          <cell r="AC61"/>
          <cell r="AD61"/>
          <cell r="AE61"/>
        </row>
        <row r="62">
          <cell r="C62"/>
          <cell r="D62"/>
          <cell r="E62"/>
          <cell r="F62"/>
          <cell r="G62"/>
          <cell r="H62"/>
          <cell r="I62" t="str">
            <v>X</v>
          </cell>
          <cell r="J62" t="str">
            <v>X</v>
          </cell>
          <cell r="K62"/>
          <cell r="L62"/>
          <cell r="M62"/>
          <cell r="N62"/>
          <cell r="O62"/>
          <cell r="P62"/>
          <cell r="Q62" t="str">
            <v>X</v>
          </cell>
          <cell r="R62" t="str">
            <v>X</v>
          </cell>
          <cell r="S62"/>
          <cell r="T62"/>
          <cell r="U62"/>
          <cell r="V62"/>
          <cell r="W62"/>
          <cell r="X62"/>
          <cell r="Y62" t="str">
            <v>X</v>
          </cell>
          <cell r="Z62" t="str">
            <v>X</v>
          </cell>
          <cell r="AA62"/>
          <cell r="AB62"/>
          <cell r="AC62"/>
          <cell r="AD62"/>
          <cell r="AE62"/>
        </row>
        <row r="63">
          <cell r="C63"/>
          <cell r="D63"/>
          <cell r="E63"/>
          <cell r="F63"/>
          <cell r="G63"/>
          <cell r="H63"/>
          <cell r="I63" t="str">
            <v>X</v>
          </cell>
          <cell r="J63" t="str">
            <v>X</v>
          </cell>
          <cell r="K63"/>
          <cell r="L63"/>
          <cell r="M63"/>
          <cell r="N63"/>
          <cell r="O63"/>
          <cell r="P63"/>
          <cell r="Q63" t="str">
            <v>X</v>
          </cell>
          <cell r="R63" t="str">
            <v>X</v>
          </cell>
          <cell r="S63"/>
          <cell r="T63"/>
          <cell r="U63"/>
          <cell r="V63"/>
          <cell r="W63"/>
          <cell r="X63"/>
          <cell r="Y63" t="str">
            <v>X</v>
          </cell>
          <cell r="Z63" t="str">
            <v>X</v>
          </cell>
          <cell r="AA63"/>
          <cell r="AB63"/>
          <cell r="AC63"/>
          <cell r="AD63"/>
          <cell r="AE63"/>
        </row>
        <row r="64">
          <cell r="C64"/>
          <cell r="D64"/>
          <cell r="E64"/>
          <cell r="F64"/>
          <cell r="G64"/>
          <cell r="H64"/>
          <cell r="I64" t="str">
            <v>X</v>
          </cell>
          <cell r="J64" t="str">
            <v>X</v>
          </cell>
          <cell r="K64"/>
          <cell r="L64"/>
          <cell r="M64"/>
          <cell r="N64"/>
          <cell r="O64"/>
          <cell r="P64"/>
          <cell r="Q64" t="str">
            <v>X</v>
          </cell>
          <cell r="R64" t="str">
            <v>X</v>
          </cell>
          <cell r="S64"/>
          <cell r="T64"/>
          <cell r="U64"/>
          <cell r="V64"/>
          <cell r="W64"/>
          <cell r="X64"/>
          <cell r="Y64" t="str">
            <v>X</v>
          </cell>
          <cell r="Z64" t="str">
            <v>X</v>
          </cell>
          <cell r="AA64"/>
          <cell r="AB64"/>
          <cell r="AC64"/>
          <cell r="AD64"/>
          <cell r="AE64"/>
        </row>
        <row r="65">
          <cell r="C65"/>
          <cell r="D65"/>
          <cell r="E65"/>
          <cell r="F65"/>
          <cell r="G65"/>
          <cell r="H65"/>
          <cell r="I65" t="str">
            <v>X</v>
          </cell>
          <cell r="J65" t="str">
            <v>X</v>
          </cell>
          <cell r="K65"/>
          <cell r="L65"/>
          <cell r="M65"/>
          <cell r="N65"/>
          <cell r="O65"/>
          <cell r="P65"/>
          <cell r="Q65" t="str">
            <v>X</v>
          </cell>
          <cell r="R65" t="str">
            <v>X</v>
          </cell>
          <cell r="S65"/>
          <cell r="T65"/>
          <cell r="U65"/>
          <cell r="V65"/>
          <cell r="W65"/>
          <cell r="X65"/>
          <cell r="Y65" t="str">
            <v>X</v>
          </cell>
          <cell r="Z65" t="str">
            <v>X</v>
          </cell>
          <cell r="AA65"/>
          <cell r="AB65"/>
          <cell r="AC65"/>
          <cell r="AD65"/>
          <cell r="AE65"/>
        </row>
        <row r="70">
          <cell r="B70"/>
          <cell r="C70" t="str">
            <v>X</v>
          </cell>
          <cell r="D70" t="str">
            <v>X</v>
          </cell>
          <cell r="E70"/>
          <cell r="F70"/>
          <cell r="G70"/>
          <cell r="H70"/>
          <cell r="I70"/>
          <cell r="J70"/>
          <cell r="K70" t="str">
            <v>X</v>
          </cell>
          <cell r="L70" t="str">
            <v>X</v>
          </cell>
          <cell r="M70"/>
          <cell r="N70"/>
          <cell r="O70"/>
          <cell r="P70"/>
          <cell r="Q70"/>
          <cell r="R70"/>
          <cell r="S70" t="str">
            <v>X</v>
          </cell>
          <cell r="T70" t="str">
            <v>X</v>
          </cell>
          <cell r="U70"/>
          <cell r="V70"/>
          <cell r="W70"/>
          <cell r="X70"/>
          <cell r="Y70"/>
          <cell r="Z70"/>
          <cell r="AA70" t="str">
            <v>X</v>
          </cell>
          <cell r="AB70" t="str">
            <v>X</v>
          </cell>
          <cell r="AC70"/>
          <cell r="AD70"/>
          <cell r="AE70"/>
          <cell r="AF70"/>
        </row>
        <row r="71">
          <cell r="B71"/>
          <cell r="C71" t="str">
            <v>X</v>
          </cell>
          <cell r="D71" t="str">
            <v>X</v>
          </cell>
          <cell r="E71"/>
          <cell r="F71"/>
          <cell r="G71"/>
          <cell r="H71"/>
          <cell r="I71"/>
          <cell r="J71"/>
          <cell r="K71" t="str">
            <v>X</v>
          </cell>
          <cell r="L71" t="str">
            <v>X</v>
          </cell>
          <cell r="M71"/>
          <cell r="N71"/>
          <cell r="O71"/>
          <cell r="P71"/>
          <cell r="Q71"/>
          <cell r="R71"/>
          <cell r="S71" t="str">
            <v>X</v>
          </cell>
          <cell r="T71" t="str">
            <v>X</v>
          </cell>
          <cell r="U71"/>
          <cell r="V71"/>
          <cell r="W71"/>
          <cell r="X71"/>
          <cell r="Y71"/>
          <cell r="Z71"/>
          <cell r="AA71" t="str">
            <v>X</v>
          </cell>
          <cell r="AB71" t="str">
            <v>X</v>
          </cell>
          <cell r="AC71"/>
          <cell r="AD71"/>
          <cell r="AE71"/>
          <cell r="AF71"/>
        </row>
        <row r="72">
          <cell r="B72"/>
          <cell r="C72" t="str">
            <v>X</v>
          </cell>
          <cell r="D72" t="str">
            <v>X</v>
          </cell>
          <cell r="E72"/>
          <cell r="F72"/>
          <cell r="G72"/>
          <cell r="H72"/>
          <cell r="I72"/>
          <cell r="J72"/>
          <cell r="K72" t="str">
            <v>X</v>
          </cell>
          <cell r="L72" t="str">
            <v>X</v>
          </cell>
          <cell r="M72"/>
          <cell r="N72"/>
          <cell r="O72"/>
          <cell r="P72"/>
          <cell r="Q72"/>
          <cell r="R72"/>
          <cell r="S72" t="str">
            <v>X</v>
          </cell>
          <cell r="T72" t="str">
            <v>X</v>
          </cell>
          <cell r="U72"/>
          <cell r="V72"/>
          <cell r="W72"/>
          <cell r="X72"/>
          <cell r="Y72"/>
          <cell r="Z72"/>
          <cell r="AA72" t="str">
            <v>X</v>
          </cell>
          <cell r="AB72" t="str">
            <v>X</v>
          </cell>
          <cell r="AC72"/>
          <cell r="AD72"/>
          <cell r="AE72"/>
          <cell r="AF72"/>
        </row>
        <row r="73">
          <cell r="B73"/>
          <cell r="C73" t="str">
            <v>X</v>
          </cell>
          <cell r="D73" t="str">
            <v>X</v>
          </cell>
          <cell r="E73"/>
          <cell r="F73"/>
          <cell r="G73"/>
          <cell r="H73"/>
          <cell r="I73"/>
          <cell r="J73"/>
          <cell r="K73" t="str">
            <v>X</v>
          </cell>
          <cell r="L73" t="str">
            <v>X</v>
          </cell>
          <cell r="M73"/>
          <cell r="N73"/>
          <cell r="O73"/>
          <cell r="P73"/>
          <cell r="Q73"/>
          <cell r="R73"/>
          <cell r="S73" t="str">
            <v>X</v>
          </cell>
          <cell r="T73" t="str">
            <v>X</v>
          </cell>
          <cell r="U73"/>
          <cell r="V73"/>
          <cell r="W73"/>
          <cell r="X73"/>
          <cell r="Y73"/>
          <cell r="Z73"/>
          <cell r="AA73" t="str">
            <v>X</v>
          </cell>
          <cell r="AB73" t="str">
            <v>X</v>
          </cell>
          <cell r="AC73"/>
          <cell r="AD73"/>
          <cell r="AE73"/>
          <cell r="AF73"/>
        </row>
        <row r="74">
          <cell r="B74"/>
          <cell r="C74" t="str">
            <v>X</v>
          </cell>
          <cell r="D74" t="str">
            <v>X</v>
          </cell>
          <cell r="E74"/>
          <cell r="F74"/>
          <cell r="G74"/>
          <cell r="H74"/>
          <cell r="I74"/>
          <cell r="J74"/>
          <cell r="K74" t="str">
            <v>X</v>
          </cell>
          <cell r="L74" t="str">
            <v>X</v>
          </cell>
          <cell r="M74"/>
          <cell r="N74"/>
          <cell r="O74"/>
          <cell r="P74"/>
          <cell r="Q74"/>
          <cell r="R74"/>
          <cell r="S74" t="str">
            <v>X</v>
          </cell>
          <cell r="T74" t="str">
            <v>X</v>
          </cell>
          <cell r="U74"/>
          <cell r="V74"/>
          <cell r="W74"/>
          <cell r="X74"/>
          <cell r="Y74"/>
          <cell r="Z74"/>
          <cell r="AA74" t="str">
            <v>X</v>
          </cell>
          <cell r="AB74" t="str">
            <v>X</v>
          </cell>
          <cell r="AC74"/>
          <cell r="AD74"/>
          <cell r="AE74"/>
          <cell r="AF74"/>
        </row>
        <row r="75">
          <cell r="B75"/>
          <cell r="C75" t="str">
            <v>X</v>
          </cell>
          <cell r="D75" t="str">
            <v>X</v>
          </cell>
          <cell r="E75"/>
          <cell r="F75"/>
          <cell r="G75"/>
          <cell r="H75"/>
          <cell r="I75"/>
          <cell r="J75"/>
          <cell r="K75" t="str">
            <v>X</v>
          </cell>
          <cell r="L75" t="str">
            <v>X</v>
          </cell>
          <cell r="M75"/>
          <cell r="N75"/>
          <cell r="O75"/>
          <cell r="P75"/>
          <cell r="Q75"/>
          <cell r="R75"/>
          <cell r="S75" t="str">
            <v>X</v>
          </cell>
          <cell r="T75" t="str">
            <v>X</v>
          </cell>
          <cell r="U75"/>
          <cell r="V75"/>
          <cell r="W75"/>
          <cell r="X75"/>
          <cell r="Y75"/>
          <cell r="Z75"/>
          <cell r="AA75" t="str">
            <v>X</v>
          </cell>
          <cell r="AB75" t="str">
            <v>X</v>
          </cell>
          <cell r="AC75"/>
          <cell r="AD75"/>
          <cell r="AE75"/>
          <cell r="AF75"/>
        </row>
        <row r="76">
          <cell r="B76"/>
          <cell r="C76" t="str">
            <v>X</v>
          </cell>
          <cell r="D76" t="str">
            <v>X</v>
          </cell>
          <cell r="E76"/>
          <cell r="F76"/>
          <cell r="G76"/>
          <cell r="H76"/>
          <cell r="I76"/>
          <cell r="J76"/>
          <cell r="K76" t="str">
            <v>X</v>
          </cell>
          <cell r="L76" t="str">
            <v>X</v>
          </cell>
          <cell r="M76"/>
          <cell r="N76"/>
          <cell r="O76"/>
          <cell r="P76"/>
          <cell r="Q76"/>
          <cell r="R76"/>
          <cell r="S76" t="str">
            <v>X</v>
          </cell>
          <cell r="T76" t="str">
            <v>X</v>
          </cell>
          <cell r="U76"/>
          <cell r="V76"/>
          <cell r="W76"/>
          <cell r="X76"/>
          <cell r="Y76"/>
          <cell r="Z76"/>
          <cell r="AA76" t="str">
            <v>X</v>
          </cell>
          <cell r="AB76" t="str">
            <v>X</v>
          </cell>
          <cell r="AC76"/>
          <cell r="AD76"/>
          <cell r="AE76"/>
          <cell r="AF76"/>
        </row>
        <row r="81">
          <cell r="B81"/>
          <cell r="C81"/>
          <cell r="D81" t="str">
            <v>X</v>
          </cell>
          <cell r="E81" t="str">
            <v>X</v>
          </cell>
          <cell r="F81"/>
          <cell r="G81"/>
          <cell r="H81"/>
          <cell r="I81"/>
          <cell r="J81"/>
          <cell r="K81"/>
          <cell r="L81" t="str">
            <v>X</v>
          </cell>
          <cell r="M81" t="str">
            <v>X</v>
          </cell>
          <cell r="N81"/>
          <cell r="O81"/>
          <cell r="P81"/>
          <cell r="Q81"/>
          <cell r="R81"/>
          <cell r="S81"/>
          <cell r="T81" t="str">
            <v>X</v>
          </cell>
          <cell r="U81" t="str">
            <v>X</v>
          </cell>
          <cell r="V81"/>
          <cell r="W81"/>
          <cell r="X81"/>
          <cell r="Y81"/>
          <cell r="Z81"/>
          <cell r="AA81"/>
          <cell r="AB81" t="str">
            <v>X</v>
          </cell>
          <cell r="AC81" t="str">
            <v>X</v>
          </cell>
          <cell r="AD81"/>
          <cell r="AE81"/>
          <cell r="AF81"/>
        </row>
        <row r="82">
          <cell r="B82"/>
          <cell r="C82"/>
          <cell r="D82" t="str">
            <v>X</v>
          </cell>
          <cell r="E82" t="str">
            <v>X</v>
          </cell>
          <cell r="F82"/>
          <cell r="G82"/>
          <cell r="H82"/>
          <cell r="I82"/>
          <cell r="J82"/>
          <cell r="K82"/>
          <cell r="L82" t="str">
            <v>X</v>
          </cell>
          <cell r="M82" t="str">
            <v>X</v>
          </cell>
          <cell r="N82"/>
          <cell r="O82"/>
          <cell r="P82"/>
          <cell r="Q82"/>
          <cell r="R82"/>
          <cell r="S82"/>
          <cell r="T82" t="str">
            <v>X</v>
          </cell>
          <cell r="U82" t="str">
            <v>X</v>
          </cell>
          <cell r="V82"/>
          <cell r="W82"/>
          <cell r="X82"/>
          <cell r="Y82"/>
          <cell r="Z82"/>
          <cell r="AA82"/>
          <cell r="AB82" t="str">
            <v>X</v>
          </cell>
          <cell r="AC82" t="str">
            <v>X</v>
          </cell>
          <cell r="AD82"/>
          <cell r="AE82"/>
          <cell r="AF82"/>
        </row>
        <row r="83">
          <cell r="B83"/>
          <cell r="C83"/>
          <cell r="D83" t="str">
            <v>X</v>
          </cell>
          <cell r="E83" t="str">
            <v>X</v>
          </cell>
          <cell r="F83"/>
          <cell r="G83"/>
          <cell r="H83"/>
          <cell r="I83"/>
          <cell r="J83"/>
          <cell r="K83"/>
          <cell r="L83" t="str">
            <v>X</v>
          </cell>
          <cell r="M83" t="str">
            <v>X</v>
          </cell>
          <cell r="N83"/>
          <cell r="O83"/>
          <cell r="P83"/>
          <cell r="Q83"/>
          <cell r="R83"/>
          <cell r="S83"/>
          <cell r="T83" t="str">
            <v>X</v>
          </cell>
          <cell r="U83" t="str">
            <v>X</v>
          </cell>
          <cell r="V83"/>
          <cell r="W83"/>
          <cell r="X83"/>
          <cell r="Y83"/>
          <cell r="Z83"/>
          <cell r="AA83"/>
          <cell r="AB83" t="str">
            <v>X</v>
          </cell>
          <cell r="AC83" t="str">
            <v>X</v>
          </cell>
          <cell r="AD83"/>
          <cell r="AE83"/>
          <cell r="AF83"/>
        </row>
        <row r="84">
          <cell r="B84"/>
          <cell r="C84"/>
          <cell r="D84" t="str">
            <v>X</v>
          </cell>
          <cell r="E84" t="str">
            <v>X</v>
          </cell>
          <cell r="F84"/>
          <cell r="G84"/>
          <cell r="H84"/>
          <cell r="I84"/>
          <cell r="J84"/>
          <cell r="K84"/>
          <cell r="L84" t="str">
            <v>X</v>
          </cell>
          <cell r="M84" t="str">
            <v>X</v>
          </cell>
          <cell r="N84"/>
          <cell r="O84"/>
          <cell r="P84"/>
          <cell r="Q84"/>
          <cell r="R84"/>
          <cell r="S84"/>
          <cell r="T84" t="str">
            <v>X</v>
          </cell>
          <cell r="U84" t="str">
            <v>X</v>
          </cell>
          <cell r="V84"/>
          <cell r="W84"/>
          <cell r="X84"/>
          <cell r="Y84"/>
          <cell r="Z84"/>
          <cell r="AA84"/>
          <cell r="AB84" t="str">
            <v>X</v>
          </cell>
          <cell r="AC84" t="str">
            <v>X</v>
          </cell>
          <cell r="AD84"/>
          <cell r="AE84"/>
          <cell r="AF84"/>
        </row>
        <row r="85">
          <cell r="B85"/>
          <cell r="C85"/>
          <cell r="D85" t="str">
            <v>X</v>
          </cell>
          <cell r="E85" t="str">
            <v>X</v>
          </cell>
          <cell r="F85"/>
          <cell r="G85"/>
          <cell r="H85"/>
          <cell r="I85"/>
          <cell r="J85"/>
          <cell r="K85"/>
          <cell r="L85" t="str">
            <v>X</v>
          </cell>
          <cell r="M85" t="str">
            <v>X</v>
          </cell>
          <cell r="N85"/>
          <cell r="O85"/>
          <cell r="P85"/>
          <cell r="Q85"/>
          <cell r="R85"/>
          <cell r="S85"/>
          <cell r="T85" t="str">
            <v>X</v>
          </cell>
          <cell r="U85" t="str">
            <v>X</v>
          </cell>
          <cell r="V85"/>
          <cell r="W85"/>
          <cell r="X85"/>
          <cell r="Y85"/>
          <cell r="Z85"/>
          <cell r="AA85"/>
          <cell r="AB85" t="str">
            <v>X</v>
          </cell>
          <cell r="AC85" t="str">
            <v>X</v>
          </cell>
          <cell r="AD85"/>
          <cell r="AE85"/>
          <cell r="AF85"/>
        </row>
        <row r="86">
          <cell r="B86"/>
          <cell r="C86"/>
          <cell r="D86" t="str">
            <v>X</v>
          </cell>
          <cell r="E86" t="str">
            <v>X</v>
          </cell>
          <cell r="F86"/>
          <cell r="G86"/>
          <cell r="H86"/>
          <cell r="I86"/>
          <cell r="J86"/>
          <cell r="K86"/>
          <cell r="L86" t="str">
            <v>X</v>
          </cell>
          <cell r="M86" t="str">
            <v>X</v>
          </cell>
          <cell r="N86"/>
          <cell r="O86"/>
          <cell r="P86"/>
          <cell r="Q86"/>
          <cell r="R86"/>
          <cell r="S86"/>
          <cell r="T86" t="str">
            <v>X</v>
          </cell>
          <cell r="U86" t="str">
            <v>X</v>
          </cell>
          <cell r="V86"/>
          <cell r="W86"/>
          <cell r="X86"/>
          <cell r="Y86"/>
          <cell r="Z86"/>
          <cell r="AA86"/>
          <cell r="AB86" t="str">
            <v>X</v>
          </cell>
          <cell r="AC86" t="str">
            <v>X</v>
          </cell>
          <cell r="AD86"/>
          <cell r="AE86"/>
          <cell r="AF86"/>
        </row>
        <row r="87">
          <cell r="B87"/>
          <cell r="C87"/>
          <cell r="D87" t="str">
            <v>X</v>
          </cell>
          <cell r="E87" t="str">
            <v>X</v>
          </cell>
          <cell r="F87"/>
          <cell r="G87"/>
          <cell r="H87"/>
          <cell r="I87"/>
          <cell r="J87"/>
          <cell r="K87"/>
          <cell r="L87" t="str">
            <v>X</v>
          </cell>
          <cell r="M87" t="str">
            <v>X</v>
          </cell>
          <cell r="N87"/>
          <cell r="O87"/>
          <cell r="P87"/>
          <cell r="Q87"/>
          <cell r="R87"/>
          <cell r="S87"/>
          <cell r="T87" t="str">
            <v>X</v>
          </cell>
          <cell r="U87" t="str">
            <v>X</v>
          </cell>
          <cell r="V87"/>
          <cell r="W87"/>
          <cell r="X87"/>
          <cell r="Y87"/>
          <cell r="Z87"/>
          <cell r="AA87"/>
          <cell r="AB87" t="str">
            <v>X</v>
          </cell>
          <cell r="AC87" t="str">
            <v>X</v>
          </cell>
          <cell r="AD87"/>
          <cell r="AE87"/>
          <cell r="AF87"/>
        </row>
        <row r="92">
          <cell r="B92"/>
          <cell r="C92"/>
          <cell r="D92"/>
          <cell r="E92" t="str">
            <v>X</v>
          </cell>
          <cell r="F92" t="str">
            <v>X</v>
          </cell>
          <cell r="G92"/>
          <cell r="H92"/>
          <cell r="I92"/>
          <cell r="J92"/>
          <cell r="K92"/>
          <cell r="L92"/>
          <cell r="M92" t="str">
            <v>X</v>
          </cell>
          <cell r="N92" t="str">
            <v>X</v>
          </cell>
          <cell r="O92"/>
          <cell r="P92"/>
          <cell r="Q92"/>
          <cell r="R92"/>
          <cell r="S92"/>
          <cell r="T92"/>
          <cell r="U92" t="str">
            <v>X</v>
          </cell>
          <cell r="V92" t="str">
            <v>X</v>
          </cell>
          <cell r="W92"/>
          <cell r="X92"/>
          <cell r="Y92"/>
          <cell r="Z92"/>
          <cell r="AA92"/>
          <cell r="AB92"/>
          <cell r="AC92" t="str">
            <v>X</v>
          </cell>
          <cell r="AD92" t="str">
            <v>X</v>
          </cell>
          <cell r="AE92"/>
        </row>
        <row r="93">
          <cell r="B93"/>
          <cell r="C93"/>
          <cell r="D93"/>
          <cell r="E93" t="str">
            <v>X</v>
          </cell>
          <cell r="F93" t="str">
            <v>X</v>
          </cell>
          <cell r="G93"/>
          <cell r="H93"/>
          <cell r="I93"/>
          <cell r="J93"/>
          <cell r="K93"/>
          <cell r="L93"/>
          <cell r="M93" t="str">
            <v>X</v>
          </cell>
          <cell r="N93" t="str">
            <v>X</v>
          </cell>
          <cell r="O93"/>
          <cell r="P93"/>
          <cell r="Q93"/>
          <cell r="R93"/>
          <cell r="S93"/>
          <cell r="T93"/>
          <cell r="U93" t="str">
            <v>X</v>
          </cell>
          <cell r="V93" t="str">
            <v>X</v>
          </cell>
          <cell r="W93"/>
          <cell r="X93"/>
          <cell r="Y93"/>
          <cell r="Z93"/>
          <cell r="AA93"/>
          <cell r="AB93"/>
          <cell r="AC93" t="str">
            <v>X</v>
          </cell>
          <cell r="AD93" t="str">
            <v>X</v>
          </cell>
          <cell r="AE93"/>
        </row>
        <row r="94">
          <cell r="B94"/>
          <cell r="C94"/>
          <cell r="D94"/>
          <cell r="E94" t="str">
            <v>X</v>
          </cell>
          <cell r="F94" t="str">
            <v>X</v>
          </cell>
          <cell r="G94"/>
          <cell r="H94"/>
          <cell r="I94"/>
          <cell r="J94"/>
          <cell r="K94"/>
          <cell r="L94"/>
          <cell r="M94" t="str">
            <v>X</v>
          </cell>
          <cell r="N94" t="str">
            <v>X</v>
          </cell>
          <cell r="O94"/>
          <cell r="P94"/>
          <cell r="Q94"/>
          <cell r="R94"/>
          <cell r="S94"/>
          <cell r="T94"/>
          <cell r="U94" t="str">
            <v>X</v>
          </cell>
          <cell r="V94" t="str">
            <v>X</v>
          </cell>
          <cell r="W94"/>
          <cell r="X94"/>
          <cell r="Y94"/>
          <cell r="Z94"/>
          <cell r="AA94"/>
          <cell r="AB94"/>
          <cell r="AC94" t="str">
            <v>X</v>
          </cell>
          <cell r="AD94" t="str">
            <v>X</v>
          </cell>
          <cell r="AE94"/>
        </row>
        <row r="95">
          <cell r="B95"/>
          <cell r="C95"/>
          <cell r="D95"/>
          <cell r="E95" t="str">
            <v>X</v>
          </cell>
          <cell r="F95" t="str">
            <v>X</v>
          </cell>
          <cell r="G95"/>
          <cell r="H95"/>
          <cell r="I95"/>
          <cell r="J95"/>
          <cell r="K95"/>
          <cell r="L95"/>
          <cell r="M95" t="str">
            <v>X</v>
          </cell>
          <cell r="N95" t="str">
            <v>X</v>
          </cell>
          <cell r="O95"/>
          <cell r="P95"/>
          <cell r="Q95"/>
          <cell r="R95"/>
          <cell r="S95"/>
          <cell r="T95"/>
          <cell r="U95" t="str">
            <v>X</v>
          </cell>
          <cell r="V95" t="str">
            <v>X</v>
          </cell>
          <cell r="W95"/>
          <cell r="X95"/>
          <cell r="Y95"/>
          <cell r="Z95"/>
          <cell r="AA95"/>
          <cell r="AB95"/>
          <cell r="AC95" t="str">
            <v>X</v>
          </cell>
          <cell r="AD95" t="str">
            <v>X</v>
          </cell>
          <cell r="AE95"/>
        </row>
        <row r="96">
          <cell r="B96"/>
          <cell r="C96"/>
          <cell r="D96"/>
          <cell r="E96" t="str">
            <v>X</v>
          </cell>
          <cell r="F96" t="str">
            <v>X</v>
          </cell>
          <cell r="G96"/>
          <cell r="H96"/>
          <cell r="I96"/>
          <cell r="J96"/>
          <cell r="K96"/>
          <cell r="L96"/>
          <cell r="M96" t="str">
            <v>X</v>
          </cell>
          <cell r="N96" t="str">
            <v>X</v>
          </cell>
          <cell r="O96"/>
          <cell r="P96"/>
          <cell r="Q96"/>
          <cell r="R96"/>
          <cell r="S96"/>
          <cell r="T96"/>
          <cell r="U96" t="str">
            <v>X</v>
          </cell>
          <cell r="V96" t="str">
            <v>X</v>
          </cell>
          <cell r="W96"/>
          <cell r="X96"/>
          <cell r="Y96"/>
          <cell r="Z96"/>
          <cell r="AA96"/>
          <cell r="AB96"/>
          <cell r="AC96" t="str">
            <v>X</v>
          </cell>
          <cell r="AD96" t="str">
            <v>X</v>
          </cell>
          <cell r="AE96"/>
        </row>
        <row r="97">
          <cell r="B97"/>
          <cell r="C97"/>
          <cell r="D97"/>
          <cell r="E97" t="str">
            <v>X</v>
          </cell>
          <cell r="F97" t="str">
            <v>X</v>
          </cell>
          <cell r="G97"/>
          <cell r="H97"/>
          <cell r="I97"/>
          <cell r="J97"/>
          <cell r="K97"/>
          <cell r="L97"/>
          <cell r="M97" t="str">
            <v>X</v>
          </cell>
          <cell r="N97" t="str">
            <v>X</v>
          </cell>
          <cell r="O97"/>
          <cell r="P97"/>
          <cell r="Q97"/>
          <cell r="R97"/>
          <cell r="S97"/>
          <cell r="T97"/>
          <cell r="U97" t="str">
            <v>X</v>
          </cell>
          <cell r="V97" t="str">
            <v>X</v>
          </cell>
          <cell r="W97"/>
          <cell r="X97"/>
          <cell r="Y97"/>
          <cell r="Z97"/>
          <cell r="AA97"/>
          <cell r="AB97"/>
          <cell r="AC97" t="str">
            <v>X</v>
          </cell>
          <cell r="AD97" t="str">
            <v>X</v>
          </cell>
          <cell r="AE97"/>
        </row>
        <row r="98">
          <cell r="B98"/>
          <cell r="C98"/>
          <cell r="D98"/>
          <cell r="E98" t="str">
            <v>X</v>
          </cell>
          <cell r="F98" t="str">
            <v>X</v>
          </cell>
          <cell r="G98"/>
          <cell r="H98"/>
          <cell r="I98"/>
          <cell r="J98"/>
          <cell r="K98"/>
          <cell r="L98"/>
          <cell r="M98" t="str">
            <v>X</v>
          </cell>
          <cell r="N98" t="str">
            <v>X</v>
          </cell>
          <cell r="O98"/>
          <cell r="P98"/>
          <cell r="Q98"/>
          <cell r="R98"/>
          <cell r="S98"/>
          <cell r="T98"/>
          <cell r="U98" t="str">
            <v>X</v>
          </cell>
          <cell r="V98" t="str">
            <v>X</v>
          </cell>
          <cell r="W98"/>
          <cell r="X98"/>
          <cell r="Y98"/>
          <cell r="Z98"/>
          <cell r="AA98"/>
          <cell r="AB98"/>
          <cell r="AC98" t="str">
            <v>X</v>
          </cell>
          <cell r="AD98" t="str">
            <v>X</v>
          </cell>
          <cell r="AE98"/>
        </row>
        <row r="103">
          <cell r="B103"/>
          <cell r="C103"/>
          <cell r="D103"/>
          <cell r="E103"/>
          <cell r="F103"/>
          <cell r="G103" t="str">
            <v>X</v>
          </cell>
          <cell r="H103" t="str">
            <v>X</v>
          </cell>
          <cell r="I103"/>
          <cell r="J103"/>
          <cell r="K103"/>
          <cell r="L103"/>
          <cell r="M103"/>
          <cell r="N103"/>
          <cell r="O103" t="str">
            <v>X</v>
          </cell>
          <cell r="P103" t="str">
            <v>X</v>
          </cell>
          <cell r="Q103"/>
          <cell r="R103"/>
          <cell r="S103"/>
          <cell r="T103"/>
          <cell r="U103"/>
          <cell r="V103"/>
          <cell r="W103" t="str">
            <v>X</v>
          </cell>
          <cell r="X103" t="str">
            <v>X</v>
          </cell>
          <cell r="Y103"/>
          <cell r="Z103"/>
          <cell r="AA103"/>
          <cell r="AB103"/>
          <cell r="AC103"/>
          <cell r="AD103"/>
        </row>
        <row r="104">
          <cell r="B104"/>
          <cell r="C104"/>
          <cell r="D104"/>
          <cell r="E104"/>
          <cell r="F104"/>
          <cell r="G104" t="str">
            <v>X</v>
          </cell>
          <cell r="H104" t="str">
            <v>X</v>
          </cell>
          <cell r="I104"/>
          <cell r="J104"/>
          <cell r="K104"/>
          <cell r="L104"/>
          <cell r="M104"/>
          <cell r="N104"/>
          <cell r="O104" t="str">
            <v>X</v>
          </cell>
          <cell r="P104" t="str">
            <v>X</v>
          </cell>
          <cell r="Q104"/>
          <cell r="R104"/>
          <cell r="S104"/>
          <cell r="T104"/>
          <cell r="U104"/>
          <cell r="V104"/>
          <cell r="W104" t="str">
            <v>X</v>
          </cell>
          <cell r="X104" t="str">
            <v>X</v>
          </cell>
          <cell r="Y104"/>
          <cell r="Z104"/>
          <cell r="AA104"/>
          <cell r="AB104"/>
          <cell r="AC104"/>
          <cell r="AD104"/>
        </row>
        <row r="105">
          <cell r="B105"/>
          <cell r="C105"/>
          <cell r="D105"/>
          <cell r="E105"/>
          <cell r="F105"/>
          <cell r="G105" t="str">
            <v>X</v>
          </cell>
          <cell r="H105" t="str">
            <v>X</v>
          </cell>
          <cell r="I105"/>
          <cell r="J105"/>
          <cell r="K105"/>
          <cell r="L105"/>
          <cell r="M105"/>
          <cell r="N105"/>
          <cell r="O105" t="str">
            <v>X</v>
          </cell>
          <cell r="P105" t="str">
            <v>X</v>
          </cell>
          <cell r="Q105"/>
          <cell r="R105"/>
          <cell r="S105"/>
          <cell r="T105"/>
          <cell r="U105"/>
          <cell r="V105"/>
          <cell r="W105" t="str">
            <v>X</v>
          </cell>
          <cell r="X105" t="str">
            <v>X</v>
          </cell>
          <cell r="Y105"/>
          <cell r="Z105"/>
          <cell r="AA105"/>
          <cell r="AB105"/>
          <cell r="AC105"/>
          <cell r="AD105"/>
        </row>
        <row r="106">
          <cell r="B106"/>
          <cell r="C106"/>
          <cell r="D106"/>
          <cell r="E106"/>
          <cell r="F106"/>
          <cell r="G106" t="str">
            <v>X</v>
          </cell>
          <cell r="H106" t="str">
            <v>X</v>
          </cell>
          <cell r="I106"/>
          <cell r="J106"/>
          <cell r="K106"/>
          <cell r="L106"/>
          <cell r="M106"/>
          <cell r="N106"/>
          <cell r="O106" t="str">
            <v>X</v>
          </cell>
          <cell r="P106" t="str">
            <v>X</v>
          </cell>
          <cell r="Q106"/>
          <cell r="R106"/>
          <cell r="S106"/>
          <cell r="T106"/>
          <cell r="U106"/>
          <cell r="V106"/>
          <cell r="W106" t="str">
            <v>X</v>
          </cell>
          <cell r="X106" t="str">
            <v>X</v>
          </cell>
          <cell r="Y106"/>
          <cell r="Z106"/>
          <cell r="AA106"/>
          <cell r="AB106"/>
          <cell r="AC106"/>
          <cell r="AD106"/>
        </row>
        <row r="107">
          <cell r="B107"/>
          <cell r="C107"/>
          <cell r="D107"/>
          <cell r="E107"/>
          <cell r="F107"/>
          <cell r="G107" t="str">
            <v>X</v>
          </cell>
          <cell r="H107" t="str">
            <v>X</v>
          </cell>
          <cell r="I107"/>
          <cell r="J107"/>
          <cell r="K107"/>
          <cell r="L107"/>
          <cell r="M107"/>
          <cell r="N107"/>
          <cell r="O107" t="str">
            <v>X</v>
          </cell>
          <cell r="P107" t="str">
            <v>X</v>
          </cell>
          <cell r="Q107"/>
          <cell r="R107"/>
          <cell r="S107"/>
          <cell r="T107"/>
          <cell r="U107"/>
          <cell r="V107"/>
          <cell r="W107" t="str">
            <v>X</v>
          </cell>
          <cell r="X107" t="str">
            <v>X</v>
          </cell>
          <cell r="Y107"/>
          <cell r="Z107"/>
          <cell r="AA107"/>
          <cell r="AB107"/>
          <cell r="AC107"/>
          <cell r="AD107"/>
        </row>
        <row r="108">
          <cell r="B108"/>
          <cell r="C108"/>
          <cell r="D108"/>
          <cell r="E108"/>
          <cell r="F108"/>
          <cell r="G108" t="str">
            <v>X</v>
          </cell>
          <cell r="H108" t="str">
            <v>X</v>
          </cell>
          <cell r="I108"/>
          <cell r="J108"/>
          <cell r="K108"/>
          <cell r="L108"/>
          <cell r="M108"/>
          <cell r="N108"/>
          <cell r="O108" t="str">
            <v>X</v>
          </cell>
          <cell r="P108" t="str">
            <v>X</v>
          </cell>
          <cell r="Q108"/>
          <cell r="R108"/>
          <cell r="S108"/>
          <cell r="T108"/>
          <cell r="U108"/>
          <cell r="V108"/>
          <cell r="W108" t="str">
            <v>X</v>
          </cell>
          <cell r="X108" t="str">
            <v>X</v>
          </cell>
          <cell r="Y108"/>
          <cell r="Z108"/>
          <cell r="AA108"/>
          <cell r="AB108"/>
          <cell r="AC108"/>
          <cell r="AD108"/>
        </row>
        <row r="109">
          <cell r="B109"/>
          <cell r="C109"/>
          <cell r="D109"/>
          <cell r="E109"/>
          <cell r="F109"/>
          <cell r="G109" t="str">
            <v>X</v>
          </cell>
          <cell r="H109" t="str">
            <v>X</v>
          </cell>
          <cell r="I109"/>
          <cell r="J109"/>
          <cell r="K109"/>
          <cell r="L109"/>
          <cell r="M109"/>
          <cell r="N109"/>
          <cell r="O109" t="str">
            <v>X</v>
          </cell>
          <cell r="P109" t="str">
            <v>X</v>
          </cell>
          <cell r="Q109"/>
          <cell r="R109"/>
          <cell r="S109"/>
          <cell r="T109"/>
          <cell r="U109"/>
          <cell r="V109"/>
          <cell r="W109" t="str">
            <v>X</v>
          </cell>
          <cell r="X109" t="str">
            <v>X</v>
          </cell>
          <cell r="Y109"/>
          <cell r="Z109"/>
          <cell r="AA109"/>
          <cell r="AB109"/>
          <cell r="AC109"/>
          <cell r="AD109"/>
        </row>
        <row r="114">
          <cell r="B114"/>
          <cell r="C114"/>
          <cell r="D114"/>
          <cell r="E114"/>
          <cell r="F114"/>
          <cell r="G114"/>
          <cell r="H114" t="str">
            <v>X</v>
          </cell>
          <cell r="I114" t="str">
            <v>X</v>
          </cell>
          <cell r="J114"/>
          <cell r="K114"/>
          <cell r="L114"/>
          <cell r="M114"/>
          <cell r="N114"/>
          <cell r="O114"/>
          <cell r="P114" t="str">
            <v>X</v>
          </cell>
          <cell r="Q114" t="str">
            <v>X</v>
          </cell>
          <cell r="R114"/>
          <cell r="S114"/>
          <cell r="T114"/>
          <cell r="U114"/>
          <cell r="V114"/>
          <cell r="W114"/>
          <cell r="X114" t="str">
            <v>X</v>
          </cell>
          <cell r="Y114" t="str">
            <v>X</v>
          </cell>
          <cell r="Z114"/>
          <cell r="AA114"/>
          <cell r="AB114"/>
          <cell r="AC114"/>
          <cell r="AD114"/>
          <cell r="AE114"/>
        </row>
        <row r="115">
          <cell r="B115"/>
          <cell r="C115"/>
          <cell r="D115"/>
          <cell r="E115"/>
          <cell r="F115"/>
          <cell r="G115"/>
          <cell r="H115" t="str">
            <v>X</v>
          </cell>
          <cell r="I115" t="str">
            <v>X</v>
          </cell>
          <cell r="J115"/>
          <cell r="K115"/>
          <cell r="L115"/>
          <cell r="M115"/>
          <cell r="N115"/>
          <cell r="O115"/>
          <cell r="P115" t="str">
            <v>X</v>
          </cell>
          <cell r="Q115" t="str">
            <v>X</v>
          </cell>
          <cell r="R115"/>
          <cell r="S115"/>
          <cell r="T115"/>
          <cell r="U115"/>
          <cell r="V115"/>
          <cell r="W115"/>
          <cell r="X115" t="str">
            <v>X</v>
          </cell>
          <cell r="Y115" t="str">
            <v>X</v>
          </cell>
          <cell r="Z115"/>
          <cell r="AA115"/>
          <cell r="AB115"/>
          <cell r="AC115"/>
          <cell r="AD115"/>
          <cell r="AE115"/>
        </row>
        <row r="116">
          <cell r="B116"/>
          <cell r="C116"/>
          <cell r="D116"/>
          <cell r="E116"/>
          <cell r="F116"/>
          <cell r="G116"/>
          <cell r="H116" t="str">
            <v>X</v>
          </cell>
          <cell r="I116" t="str">
            <v>X</v>
          </cell>
          <cell r="J116"/>
          <cell r="K116"/>
          <cell r="L116"/>
          <cell r="M116"/>
          <cell r="N116"/>
          <cell r="O116"/>
          <cell r="P116" t="str">
            <v>X</v>
          </cell>
          <cell r="Q116" t="str">
            <v>X</v>
          </cell>
          <cell r="R116"/>
          <cell r="S116"/>
          <cell r="T116"/>
          <cell r="U116"/>
          <cell r="V116"/>
          <cell r="W116"/>
          <cell r="X116" t="str">
            <v>X</v>
          </cell>
          <cell r="Y116" t="str">
            <v>X</v>
          </cell>
          <cell r="Z116"/>
          <cell r="AA116"/>
          <cell r="AB116"/>
          <cell r="AC116"/>
          <cell r="AD116"/>
          <cell r="AE116"/>
        </row>
        <row r="117">
          <cell r="B117"/>
          <cell r="C117"/>
          <cell r="D117"/>
          <cell r="E117"/>
          <cell r="F117"/>
          <cell r="G117"/>
          <cell r="H117" t="str">
            <v>X</v>
          </cell>
          <cell r="I117" t="str">
            <v>X</v>
          </cell>
          <cell r="J117"/>
          <cell r="K117"/>
          <cell r="L117"/>
          <cell r="M117"/>
          <cell r="N117"/>
          <cell r="O117"/>
          <cell r="P117" t="str">
            <v>X</v>
          </cell>
          <cell r="Q117" t="str">
            <v>X</v>
          </cell>
          <cell r="R117"/>
          <cell r="S117"/>
          <cell r="T117"/>
          <cell r="U117"/>
          <cell r="V117"/>
          <cell r="W117"/>
          <cell r="X117" t="str">
            <v>X</v>
          </cell>
          <cell r="Y117" t="str">
            <v>X</v>
          </cell>
          <cell r="Z117"/>
          <cell r="AA117"/>
          <cell r="AB117"/>
          <cell r="AC117"/>
          <cell r="AD117"/>
          <cell r="AE117"/>
        </row>
        <row r="118">
          <cell r="B118"/>
          <cell r="C118"/>
          <cell r="D118"/>
          <cell r="E118"/>
          <cell r="F118"/>
          <cell r="G118"/>
          <cell r="H118" t="str">
            <v>X</v>
          </cell>
          <cell r="I118" t="str">
            <v>X</v>
          </cell>
          <cell r="J118"/>
          <cell r="K118"/>
          <cell r="L118"/>
          <cell r="M118"/>
          <cell r="N118"/>
          <cell r="O118"/>
          <cell r="P118" t="str">
            <v>X</v>
          </cell>
          <cell r="Q118" t="str">
            <v>X</v>
          </cell>
          <cell r="R118"/>
          <cell r="S118"/>
          <cell r="T118"/>
          <cell r="U118"/>
          <cell r="V118"/>
          <cell r="W118"/>
          <cell r="X118" t="str">
            <v>X</v>
          </cell>
          <cell r="Y118" t="str">
            <v>X</v>
          </cell>
          <cell r="Z118"/>
          <cell r="AA118"/>
          <cell r="AB118"/>
          <cell r="AC118"/>
          <cell r="AD118"/>
          <cell r="AE118"/>
        </row>
        <row r="119">
          <cell r="B119"/>
          <cell r="C119"/>
          <cell r="D119"/>
          <cell r="E119"/>
          <cell r="F119"/>
          <cell r="G119"/>
          <cell r="H119" t="str">
            <v>X</v>
          </cell>
          <cell r="I119" t="str">
            <v>X</v>
          </cell>
          <cell r="J119"/>
          <cell r="K119"/>
          <cell r="L119"/>
          <cell r="M119"/>
          <cell r="N119"/>
          <cell r="O119"/>
          <cell r="P119" t="str">
            <v>X</v>
          </cell>
          <cell r="Q119" t="str">
            <v>X</v>
          </cell>
          <cell r="R119"/>
          <cell r="S119"/>
          <cell r="T119"/>
          <cell r="U119"/>
          <cell r="V119"/>
          <cell r="W119"/>
          <cell r="X119" t="str">
            <v>X</v>
          </cell>
          <cell r="Y119" t="str">
            <v>X</v>
          </cell>
          <cell r="Z119"/>
          <cell r="AA119"/>
          <cell r="AB119"/>
          <cell r="AC119"/>
          <cell r="AD119"/>
          <cell r="AE119"/>
        </row>
        <row r="120">
          <cell r="B120"/>
          <cell r="C120"/>
          <cell r="D120"/>
          <cell r="E120"/>
          <cell r="F120"/>
          <cell r="G120"/>
          <cell r="H120" t="str">
            <v>X</v>
          </cell>
          <cell r="I120" t="str">
            <v>X</v>
          </cell>
          <cell r="J120"/>
          <cell r="K120"/>
          <cell r="L120"/>
          <cell r="M120"/>
          <cell r="N120"/>
          <cell r="O120"/>
          <cell r="P120" t="str">
            <v>X</v>
          </cell>
          <cell r="Q120" t="str">
            <v>X</v>
          </cell>
          <cell r="R120"/>
          <cell r="S120"/>
          <cell r="T120"/>
          <cell r="U120"/>
          <cell r="V120"/>
          <cell r="W120"/>
          <cell r="X120" t="str">
            <v>X</v>
          </cell>
          <cell r="Y120" t="str">
            <v>X</v>
          </cell>
          <cell r="Z120"/>
          <cell r="AA120"/>
          <cell r="AB120"/>
          <cell r="AC120"/>
          <cell r="AD120"/>
          <cell r="AE120"/>
        </row>
        <row r="125">
          <cell r="D125"/>
          <cell r="E125"/>
          <cell r="F125"/>
          <cell r="G125"/>
          <cell r="H125"/>
          <cell r="I125"/>
          <cell r="J125" t="str">
            <v>X</v>
          </cell>
          <cell r="K125" t="str">
            <v>X</v>
          </cell>
          <cell r="L125"/>
          <cell r="M125"/>
          <cell r="N125"/>
          <cell r="O125"/>
          <cell r="P125"/>
          <cell r="Q125"/>
          <cell r="R125" t="str">
            <v>X</v>
          </cell>
          <cell r="S125" t="str">
            <v>X</v>
          </cell>
          <cell r="T125"/>
          <cell r="U125"/>
          <cell r="V125"/>
          <cell r="W125"/>
          <cell r="X125"/>
          <cell r="Y125"/>
          <cell r="Z125" t="str">
            <v>X</v>
          </cell>
          <cell r="AA125" t="str">
            <v>X</v>
          </cell>
          <cell r="AB125"/>
          <cell r="AC125"/>
          <cell r="AD125"/>
          <cell r="AE125"/>
          <cell r="AF125"/>
        </row>
        <row r="126">
          <cell r="D126"/>
          <cell r="E126"/>
          <cell r="F126"/>
          <cell r="G126"/>
          <cell r="H126"/>
          <cell r="I126"/>
          <cell r="J126" t="str">
            <v>X</v>
          </cell>
          <cell r="K126" t="str">
            <v>X</v>
          </cell>
          <cell r="L126"/>
          <cell r="M126"/>
          <cell r="N126"/>
          <cell r="O126"/>
          <cell r="P126"/>
          <cell r="Q126"/>
          <cell r="R126" t="str">
            <v>X</v>
          </cell>
          <cell r="S126" t="str">
            <v>X</v>
          </cell>
          <cell r="T126"/>
          <cell r="U126"/>
          <cell r="V126"/>
          <cell r="W126"/>
          <cell r="X126"/>
          <cell r="Y126"/>
          <cell r="Z126" t="str">
            <v>X</v>
          </cell>
          <cell r="AA126" t="str">
            <v>X</v>
          </cell>
          <cell r="AB126"/>
          <cell r="AC126"/>
          <cell r="AD126"/>
          <cell r="AE126"/>
          <cell r="AF126"/>
        </row>
        <row r="127">
          <cell r="D127"/>
          <cell r="E127"/>
          <cell r="F127"/>
          <cell r="G127"/>
          <cell r="H127"/>
          <cell r="I127"/>
          <cell r="J127" t="str">
            <v>X</v>
          </cell>
          <cell r="K127" t="str">
            <v>X</v>
          </cell>
          <cell r="L127"/>
          <cell r="M127"/>
          <cell r="N127"/>
          <cell r="O127"/>
          <cell r="P127"/>
          <cell r="Q127"/>
          <cell r="R127" t="str">
            <v>X</v>
          </cell>
          <cell r="S127" t="str">
            <v>X</v>
          </cell>
          <cell r="T127"/>
          <cell r="U127"/>
          <cell r="V127"/>
          <cell r="W127"/>
          <cell r="X127"/>
          <cell r="Y127"/>
          <cell r="Z127" t="str">
            <v>X</v>
          </cell>
          <cell r="AA127" t="str">
            <v>X</v>
          </cell>
          <cell r="AB127"/>
          <cell r="AC127"/>
          <cell r="AD127"/>
          <cell r="AE127"/>
          <cell r="AF127"/>
        </row>
        <row r="128">
          <cell r="D128"/>
          <cell r="E128"/>
          <cell r="F128"/>
          <cell r="G128"/>
          <cell r="H128"/>
          <cell r="I128"/>
          <cell r="J128" t="str">
            <v>X</v>
          </cell>
          <cell r="K128" t="str">
            <v>X</v>
          </cell>
          <cell r="L128"/>
          <cell r="M128"/>
          <cell r="N128"/>
          <cell r="O128"/>
          <cell r="P128"/>
          <cell r="Q128"/>
          <cell r="R128" t="str">
            <v>X</v>
          </cell>
          <cell r="S128" t="str">
            <v>X</v>
          </cell>
          <cell r="T128"/>
          <cell r="U128"/>
          <cell r="V128"/>
          <cell r="W128"/>
          <cell r="X128"/>
          <cell r="Y128"/>
          <cell r="Z128" t="str">
            <v>X</v>
          </cell>
          <cell r="AA128" t="str">
            <v>X</v>
          </cell>
          <cell r="AB128"/>
          <cell r="AC128"/>
          <cell r="AD128"/>
          <cell r="AE128"/>
          <cell r="AF128"/>
        </row>
        <row r="129">
          <cell r="D129"/>
          <cell r="E129"/>
          <cell r="F129"/>
          <cell r="G129"/>
          <cell r="H129"/>
          <cell r="I129"/>
          <cell r="J129" t="str">
            <v>X</v>
          </cell>
          <cell r="K129" t="str">
            <v>X</v>
          </cell>
          <cell r="L129"/>
          <cell r="M129"/>
          <cell r="N129"/>
          <cell r="O129"/>
          <cell r="P129"/>
          <cell r="Q129"/>
          <cell r="R129" t="str">
            <v>X</v>
          </cell>
          <cell r="S129" t="str">
            <v>X</v>
          </cell>
          <cell r="T129"/>
          <cell r="U129"/>
          <cell r="V129"/>
          <cell r="W129"/>
          <cell r="X129"/>
          <cell r="Y129"/>
          <cell r="Z129" t="str">
            <v>X</v>
          </cell>
          <cell r="AA129" t="str">
            <v>X</v>
          </cell>
          <cell r="AB129"/>
          <cell r="AC129"/>
          <cell r="AD129"/>
          <cell r="AE129"/>
          <cell r="AF129"/>
        </row>
        <row r="130">
          <cell r="D130"/>
          <cell r="E130"/>
          <cell r="F130"/>
          <cell r="G130"/>
          <cell r="H130"/>
          <cell r="I130"/>
          <cell r="J130" t="str">
            <v>X</v>
          </cell>
          <cell r="K130" t="str">
            <v>X</v>
          </cell>
          <cell r="L130"/>
          <cell r="M130"/>
          <cell r="N130"/>
          <cell r="O130"/>
          <cell r="P130"/>
          <cell r="Q130"/>
          <cell r="R130" t="str">
            <v>X</v>
          </cell>
          <cell r="S130" t="str">
            <v>X</v>
          </cell>
          <cell r="T130"/>
          <cell r="U130"/>
          <cell r="V130"/>
          <cell r="W130"/>
          <cell r="X130"/>
          <cell r="Y130"/>
          <cell r="Z130" t="str">
            <v>X</v>
          </cell>
          <cell r="AA130" t="str">
            <v>X</v>
          </cell>
          <cell r="AB130"/>
          <cell r="AC130"/>
          <cell r="AD130"/>
          <cell r="AE130"/>
          <cell r="AF130"/>
        </row>
        <row r="131">
          <cell r="D131"/>
          <cell r="E131"/>
          <cell r="F131"/>
          <cell r="G131"/>
          <cell r="H131"/>
          <cell r="I131"/>
          <cell r="J131" t="str">
            <v>X</v>
          </cell>
          <cell r="K131" t="str">
            <v>X</v>
          </cell>
          <cell r="L131"/>
          <cell r="M131"/>
          <cell r="N131"/>
          <cell r="O131"/>
          <cell r="P131"/>
          <cell r="Q131"/>
          <cell r="R131" t="str">
            <v>X</v>
          </cell>
          <cell r="S131" t="str">
            <v>X</v>
          </cell>
          <cell r="T131"/>
          <cell r="U131"/>
          <cell r="V131"/>
          <cell r="W131"/>
          <cell r="X131"/>
          <cell r="Y131"/>
          <cell r="Z131" t="str">
            <v>X</v>
          </cell>
          <cell r="AA131" t="str">
            <v>X</v>
          </cell>
          <cell r="AB131"/>
          <cell r="AC131"/>
          <cell r="AD131"/>
          <cell r="AE131"/>
          <cell r="AF131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7"/>
  <sheetViews>
    <sheetView showGridLines="0" topLeftCell="A52" workbookViewId="0">
      <selection activeCell="R85" sqref="R85"/>
    </sheetView>
  </sheetViews>
  <sheetFormatPr defaultColWidth="12" defaultRowHeight="12"/>
  <cols>
    <col min="1" max="1" width="12.85546875" style="3" customWidth="1"/>
    <col min="2" max="2" width="3.28515625" style="2" customWidth="1"/>
    <col min="3" max="8" width="3.140625" style="2" customWidth="1"/>
    <col min="9" max="9" width="3" style="2" customWidth="1"/>
    <col min="10" max="32" width="3.140625" style="2" customWidth="1"/>
    <col min="33" max="33" width="3.42578125" style="3" customWidth="1"/>
    <col min="34" max="16384" width="12" style="3"/>
  </cols>
  <sheetData>
    <row r="1" spans="1:34">
      <c r="A1" s="1" t="s">
        <v>62</v>
      </c>
    </row>
    <row r="2" spans="1:34">
      <c r="B2" s="4"/>
    </row>
    <row r="3" spans="1:34" s="5" customFormat="1">
      <c r="A3" s="21" t="s">
        <v>0</v>
      </c>
      <c r="B3" s="42">
        <v>1</v>
      </c>
      <c r="C3" s="42">
        <v>2</v>
      </c>
      <c r="D3" s="42">
        <v>3</v>
      </c>
      <c r="E3" s="42">
        <v>4</v>
      </c>
      <c r="F3" s="42">
        <v>5</v>
      </c>
      <c r="G3" s="42">
        <v>6</v>
      </c>
      <c r="H3" s="42">
        <v>7</v>
      </c>
      <c r="I3" s="42">
        <v>8</v>
      </c>
      <c r="J3" s="42">
        <v>9</v>
      </c>
      <c r="K3" s="42">
        <v>10</v>
      </c>
      <c r="L3" s="42">
        <v>11</v>
      </c>
      <c r="M3" s="42">
        <v>12</v>
      </c>
      <c r="N3" s="42">
        <v>13</v>
      </c>
      <c r="O3" s="42">
        <v>14</v>
      </c>
      <c r="P3" s="42">
        <v>15</v>
      </c>
      <c r="Q3" s="42">
        <v>16</v>
      </c>
      <c r="R3" s="42">
        <v>17</v>
      </c>
      <c r="S3" s="42">
        <v>18</v>
      </c>
      <c r="T3" s="42">
        <v>19</v>
      </c>
      <c r="U3" s="42">
        <v>20</v>
      </c>
      <c r="V3" s="42">
        <v>21</v>
      </c>
      <c r="W3" s="42">
        <v>22</v>
      </c>
      <c r="X3" s="42">
        <v>23</v>
      </c>
      <c r="Y3" s="42">
        <v>24</v>
      </c>
      <c r="Z3" s="42">
        <v>25</v>
      </c>
      <c r="AA3" s="42">
        <v>26</v>
      </c>
      <c r="AB3" s="42">
        <v>27</v>
      </c>
      <c r="AC3" s="42">
        <v>28</v>
      </c>
      <c r="AD3" s="42">
        <v>29</v>
      </c>
      <c r="AE3" s="42">
        <v>30</v>
      </c>
      <c r="AF3" s="42">
        <v>31</v>
      </c>
    </row>
    <row r="4" spans="1:34">
      <c r="A4" s="22"/>
      <c r="B4" s="41" t="s">
        <v>54</v>
      </c>
      <c r="C4" s="41" t="s">
        <v>55</v>
      </c>
      <c r="D4" s="41" t="s">
        <v>1</v>
      </c>
      <c r="E4" s="41" t="s">
        <v>56</v>
      </c>
      <c r="F4" s="41" t="s">
        <v>51</v>
      </c>
      <c r="G4" s="41" t="s">
        <v>52</v>
      </c>
      <c r="H4" s="41" t="s">
        <v>53</v>
      </c>
      <c r="I4" s="41" t="s">
        <v>54</v>
      </c>
      <c r="J4" s="41" t="s">
        <v>55</v>
      </c>
      <c r="K4" s="41" t="s">
        <v>1</v>
      </c>
      <c r="L4" s="41" t="s">
        <v>56</v>
      </c>
      <c r="M4" s="41" t="s">
        <v>51</v>
      </c>
      <c r="N4" s="41" t="s">
        <v>52</v>
      </c>
      <c r="O4" s="41" t="s">
        <v>53</v>
      </c>
      <c r="P4" s="41" t="s">
        <v>54</v>
      </c>
      <c r="Q4" s="41" t="s">
        <v>55</v>
      </c>
      <c r="R4" s="41" t="s">
        <v>1</v>
      </c>
      <c r="S4" s="41" t="s">
        <v>56</v>
      </c>
      <c r="T4" s="41" t="s">
        <v>51</v>
      </c>
      <c r="U4" s="41" t="s">
        <v>52</v>
      </c>
      <c r="V4" s="41" t="s">
        <v>53</v>
      </c>
      <c r="W4" s="41" t="s">
        <v>54</v>
      </c>
      <c r="X4" s="41" t="s">
        <v>55</v>
      </c>
      <c r="Y4" s="41" t="s">
        <v>1</v>
      </c>
      <c r="Z4" s="41" t="s">
        <v>56</v>
      </c>
      <c r="AA4" s="41" t="s">
        <v>51</v>
      </c>
      <c r="AB4" s="41" t="s">
        <v>52</v>
      </c>
      <c r="AC4" s="41" t="s">
        <v>53</v>
      </c>
      <c r="AD4" s="41" t="s">
        <v>54</v>
      </c>
      <c r="AE4" s="41" t="s">
        <v>55</v>
      </c>
      <c r="AF4" s="41" t="s">
        <v>1</v>
      </c>
    </row>
    <row r="5" spans="1:34">
      <c r="A5" s="22" t="s">
        <v>42</v>
      </c>
      <c r="B5" s="40">
        <v>2</v>
      </c>
      <c r="C5" s="40">
        <v>2</v>
      </c>
      <c r="D5" s="40">
        <v>2</v>
      </c>
      <c r="E5" s="40">
        <v>2</v>
      </c>
      <c r="F5" s="40" t="s">
        <v>2</v>
      </c>
      <c r="G5" s="40" t="s">
        <v>2</v>
      </c>
      <c r="H5" s="40">
        <v>1</v>
      </c>
      <c r="I5" s="40">
        <v>1</v>
      </c>
      <c r="J5" s="40">
        <v>1</v>
      </c>
      <c r="K5" s="40">
        <v>1</v>
      </c>
      <c r="L5" s="40">
        <v>1</v>
      </c>
      <c r="M5" s="40">
        <v>1</v>
      </c>
      <c r="N5" s="40" t="s">
        <v>2</v>
      </c>
      <c r="O5" s="40" t="s">
        <v>2</v>
      </c>
      <c r="P5" s="40">
        <v>3</v>
      </c>
      <c r="Q5" s="40">
        <v>3</v>
      </c>
      <c r="R5" s="40">
        <v>3</v>
      </c>
      <c r="S5" s="40">
        <v>3</v>
      </c>
      <c r="T5" s="40">
        <v>3</v>
      </c>
      <c r="U5" s="40">
        <v>3</v>
      </c>
      <c r="V5" s="40" t="s">
        <v>2</v>
      </c>
      <c r="W5" s="40" t="s">
        <v>2</v>
      </c>
      <c r="X5" s="40">
        <v>2</v>
      </c>
      <c r="Y5" s="40">
        <v>2</v>
      </c>
      <c r="Z5" s="40">
        <v>2</v>
      </c>
      <c r="AA5" s="40">
        <v>2</v>
      </c>
      <c r="AB5" s="40">
        <v>2</v>
      </c>
      <c r="AC5" s="40">
        <v>2</v>
      </c>
      <c r="AD5" s="40" t="s">
        <v>2</v>
      </c>
      <c r="AE5" s="40" t="s">
        <v>2</v>
      </c>
      <c r="AF5" s="40">
        <v>1</v>
      </c>
      <c r="AG5" s="6"/>
      <c r="AH5" s="6"/>
    </row>
    <row r="6" spans="1:34">
      <c r="A6" s="22" t="s">
        <v>3</v>
      </c>
      <c r="B6" s="40">
        <v>3</v>
      </c>
      <c r="C6" s="40">
        <v>3</v>
      </c>
      <c r="D6" s="40" t="s">
        <v>2</v>
      </c>
      <c r="E6" s="40" t="s">
        <v>2</v>
      </c>
      <c r="F6" s="40">
        <v>2</v>
      </c>
      <c r="G6" s="40">
        <v>2</v>
      </c>
      <c r="H6" s="40">
        <v>2</v>
      </c>
      <c r="I6" s="40">
        <v>2</v>
      </c>
      <c r="J6" s="40">
        <v>2</v>
      </c>
      <c r="K6" s="40">
        <v>2</v>
      </c>
      <c r="L6" s="40" t="s">
        <v>2</v>
      </c>
      <c r="M6" s="40" t="s">
        <v>2</v>
      </c>
      <c r="N6" s="40">
        <v>1</v>
      </c>
      <c r="O6" s="40">
        <v>1</v>
      </c>
      <c r="P6" s="40">
        <v>1</v>
      </c>
      <c r="Q6" s="40">
        <v>1</v>
      </c>
      <c r="R6" s="40">
        <v>1</v>
      </c>
      <c r="S6" s="40">
        <v>1</v>
      </c>
      <c r="T6" s="40" t="s">
        <v>2</v>
      </c>
      <c r="U6" s="40" t="s">
        <v>2</v>
      </c>
      <c r="V6" s="40">
        <v>3</v>
      </c>
      <c r="W6" s="40">
        <v>3</v>
      </c>
      <c r="X6" s="40">
        <v>3</v>
      </c>
      <c r="Y6" s="40">
        <v>3</v>
      </c>
      <c r="Z6" s="40">
        <v>3</v>
      </c>
      <c r="AA6" s="40">
        <v>3</v>
      </c>
      <c r="AB6" s="40" t="s">
        <v>2</v>
      </c>
      <c r="AC6" s="40" t="s">
        <v>2</v>
      </c>
      <c r="AD6" s="40">
        <v>2</v>
      </c>
      <c r="AE6" s="40">
        <v>2</v>
      </c>
      <c r="AF6" s="40">
        <v>2</v>
      </c>
      <c r="AG6" s="6"/>
      <c r="AH6" s="6"/>
    </row>
    <row r="7" spans="1:34">
      <c r="A7" s="22" t="s">
        <v>4</v>
      </c>
      <c r="B7" s="40" t="s">
        <v>2</v>
      </c>
      <c r="C7" s="40" t="s">
        <v>2</v>
      </c>
      <c r="D7" s="40">
        <v>3</v>
      </c>
      <c r="E7" s="40">
        <v>3</v>
      </c>
      <c r="F7" s="40">
        <v>3</v>
      </c>
      <c r="G7" s="40">
        <v>3</v>
      </c>
      <c r="H7" s="40">
        <v>3</v>
      </c>
      <c r="I7" s="40">
        <v>3</v>
      </c>
      <c r="J7" s="40" t="s">
        <v>2</v>
      </c>
      <c r="K7" s="40" t="s">
        <v>2</v>
      </c>
      <c r="L7" s="40">
        <v>2</v>
      </c>
      <c r="M7" s="40">
        <v>2</v>
      </c>
      <c r="N7" s="40">
        <v>2</v>
      </c>
      <c r="O7" s="40">
        <v>2</v>
      </c>
      <c r="P7" s="40">
        <v>2</v>
      </c>
      <c r="Q7" s="40">
        <v>2</v>
      </c>
      <c r="R7" s="40" t="s">
        <v>2</v>
      </c>
      <c r="S7" s="40" t="s">
        <v>2</v>
      </c>
      <c r="T7" s="40">
        <v>1</v>
      </c>
      <c r="U7" s="40">
        <v>1</v>
      </c>
      <c r="V7" s="40">
        <v>1</v>
      </c>
      <c r="W7" s="40">
        <v>1</v>
      </c>
      <c r="X7" s="40">
        <v>1</v>
      </c>
      <c r="Y7" s="40">
        <v>1</v>
      </c>
      <c r="Z7" s="40" t="s">
        <v>2</v>
      </c>
      <c r="AA7" s="40" t="s">
        <v>2</v>
      </c>
      <c r="AB7" s="40">
        <v>3</v>
      </c>
      <c r="AC7" s="40">
        <v>3</v>
      </c>
      <c r="AD7" s="40">
        <v>3</v>
      </c>
      <c r="AE7" s="40">
        <v>3</v>
      </c>
      <c r="AF7" s="40">
        <v>3</v>
      </c>
      <c r="AG7" s="6"/>
    </row>
    <row r="8" spans="1:34">
      <c r="A8" s="22" t="s">
        <v>5</v>
      </c>
      <c r="B8" s="40">
        <v>1</v>
      </c>
      <c r="C8" s="40">
        <v>1</v>
      </c>
      <c r="D8" s="40">
        <v>1</v>
      </c>
      <c r="E8" s="40">
        <v>1</v>
      </c>
      <c r="F8" s="40">
        <v>1</v>
      </c>
      <c r="G8" s="40">
        <v>1</v>
      </c>
      <c r="H8" s="40" t="s">
        <v>2</v>
      </c>
      <c r="I8" s="40" t="s">
        <v>2</v>
      </c>
      <c r="J8" s="40">
        <v>3</v>
      </c>
      <c r="K8" s="40">
        <v>3</v>
      </c>
      <c r="L8" s="40">
        <v>3</v>
      </c>
      <c r="M8" s="40">
        <v>3</v>
      </c>
      <c r="N8" s="40">
        <v>3</v>
      </c>
      <c r="O8" s="40">
        <v>3</v>
      </c>
      <c r="P8" s="40" t="s">
        <v>2</v>
      </c>
      <c r="Q8" s="40" t="s">
        <v>2</v>
      </c>
      <c r="R8" s="40">
        <v>2</v>
      </c>
      <c r="S8" s="40">
        <v>2</v>
      </c>
      <c r="T8" s="40">
        <v>2</v>
      </c>
      <c r="U8" s="40">
        <v>2</v>
      </c>
      <c r="V8" s="40">
        <v>2</v>
      </c>
      <c r="W8" s="40">
        <v>2</v>
      </c>
      <c r="X8" s="40" t="s">
        <v>2</v>
      </c>
      <c r="Y8" s="40" t="s">
        <v>2</v>
      </c>
      <c r="Z8" s="40">
        <v>1</v>
      </c>
      <c r="AA8" s="40">
        <v>1</v>
      </c>
      <c r="AB8" s="40">
        <v>1</v>
      </c>
      <c r="AC8" s="40">
        <v>1</v>
      </c>
      <c r="AD8" s="40">
        <v>1</v>
      </c>
      <c r="AE8" s="40">
        <v>1</v>
      </c>
      <c r="AF8" s="40" t="s">
        <v>2</v>
      </c>
      <c r="AG8" s="6"/>
    </row>
    <row r="10" spans="1:34">
      <c r="B10" s="4"/>
    </row>
    <row r="11" spans="1:34">
      <c r="A11" s="21" t="s">
        <v>6</v>
      </c>
      <c r="B11" s="42">
        <v>1</v>
      </c>
      <c r="C11" s="42">
        <v>2</v>
      </c>
      <c r="D11" s="42">
        <v>3</v>
      </c>
      <c r="E11" s="42">
        <v>4</v>
      </c>
      <c r="F11" s="42">
        <v>5</v>
      </c>
      <c r="G11" s="42">
        <v>6</v>
      </c>
      <c r="H11" s="42">
        <v>7</v>
      </c>
      <c r="I11" s="42">
        <v>8</v>
      </c>
      <c r="J11" s="42">
        <v>9</v>
      </c>
      <c r="K11" s="42">
        <v>10</v>
      </c>
      <c r="L11" s="42">
        <v>11</v>
      </c>
      <c r="M11" s="42">
        <v>12</v>
      </c>
      <c r="N11" s="42">
        <v>13</v>
      </c>
      <c r="O11" s="42">
        <v>14</v>
      </c>
      <c r="P11" s="42">
        <v>15</v>
      </c>
      <c r="Q11" s="42">
        <v>16</v>
      </c>
      <c r="R11" s="42">
        <v>17</v>
      </c>
      <c r="S11" s="42">
        <v>18</v>
      </c>
      <c r="T11" s="42">
        <v>19</v>
      </c>
      <c r="U11" s="42">
        <v>20</v>
      </c>
      <c r="V11" s="42">
        <v>21</v>
      </c>
      <c r="W11" s="42">
        <v>22</v>
      </c>
      <c r="X11" s="42">
        <v>23</v>
      </c>
      <c r="Y11" s="42">
        <v>24</v>
      </c>
      <c r="Z11" s="42">
        <v>25</v>
      </c>
      <c r="AA11" s="42">
        <v>26</v>
      </c>
      <c r="AB11" s="42">
        <v>27</v>
      </c>
      <c r="AC11" s="42">
        <v>28</v>
      </c>
    </row>
    <row r="12" spans="1:34">
      <c r="A12" s="22"/>
      <c r="B12" s="41" t="s">
        <v>56</v>
      </c>
      <c r="C12" s="41" t="s">
        <v>51</v>
      </c>
      <c r="D12" s="41" t="s">
        <v>52</v>
      </c>
      <c r="E12" s="41" t="s">
        <v>53</v>
      </c>
      <c r="F12" s="41" t="s">
        <v>54</v>
      </c>
      <c r="G12" s="41" t="s">
        <v>55</v>
      </c>
      <c r="H12" s="41" t="s">
        <v>1</v>
      </c>
      <c r="I12" s="41" t="s">
        <v>56</v>
      </c>
      <c r="J12" s="41" t="s">
        <v>51</v>
      </c>
      <c r="K12" s="41" t="s">
        <v>52</v>
      </c>
      <c r="L12" s="41" t="s">
        <v>53</v>
      </c>
      <c r="M12" s="41" t="s">
        <v>54</v>
      </c>
      <c r="N12" s="41" t="s">
        <v>55</v>
      </c>
      <c r="O12" s="41" t="s">
        <v>1</v>
      </c>
      <c r="P12" s="41" t="s">
        <v>56</v>
      </c>
      <c r="Q12" s="41" t="s">
        <v>51</v>
      </c>
      <c r="R12" s="41" t="s">
        <v>52</v>
      </c>
      <c r="S12" s="41" t="s">
        <v>53</v>
      </c>
      <c r="T12" s="41" t="s">
        <v>54</v>
      </c>
      <c r="U12" s="41" t="s">
        <v>55</v>
      </c>
      <c r="V12" s="41" t="s">
        <v>1</v>
      </c>
      <c r="W12" s="41" t="s">
        <v>56</v>
      </c>
      <c r="X12" s="41" t="s">
        <v>51</v>
      </c>
      <c r="Y12" s="41" t="s">
        <v>52</v>
      </c>
      <c r="Z12" s="41" t="s">
        <v>53</v>
      </c>
      <c r="AA12" s="41" t="s">
        <v>54</v>
      </c>
      <c r="AB12" s="41" t="s">
        <v>55</v>
      </c>
      <c r="AC12" s="41" t="s">
        <v>1</v>
      </c>
      <c r="AD12" s="9"/>
      <c r="AE12" s="9"/>
    </row>
    <row r="13" spans="1:34">
      <c r="A13" s="22" t="s">
        <v>42</v>
      </c>
      <c r="B13" s="40">
        <v>1</v>
      </c>
      <c r="C13" s="40">
        <v>1</v>
      </c>
      <c r="D13" s="40">
        <v>1</v>
      </c>
      <c r="E13" s="40">
        <v>1</v>
      </c>
      <c r="F13" s="40">
        <v>1</v>
      </c>
      <c r="G13" s="40" t="s">
        <v>2</v>
      </c>
      <c r="H13" s="40" t="s">
        <v>2</v>
      </c>
      <c r="I13" s="40">
        <v>3</v>
      </c>
      <c r="J13" s="40">
        <v>3</v>
      </c>
      <c r="K13" s="40">
        <v>3</v>
      </c>
      <c r="L13" s="40">
        <v>3</v>
      </c>
      <c r="M13" s="40">
        <v>3</v>
      </c>
      <c r="N13" s="40">
        <v>3</v>
      </c>
      <c r="O13" s="40" t="s">
        <v>2</v>
      </c>
      <c r="P13" s="40" t="s">
        <v>2</v>
      </c>
      <c r="Q13" s="40">
        <v>2</v>
      </c>
      <c r="R13" s="40">
        <v>2</v>
      </c>
      <c r="S13" s="40">
        <v>2</v>
      </c>
      <c r="T13" s="40">
        <v>2</v>
      </c>
      <c r="U13" s="40">
        <v>2</v>
      </c>
      <c r="V13" s="40">
        <v>2</v>
      </c>
      <c r="W13" s="40" t="s">
        <v>2</v>
      </c>
      <c r="X13" s="40" t="s">
        <v>2</v>
      </c>
      <c r="Y13" s="40">
        <v>1</v>
      </c>
      <c r="Z13" s="40">
        <v>1</v>
      </c>
      <c r="AA13" s="40">
        <v>1</v>
      </c>
      <c r="AB13" s="40">
        <v>1</v>
      </c>
      <c r="AC13" s="40">
        <v>1</v>
      </c>
      <c r="AD13" s="9"/>
      <c r="AE13" s="9"/>
    </row>
    <row r="14" spans="1:34">
      <c r="A14" s="22" t="s">
        <v>3</v>
      </c>
      <c r="B14" s="40">
        <v>2</v>
      </c>
      <c r="C14" s="40">
        <v>2</v>
      </c>
      <c r="D14" s="40">
        <v>2</v>
      </c>
      <c r="E14" s="40" t="s">
        <v>2</v>
      </c>
      <c r="F14" s="40" t="s">
        <v>2</v>
      </c>
      <c r="G14" s="40">
        <v>1</v>
      </c>
      <c r="H14" s="40">
        <v>1</v>
      </c>
      <c r="I14" s="40">
        <v>1</v>
      </c>
      <c r="J14" s="40">
        <v>1</v>
      </c>
      <c r="K14" s="40">
        <v>1</v>
      </c>
      <c r="L14" s="40">
        <v>1</v>
      </c>
      <c r="M14" s="40" t="s">
        <v>2</v>
      </c>
      <c r="N14" s="40" t="s">
        <v>2</v>
      </c>
      <c r="O14" s="40">
        <v>3</v>
      </c>
      <c r="P14" s="40">
        <v>3</v>
      </c>
      <c r="Q14" s="40">
        <v>3</v>
      </c>
      <c r="R14" s="40">
        <v>3</v>
      </c>
      <c r="S14" s="40">
        <v>3</v>
      </c>
      <c r="T14" s="40">
        <v>3</v>
      </c>
      <c r="U14" s="40" t="s">
        <v>2</v>
      </c>
      <c r="V14" s="40" t="s">
        <v>2</v>
      </c>
      <c r="W14" s="40">
        <v>2</v>
      </c>
      <c r="X14" s="40">
        <v>2</v>
      </c>
      <c r="Y14" s="40">
        <v>2</v>
      </c>
      <c r="Z14" s="40">
        <v>2</v>
      </c>
      <c r="AA14" s="40">
        <v>2</v>
      </c>
      <c r="AB14" s="40">
        <v>2</v>
      </c>
      <c r="AC14" s="40" t="s">
        <v>2</v>
      </c>
      <c r="AD14" s="9"/>
      <c r="AE14" s="9"/>
    </row>
    <row r="15" spans="1:34">
      <c r="A15" s="22" t="s">
        <v>4</v>
      </c>
      <c r="B15" s="40">
        <v>3</v>
      </c>
      <c r="C15" s="40" t="s">
        <v>2</v>
      </c>
      <c r="D15" s="40" t="s">
        <v>2</v>
      </c>
      <c r="E15" s="40">
        <v>2</v>
      </c>
      <c r="F15" s="40">
        <v>2</v>
      </c>
      <c r="G15" s="40">
        <v>2</v>
      </c>
      <c r="H15" s="40">
        <v>2</v>
      </c>
      <c r="I15" s="40">
        <v>2</v>
      </c>
      <c r="J15" s="40">
        <v>2</v>
      </c>
      <c r="K15" s="40" t="s">
        <v>2</v>
      </c>
      <c r="L15" s="40" t="s">
        <v>2</v>
      </c>
      <c r="M15" s="40">
        <v>1</v>
      </c>
      <c r="N15" s="40">
        <v>1</v>
      </c>
      <c r="O15" s="40">
        <v>1</v>
      </c>
      <c r="P15" s="40">
        <v>1</v>
      </c>
      <c r="Q15" s="40">
        <v>1</v>
      </c>
      <c r="R15" s="40">
        <v>1</v>
      </c>
      <c r="S15" s="40" t="s">
        <v>2</v>
      </c>
      <c r="T15" s="40" t="s">
        <v>2</v>
      </c>
      <c r="U15" s="40">
        <v>3</v>
      </c>
      <c r="V15" s="40">
        <v>3</v>
      </c>
      <c r="W15" s="40">
        <v>3</v>
      </c>
      <c r="X15" s="40">
        <v>3</v>
      </c>
      <c r="Y15" s="40">
        <v>3</v>
      </c>
      <c r="Z15" s="40">
        <v>3</v>
      </c>
      <c r="AA15" s="40" t="s">
        <v>2</v>
      </c>
      <c r="AB15" s="40" t="s">
        <v>2</v>
      </c>
      <c r="AC15" s="40">
        <v>2</v>
      </c>
      <c r="AD15" s="9"/>
      <c r="AE15" s="9"/>
    </row>
    <row r="16" spans="1:34">
      <c r="A16" s="22" t="s">
        <v>5</v>
      </c>
      <c r="B16" s="40" t="s">
        <v>2</v>
      </c>
      <c r="C16" s="40">
        <v>3</v>
      </c>
      <c r="D16" s="40">
        <v>3</v>
      </c>
      <c r="E16" s="40">
        <v>3</v>
      </c>
      <c r="F16" s="40">
        <v>3</v>
      </c>
      <c r="G16" s="40">
        <v>3</v>
      </c>
      <c r="H16" s="40">
        <v>3</v>
      </c>
      <c r="I16" s="40" t="s">
        <v>2</v>
      </c>
      <c r="J16" s="40" t="s">
        <v>2</v>
      </c>
      <c r="K16" s="40">
        <v>2</v>
      </c>
      <c r="L16" s="40">
        <v>2</v>
      </c>
      <c r="M16" s="40">
        <v>2</v>
      </c>
      <c r="N16" s="40">
        <v>2</v>
      </c>
      <c r="O16" s="40">
        <v>2</v>
      </c>
      <c r="P16" s="40">
        <v>2</v>
      </c>
      <c r="Q16" s="40" t="s">
        <v>2</v>
      </c>
      <c r="R16" s="40" t="s">
        <v>2</v>
      </c>
      <c r="S16" s="40">
        <v>1</v>
      </c>
      <c r="T16" s="40">
        <v>1</v>
      </c>
      <c r="U16" s="40">
        <v>1</v>
      </c>
      <c r="V16" s="40">
        <v>1</v>
      </c>
      <c r="W16" s="40">
        <v>1</v>
      </c>
      <c r="X16" s="40">
        <v>1</v>
      </c>
      <c r="Y16" s="40" t="s">
        <v>2</v>
      </c>
      <c r="Z16" s="40" t="s">
        <v>2</v>
      </c>
      <c r="AA16" s="40">
        <v>3</v>
      </c>
      <c r="AB16" s="40">
        <v>3</v>
      </c>
      <c r="AC16" s="40">
        <v>3</v>
      </c>
      <c r="AD16" s="9"/>
      <c r="AE16" s="9"/>
    </row>
    <row r="18" spans="1:33">
      <c r="B18" s="4"/>
    </row>
    <row r="19" spans="1:33">
      <c r="A19" s="21" t="s">
        <v>7</v>
      </c>
      <c r="B19" s="42">
        <v>1</v>
      </c>
      <c r="C19" s="42">
        <v>2</v>
      </c>
      <c r="D19" s="42">
        <v>3</v>
      </c>
      <c r="E19" s="42">
        <v>4</v>
      </c>
      <c r="F19" s="42">
        <v>5</v>
      </c>
      <c r="G19" s="42">
        <v>6</v>
      </c>
      <c r="H19" s="42">
        <v>7</v>
      </c>
      <c r="I19" s="42">
        <v>8</v>
      </c>
      <c r="J19" s="42">
        <v>9</v>
      </c>
      <c r="K19" s="42">
        <v>10</v>
      </c>
      <c r="L19" s="42">
        <v>11</v>
      </c>
      <c r="M19" s="42">
        <v>12</v>
      </c>
      <c r="N19" s="42">
        <v>13</v>
      </c>
      <c r="O19" s="42">
        <v>14</v>
      </c>
      <c r="P19" s="42">
        <v>15</v>
      </c>
      <c r="Q19" s="42">
        <v>16</v>
      </c>
      <c r="R19" s="42">
        <v>17</v>
      </c>
      <c r="S19" s="42">
        <v>18</v>
      </c>
      <c r="T19" s="42">
        <v>19</v>
      </c>
      <c r="U19" s="42">
        <v>20</v>
      </c>
      <c r="V19" s="42">
        <v>21</v>
      </c>
      <c r="W19" s="42">
        <v>22</v>
      </c>
      <c r="X19" s="42">
        <v>23</v>
      </c>
      <c r="Y19" s="42">
        <v>24</v>
      </c>
      <c r="Z19" s="42">
        <v>25</v>
      </c>
      <c r="AA19" s="42">
        <v>26</v>
      </c>
      <c r="AB19" s="42">
        <v>27</v>
      </c>
      <c r="AC19" s="42">
        <v>28</v>
      </c>
      <c r="AD19" s="42">
        <v>29</v>
      </c>
      <c r="AE19" s="42">
        <v>30</v>
      </c>
      <c r="AF19" s="42">
        <v>31</v>
      </c>
      <c r="AG19" s="6"/>
    </row>
    <row r="20" spans="1:33">
      <c r="A20" s="22"/>
      <c r="B20" s="41" t="s">
        <v>56</v>
      </c>
      <c r="C20" s="41" t="s">
        <v>51</v>
      </c>
      <c r="D20" s="41" t="s">
        <v>52</v>
      </c>
      <c r="E20" s="41" t="s">
        <v>53</v>
      </c>
      <c r="F20" s="41" t="s">
        <v>54</v>
      </c>
      <c r="G20" s="41" t="s">
        <v>55</v>
      </c>
      <c r="H20" s="41" t="s">
        <v>1</v>
      </c>
      <c r="I20" s="41" t="s">
        <v>56</v>
      </c>
      <c r="J20" s="41" t="s">
        <v>51</v>
      </c>
      <c r="K20" s="41" t="s">
        <v>52</v>
      </c>
      <c r="L20" s="41" t="s">
        <v>53</v>
      </c>
      <c r="M20" s="41" t="s">
        <v>54</v>
      </c>
      <c r="N20" s="41" t="s">
        <v>55</v>
      </c>
      <c r="O20" s="41" t="s">
        <v>1</v>
      </c>
      <c r="P20" s="41" t="s">
        <v>56</v>
      </c>
      <c r="Q20" s="41" t="s">
        <v>51</v>
      </c>
      <c r="R20" s="41" t="s">
        <v>52</v>
      </c>
      <c r="S20" s="41" t="s">
        <v>53</v>
      </c>
      <c r="T20" s="41" t="s">
        <v>54</v>
      </c>
      <c r="U20" s="41" t="s">
        <v>55</v>
      </c>
      <c r="V20" s="41" t="s">
        <v>1</v>
      </c>
      <c r="W20" s="41" t="s">
        <v>56</v>
      </c>
      <c r="X20" s="41" t="s">
        <v>51</v>
      </c>
      <c r="Y20" s="41" t="s">
        <v>52</v>
      </c>
      <c r="Z20" s="41" t="s">
        <v>53</v>
      </c>
      <c r="AA20" s="41" t="s">
        <v>54</v>
      </c>
      <c r="AB20" s="41" t="s">
        <v>55</v>
      </c>
      <c r="AC20" s="41" t="s">
        <v>1</v>
      </c>
      <c r="AD20" s="41" t="s">
        <v>56</v>
      </c>
      <c r="AE20" s="41" t="s">
        <v>51</v>
      </c>
      <c r="AF20" s="41" t="s">
        <v>52</v>
      </c>
      <c r="AG20" s="6"/>
    </row>
    <row r="21" spans="1:33">
      <c r="A21" s="22" t="s">
        <v>42</v>
      </c>
      <c r="B21" s="40">
        <v>1</v>
      </c>
      <c r="C21" s="40" t="s">
        <v>2</v>
      </c>
      <c r="D21" s="40" t="s">
        <v>2</v>
      </c>
      <c r="E21" s="40">
        <v>3</v>
      </c>
      <c r="F21" s="40">
        <v>3</v>
      </c>
      <c r="G21" s="40">
        <v>3</v>
      </c>
      <c r="H21" s="40">
        <v>3</v>
      </c>
      <c r="I21" s="40">
        <v>3</v>
      </c>
      <c r="J21" s="40">
        <v>3</v>
      </c>
      <c r="K21" s="40" t="s">
        <v>2</v>
      </c>
      <c r="L21" s="40" t="s">
        <v>2</v>
      </c>
      <c r="M21" s="40">
        <v>2</v>
      </c>
      <c r="N21" s="40">
        <v>2</v>
      </c>
      <c r="O21" s="40">
        <v>2</v>
      </c>
      <c r="P21" s="40">
        <v>2</v>
      </c>
      <c r="Q21" s="40">
        <v>2</v>
      </c>
      <c r="R21" s="40">
        <v>2</v>
      </c>
      <c r="S21" s="40" t="s">
        <v>2</v>
      </c>
      <c r="T21" s="40" t="s">
        <v>2</v>
      </c>
      <c r="U21" s="40">
        <v>1</v>
      </c>
      <c r="V21" s="40">
        <v>1</v>
      </c>
      <c r="W21" s="40">
        <v>1</v>
      </c>
      <c r="X21" s="40">
        <v>1</v>
      </c>
      <c r="Y21" s="40">
        <v>1</v>
      </c>
      <c r="Z21" s="40">
        <v>1</v>
      </c>
      <c r="AA21" s="40" t="s">
        <v>2</v>
      </c>
      <c r="AB21" s="40" t="s">
        <v>2</v>
      </c>
      <c r="AC21" s="40">
        <v>3</v>
      </c>
      <c r="AD21" s="40">
        <v>3</v>
      </c>
      <c r="AE21" s="40">
        <v>3</v>
      </c>
      <c r="AF21" s="40">
        <v>3</v>
      </c>
      <c r="AG21" s="6"/>
    </row>
    <row r="22" spans="1:33">
      <c r="A22" s="22" t="s">
        <v>3</v>
      </c>
      <c r="B22" s="40" t="s">
        <v>2</v>
      </c>
      <c r="C22" s="40">
        <v>1</v>
      </c>
      <c r="D22" s="40">
        <v>1</v>
      </c>
      <c r="E22" s="40">
        <v>1</v>
      </c>
      <c r="F22" s="40">
        <v>1</v>
      </c>
      <c r="G22" s="40">
        <v>1</v>
      </c>
      <c r="H22" s="40">
        <v>1</v>
      </c>
      <c r="I22" s="40" t="s">
        <v>2</v>
      </c>
      <c r="J22" s="40" t="s">
        <v>2</v>
      </c>
      <c r="K22" s="40">
        <v>3</v>
      </c>
      <c r="L22" s="40">
        <v>3</v>
      </c>
      <c r="M22" s="40">
        <v>3</v>
      </c>
      <c r="N22" s="40">
        <v>3</v>
      </c>
      <c r="O22" s="40">
        <v>3</v>
      </c>
      <c r="P22" s="40">
        <v>3</v>
      </c>
      <c r="Q22" s="40" t="s">
        <v>2</v>
      </c>
      <c r="R22" s="40" t="s">
        <v>2</v>
      </c>
      <c r="S22" s="40">
        <v>2</v>
      </c>
      <c r="T22" s="40">
        <v>2</v>
      </c>
      <c r="U22" s="40">
        <v>2</v>
      </c>
      <c r="V22" s="40">
        <v>2</v>
      </c>
      <c r="W22" s="40">
        <v>2</v>
      </c>
      <c r="X22" s="40">
        <v>2</v>
      </c>
      <c r="Y22" s="40" t="s">
        <v>2</v>
      </c>
      <c r="Z22" s="40" t="s">
        <v>2</v>
      </c>
      <c r="AA22" s="40">
        <v>1</v>
      </c>
      <c r="AB22" s="40">
        <v>1</v>
      </c>
      <c r="AC22" s="40">
        <v>1</v>
      </c>
      <c r="AD22" s="40">
        <v>1</v>
      </c>
      <c r="AE22" s="40">
        <v>1</v>
      </c>
      <c r="AF22" s="40">
        <v>1</v>
      </c>
      <c r="AG22" s="6"/>
    </row>
    <row r="23" spans="1:33">
      <c r="A23" s="22" t="s">
        <v>4</v>
      </c>
      <c r="B23" s="40">
        <v>2</v>
      </c>
      <c r="C23" s="40">
        <v>2</v>
      </c>
      <c r="D23" s="40">
        <v>2</v>
      </c>
      <c r="E23" s="40">
        <v>2</v>
      </c>
      <c r="F23" s="40">
        <v>2</v>
      </c>
      <c r="G23" s="40" t="s">
        <v>2</v>
      </c>
      <c r="H23" s="40" t="s">
        <v>2</v>
      </c>
      <c r="I23" s="40">
        <v>1</v>
      </c>
      <c r="J23" s="40">
        <v>1</v>
      </c>
      <c r="K23" s="40">
        <v>1</v>
      </c>
      <c r="L23" s="40">
        <v>1</v>
      </c>
      <c r="M23" s="40">
        <v>1</v>
      </c>
      <c r="N23" s="40">
        <v>1</v>
      </c>
      <c r="O23" s="40" t="s">
        <v>2</v>
      </c>
      <c r="P23" s="40" t="s">
        <v>2</v>
      </c>
      <c r="Q23" s="40">
        <v>3</v>
      </c>
      <c r="R23" s="40">
        <v>3</v>
      </c>
      <c r="S23" s="40">
        <v>3</v>
      </c>
      <c r="T23" s="40">
        <v>3</v>
      </c>
      <c r="U23" s="40">
        <v>3</v>
      </c>
      <c r="V23" s="40">
        <v>3</v>
      </c>
      <c r="W23" s="40" t="s">
        <v>2</v>
      </c>
      <c r="X23" s="40" t="s">
        <v>2</v>
      </c>
      <c r="Y23" s="40">
        <v>2</v>
      </c>
      <c r="Z23" s="40">
        <v>2</v>
      </c>
      <c r="AA23" s="40">
        <v>2</v>
      </c>
      <c r="AB23" s="40">
        <v>2</v>
      </c>
      <c r="AC23" s="40">
        <v>2</v>
      </c>
      <c r="AD23" s="40">
        <v>2</v>
      </c>
      <c r="AE23" s="40" t="s">
        <v>2</v>
      </c>
      <c r="AF23" s="40" t="s">
        <v>2</v>
      </c>
      <c r="AG23" s="6"/>
    </row>
    <row r="24" spans="1:33">
      <c r="A24" s="22" t="s">
        <v>5</v>
      </c>
      <c r="B24" s="40">
        <v>3</v>
      </c>
      <c r="C24" s="40">
        <v>3</v>
      </c>
      <c r="D24" s="40">
        <v>3</v>
      </c>
      <c r="E24" s="40" t="s">
        <v>2</v>
      </c>
      <c r="F24" s="40" t="s">
        <v>2</v>
      </c>
      <c r="G24" s="40">
        <v>2</v>
      </c>
      <c r="H24" s="40">
        <v>2</v>
      </c>
      <c r="I24" s="40">
        <v>2</v>
      </c>
      <c r="J24" s="40">
        <v>2</v>
      </c>
      <c r="K24" s="40">
        <v>2</v>
      </c>
      <c r="L24" s="40">
        <v>2</v>
      </c>
      <c r="M24" s="40" t="s">
        <v>2</v>
      </c>
      <c r="N24" s="40" t="s">
        <v>2</v>
      </c>
      <c r="O24" s="40">
        <v>1</v>
      </c>
      <c r="P24" s="40">
        <v>1</v>
      </c>
      <c r="Q24" s="40">
        <v>1</v>
      </c>
      <c r="R24" s="40">
        <v>1</v>
      </c>
      <c r="S24" s="40">
        <v>1</v>
      </c>
      <c r="T24" s="40">
        <v>1</v>
      </c>
      <c r="U24" s="40" t="s">
        <v>2</v>
      </c>
      <c r="V24" s="40" t="s">
        <v>2</v>
      </c>
      <c r="W24" s="40">
        <v>3</v>
      </c>
      <c r="X24" s="40">
        <v>3</v>
      </c>
      <c r="Y24" s="40">
        <v>3</v>
      </c>
      <c r="Z24" s="40">
        <v>3</v>
      </c>
      <c r="AA24" s="40">
        <v>3</v>
      </c>
      <c r="AB24" s="40">
        <v>3</v>
      </c>
      <c r="AC24" s="40" t="s">
        <v>2</v>
      </c>
      <c r="AD24" s="40" t="s">
        <v>2</v>
      </c>
      <c r="AE24" s="40">
        <v>2</v>
      </c>
      <c r="AF24" s="40">
        <v>2</v>
      </c>
      <c r="AG24" s="6"/>
    </row>
    <row r="27" spans="1:33">
      <c r="A27" s="21" t="s">
        <v>8</v>
      </c>
      <c r="B27" s="42">
        <v>1</v>
      </c>
      <c r="C27" s="42">
        <v>2</v>
      </c>
      <c r="D27" s="42">
        <v>3</v>
      </c>
      <c r="E27" s="42">
        <v>4</v>
      </c>
      <c r="F27" s="42">
        <v>5</v>
      </c>
      <c r="G27" s="42">
        <v>6</v>
      </c>
      <c r="H27" s="42">
        <v>7</v>
      </c>
      <c r="I27" s="42">
        <v>8</v>
      </c>
      <c r="J27" s="42">
        <v>9</v>
      </c>
      <c r="K27" s="42">
        <v>10</v>
      </c>
      <c r="L27" s="42">
        <v>11</v>
      </c>
      <c r="M27" s="42">
        <v>12</v>
      </c>
      <c r="N27" s="42">
        <v>13</v>
      </c>
      <c r="O27" s="42">
        <v>14</v>
      </c>
      <c r="P27" s="42">
        <v>15</v>
      </c>
      <c r="Q27" s="42">
        <v>16</v>
      </c>
      <c r="R27" s="42">
        <v>17</v>
      </c>
      <c r="S27" s="42">
        <v>18</v>
      </c>
      <c r="T27" s="42">
        <v>19</v>
      </c>
      <c r="U27" s="42">
        <v>20</v>
      </c>
      <c r="V27" s="42">
        <v>21</v>
      </c>
      <c r="W27" s="42">
        <v>22</v>
      </c>
      <c r="X27" s="42">
        <v>23</v>
      </c>
      <c r="Y27" s="42">
        <v>24</v>
      </c>
      <c r="Z27" s="42">
        <v>25</v>
      </c>
      <c r="AA27" s="42">
        <v>26</v>
      </c>
      <c r="AB27" s="42">
        <v>27</v>
      </c>
      <c r="AC27" s="42">
        <v>28</v>
      </c>
      <c r="AD27" s="42">
        <v>29</v>
      </c>
      <c r="AE27" s="42">
        <v>30</v>
      </c>
      <c r="AF27" s="7"/>
      <c r="AG27" s="6"/>
    </row>
    <row r="28" spans="1:33">
      <c r="A28" s="22"/>
      <c r="B28" s="41" t="s">
        <v>53</v>
      </c>
      <c r="C28" s="41" t="s">
        <v>54</v>
      </c>
      <c r="D28" s="41" t="s">
        <v>55</v>
      </c>
      <c r="E28" s="41" t="s">
        <v>1</v>
      </c>
      <c r="F28" s="41" t="s">
        <v>56</v>
      </c>
      <c r="G28" s="41" t="s">
        <v>51</v>
      </c>
      <c r="H28" s="41" t="s">
        <v>52</v>
      </c>
      <c r="I28" s="41" t="s">
        <v>53</v>
      </c>
      <c r="J28" s="41" t="s">
        <v>54</v>
      </c>
      <c r="K28" s="41" t="s">
        <v>55</v>
      </c>
      <c r="L28" s="41" t="s">
        <v>1</v>
      </c>
      <c r="M28" s="41" t="s">
        <v>56</v>
      </c>
      <c r="N28" s="41" t="s">
        <v>51</v>
      </c>
      <c r="O28" s="41" t="s">
        <v>52</v>
      </c>
      <c r="P28" s="41" t="s">
        <v>53</v>
      </c>
      <c r="Q28" s="41" t="s">
        <v>54</v>
      </c>
      <c r="R28" s="41" t="s">
        <v>55</v>
      </c>
      <c r="S28" s="41" t="s">
        <v>1</v>
      </c>
      <c r="T28" s="41" t="s">
        <v>56</v>
      </c>
      <c r="U28" s="41" t="s">
        <v>51</v>
      </c>
      <c r="V28" s="41" t="s">
        <v>52</v>
      </c>
      <c r="W28" s="41" t="s">
        <v>53</v>
      </c>
      <c r="X28" s="41" t="s">
        <v>54</v>
      </c>
      <c r="Y28" s="41" t="s">
        <v>55</v>
      </c>
      <c r="Z28" s="41" t="s">
        <v>1</v>
      </c>
      <c r="AA28" s="41" t="s">
        <v>56</v>
      </c>
      <c r="AB28" s="41" t="s">
        <v>51</v>
      </c>
      <c r="AC28" s="41" t="s">
        <v>52</v>
      </c>
      <c r="AD28" s="41" t="s">
        <v>53</v>
      </c>
      <c r="AE28" s="41" t="s">
        <v>54</v>
      </c>
      <c r="AF28" s="8"/>
      <c r="AG28" s="6"/>
    </row>
    <row r="29" spans="1:33">
      <c r="A29" s="22" t="s">
        <v>42</v>
      </c>
      <c r="B29" s="40">
        <v>3</v>
      </c>
      <c r="C29" s="40">
        <v>3</v>
      </c>
      <c r="D29" s="40" t="s">
        <v>2</v>
      </c>
      <c r="E29" s="40" t="s">
        <v>2</v>
      </c>
      <c r="F29" s="40">
        <v>2</v>
      </c>
      <c r="G29" s="40">
        <v>2</v>
      </c>
      <c r="H29" s="40">
        <v>2</v>
      </c>
      <c r="I29" s="40">
        <v>2</v>
      </c>
      <c r="J29" s="40">
        <v>2</v>
      </c>
      <c r="K29" s="40">
        <v>2</v>
      </c>
      <c r="L29" s="40" t="s">
        <v>2</v>
      </c>
      <c r="M29" s="40" t="s">
        <v>2</v>
      </c>
      <c r="N29" s="40">
        <v>1</v>
      </c>
      <c r="O29" s="40">
        <v>1</v>
      </c>
      <c r="P29" s="40">
        <v>1</v>
      </c>
      <c r="Q29" s="40">
        <v>1</v>
      </c>
      <c r="R29" s="40">
        <v>1</v>
      </c>
      <c r="S29" s="40">
        <v>1</v>
      </c>
      <c r="T29" s="40" t="s">
        <v>2</v>
      </c>
      <c r="U29" s="40" t="s">
        <v>2</v>
      </c>
      <c r="V29" s="40">
        <v>3</v>
      </c>
      <c r="W29" s="40">
        <v>3</v>
      </c>
      <c r="X29" s="40">
        <v>3</v>
      </c>
      <c r="Y29" s="40">
        <v>3</v>
      </c>
      <c r="Z29" s="40">
        <v>3</v>
      </c>
      <c r="AA29" s="40">
        <v>3</v>
      </c>
      <c r="AB29" s="40" t="s">
        <v>2</v>
      </c>
      <c r="AC29" s="40" t="s">
        <v>2</v>
      </c>
      <c r="AD29" s="40">
        <v>2</v>
      </c>
      <c r="AE29" s="40">
        <v>2</v>
      </c>
      <c r="AF29" s="8"/>
      <c r="AG29" s="6"/>
    </row>
    <row r="30" spans="1:33">
      <c r="A30" s="22" t="s">
        <v>3</v>
      </c>
      <c r="B30" s="40" t="s">
        <v>2</v>
      </c>
      <c r="C30" s="40" t="s">
        <v>2</v>
      </c>
      <c r="D30" s="40">
        <v>3</v>
      </c>
      <c r="E30" s="40">
        <v>3</v>
      </c>
      <c r="F30" s="40">
        <v>3</v>
      </c>
      <c r="G30" s="40">
        <v>3</v>
      </c>
      <c r="H30" s="40">
        <v>3</v>
      </c>
      <c r="I30" s="40">
        <v>3</v>
      </c>
      <c r="J30" s="40" t="s">
        <v>2</v>
      </c>
      <c r="K30" s="40" t="s">
        <v>2</v>
      </c>
      <c r="L30" s="40">
        <v>2</v>
      </c>
      <c r="M30" s="40">
        <v>2</v>
      </c>
      <c r="N30" s="40">
        <v>2</v>
      </c>
      <c r="O30" s="40">
        <v>2</v>
      </c>
      <c r="P30" s="40">
        <v>2</v>
      </c>
      <c r="Q30" s="40">
        <v>2</v>
      </c>
      <c r="R30" s="40" t="s">
        <v>2</v>
      </c>
      <c r="S30" s="40" t="s">
        <v>2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1</v>
      </c>
      <c r="Z30" s="40" t="s">
        <v>2</v>
      </c>
      <c r="AA30" s="40" t="s">
        <v>2</v>
      </c>
      <c r="AB30" s="40">
        <v>3</v>
      </c>
      <c r="AC30" s="40">
        <v>3</v>
      </c>
      <c r="AD30" s="40">
        <v>3</v>
      </c>
      <c r="AE30" s="40">
        <v>3</v>
      </c>
      <c r="AF30" s="8"/>
      <c r="AG30" s="6"/>
    </row>
    <row r="31" spans="1:33">
      <c r="A31" s="22" t="s">
        <v>4</v>
      </c>
      <c r="B31" s="40">
        <v>1</v>
      </c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 t="s">
        <v>2</v>
      </c>
      <c r="I31" s="40" t="s">
        <v>2</v>
      </c>
      <c r="J31" s="40">
        <v>3</v>
      </c>
      <c r="K31" s="40">
        <v>3</v>
      </c>
      <c r="L31" s="40">
        <v>3</v>
      </c>
      <c r="M31" s="40">
        <v>3</v>
      </c>
      <c r="N31" s="40">
        <v>3</v>
      </c>
      <c r="O31" s="40">
        <v>3</v>
      </c>
      <c r="P31" s="40" t="s">
        <v>2</v>
      </c>
      <c r="Q31" s="40" t="s">
        <v>2</v>
      </c>
      <c r="R31" s="40">
        <v>2</v>
      </c>
      <c r="S31" s="40">
        <v>2</v>
      </c>
      <c r="T31" s="40">
        <v>2</v>
      </c>
      <c r="U31" s="40">
        <v>2</v>
      </c>
      <c r="V31" s="40">
        <v>2</v>
      </c>
      <c r="W31" s="40">
        <v>2</v>
      </c>
      <c r="X31" s="40" t="s">
        <v>2</v>
      </c>
      <c r="Y31" s="40" t="s">
        <v>2</v>
      </c>
      <c r="Z31" s="40">
        <v>1</v>
      </c>
      <c r="AA31" s="40">
        <v>1</v>
      </c>
      <c r="AB31" s="40">
        <v>1</v>
      </c>
      <c r="AC31" s="40">
        <v>1</v>
      </c>
      <c r="AD31" s="40">
        <v>1</v>
      </c>
      <c r="AE31" s="40">
        <v>1</v>
      </c>
      <c r="AF31" s="8"/>
      <c r="AG31" s="6"/>
    </row>
    <row r="32" spans="1:33">
      <c r="A32" s="22" t="s">
        <v>5</v>
      </c>
      <c r="B32" s="40">
        <v>2</v>
      </c>
      <c r="C32" s="40">
        <v>2</v>
      </c>
      <c r="D32" s="40">
        <v>2</v>
      </c>
      <c r="E32" s="40">
        <v>2</v>
      </c>
      <c r="F32" s="40" t="s">
        <v>2</v>
      </c>
      <c r="G32" s="40" t="s">
        <v>2</v>
      </c>
      <c r="H32" s="40">
        <v>1</v>
      </c>
      <c r="I32" s="40">
        <v>1</v>
      </c>
      <c r="J32" s="40">
        <v>1</v>
      </c>
      <c r="K32" s="40">
        <v>1</v>
      </c>
      <c r="L32" s="40">
        <v>1</v>
      </c>
      <c r="M32" s="40">
        <v>1</v>
      </c>
      <c r="N32" s="40" t="s">
        <v>2</v>
      </c>
      <c r="O32" s="40" t="s">
        <v>2</v>
      </c>
      <c r="P32" s="40">
        <v>3</v>
      </c>
      <c r="Q32" s="40">
        <v>3</v>
      </c>
      <c r="R32" s="40">
        <v>3</v>
      </c>
      <c r="S32" s="40">
        <v>3</v>
      </c>
      <c r="T32" s="40">
        <v>3</v>
      </c>
      <c r="U32" s="40">
        <v>3</v>
      </c>
      <c r="V32" s="40" t="s">
        <v>2</v>
      </c>
      <c r="W32" s="40" t="s">
        <v>2</v>
      </c>
      <c r="X32" s="40">
        <v>2</v>
      </c>
      <c r="Y32" s="40">
        <v>2</v>
      </c>
      <c r="Z32" s="40">
        <v>2</v>
      </c>
      <c r="AA32" s="40">
        <v>2</v>
      </c>
      <c r="AB32" s="40">
        <v>2</v>
      </c>
      <c r="AC32" s="40">
        <v>2</v>
      </c>
      <c r="AD32" s="40" t="s">
        <v>2</v>
      </c>
      <c r="AE32" s="40" t="s">
        <v>2</v>
      </c>
      <c r="AF32" s="8"/>
      <c r="AG32" s="6"/>
    </row>
    <row r="33" spans="1:3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6"/>
    </row>
    <row r="34" spans="1:3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6"/>
    </row>
    <row r="35" spans="1:33">
      <c r="A35" s="21" t="s">
        <v>9</v>
      </c>
      <c r="B35" s="42">
        <v>1</v>
      </c>
      <c r="C35" s="42">
        <v>2</v>
      </c>
      <c r="D35" s="42">
        <v>3</v>
      </c>
      <c r="E35" s="42">
        <v>4</v>
      </c>
      <c r="F35" s="42">
        <v>5</v>
      </c>
      <c r="G35" s="42">
        <v>6</v>
      </c>
      <c r="H35" s="42">
        <v>7</v>
      </c>
      <c r="I35" s="42">
        <v>8</v>
      </c>
      <c r="J35" s="42">
        <v>9</v>
      </c>
      <c r="K35" s="42">
        <v>10</v>
      </c>
      <c r="L35" s="42">
        <v>11</v>
      </c>
      <c r="M35" s="42">
        <v>12</v>
      </c>
      <c r="N35" s="42">
        <v>13</v>
      </c>
      <c r="O35" s="42">
        <v>14</v>
      </c>
      <c r="P35" s="42">
        <v>15</v>
      </c>
      <c r="Q35" s="42">
        <v>16</v>
      </c>
      <c r="R35" s="42">
        <v>17</v>
      </c>
      <c r="S35" s="42">
        <v>18</v>
      </c>
      <c r="T35" s="42">
        <v>19</v>
      </c>
      <c r="U35" s="42">
        <v>20</v>
      </c>
      <c r="V35" s="42">
        <v>21</v>
      </c>
      <c r="W35" s="42">
        <v>22</v>
      </c>
      <c r="X35" s="42">
        <v>23</v>
      </c>
      <c r="Y35" s="42">
        <v>24</v>
      </c>
      <c r="Z35" s="42">
        <v>25</v>
      </c>
      <c r="AA35" s="42">
        <v>26</v>
      </c>
      <c r="AB35" s="42">
        <v>27</v>
      </c>
      <c r="AC35" s="42">
        <v>28</v>
      </c>
      <c r="AD35" s="42">
        <v>29</v>
      </c>
      <c r="AE35" s="42">
        <v>30</v>
      </c>
      <c r="AF35" s="42">
        <v>31</v>
      </c>
      <c r="AG35" s="6"/>
    </row>
    <row r="36" spans="1:33">
      <c r="A36" s="22"/>
      <c r="B36" s="41" t="s">
        <v>55</v>
      </c>
      <c r="C36" s="41" t="s">
        <v>1</v>
      </c>
      <c r="D36" s="41" t="s">
        <v>56</v>
      </c>
      <c r="E36" s="41" t="s">
        <v>51</v>
      </c>
      <c r="F36" s="41" t="s">
        <v>52</v>
      </c>
      <c r="G36" s="41" t="s">
        <v>53</v>
      </c>
      <c r="H36" s="41" t="s">
        <v>54</v>
      </c>
      <c r="I36" s="41" t="s">
        <v>55</v>
      </c>
      <c r="J36" s="41" t="s">
        <v>1</v>
      </c>
      <c r="K36" s="41" t="s">
        <v>56</v>
      </c>
      <c r="L36" s="41" t="s">
        <v>51</v>
      </c>
      <c r="M36" s="41" t="s">
        <v>52</v>
      </c>
      <c r="N36" s="41" t="s">
        <v>53</v>
      </c>
      <c r="O36" s="41" t="s">
        <v>54</v>
      </c>
      <c r="P36" s="41" t="s">
        <v>55</v>
      </c>
      <c r="Q36" s="41" t="s">
        <v>1</v>
      </c>
      <c r="R36" s="41" t="s">
        <v>56</v>
      </c>
      <c r="S36" s="41" t="s">
        <v>51</v>
      </c>
      <c r="T36" s="41" t="s">
        <v>52</v>
      </c>
      <c r="U36" s="41" t="s">
        <v>53</v>
      </c>
      <c r="V36" s="41" t="s">
        <v>54</v>
      </c>
      <c r="W36" s="41" t="s">
        <v>55</v>
      </c>
      <c r="X36" s="41" t="s">
        <v>1</v>
      </c>
      <c r="Y36" s="41" t="s">
        <v>56</v>
      </c>
      <c r="Z36" s="41" t="s">
        <v>51</v>
      </c>
      <c r="AA36" s="41" t="s">
        <v>52</v>
      </c>
      <c r="AB36" s="41" t="s">
        <v>53</v>
      </c>
      <c r="AC36" s="41" t="s">
        <v>54</v>
      </c>
      <c r="AD36" s="41" t="s">
        <v>55</v>
      </c>
      <c r="AE36" s="41" t="s">
        <v>1</v>
      </c>
      <c r="AF36" s="41" t="s">
        <v>56</v>
      </c>
      <c r="AG36" s="6"/>
    </row>
    <row r="37" spans="1:33">
      <c r="A37" s="22" t="s">
        <v>42</v>
      </c>
      <c r="B37" s="40">
        <v>2</v>
      </c>
      <c r="C37" s="40">
        <v>2</v>
      </c>
      <c r="D37" s="40">
        <v>2</v>
      </c>
      <c r="E37" s="40">
        <v>2</v>
      </c>
      <c r="F37" s="40" t="s">
        <v>2</v>
      </c>
      <c r="G37" s="40" t="s">
        <v>2</v>
      </c>
      <c r="H37" s="40">
        <v>1</v>
      </c>
      <c r="I37" s="40">
        <v>1</v>
      </c>
      <c r="J37" s="40">
        <v>1</v>
      </c>
      <c r="K37" s="40">
        <v>1</v>
      </c>
      <c r="L37" s="40">
        <v>1</v>
      </c>
      <c r="M37" s="40">
        <v>1</v>
      </c>
      <c r="N37" s="40" t="s">
        <v>2</v>
      </c>
      <c r="O37" s="40" t="s">
        <v>2</v>
      </c>
      <c r="P37" s="40">
        <v>3</v>
      </c>
      <c r="Q37" s="40">
        <v>3</v>
      </c>
      <c r="R37" s="40">
        <v>3</v>
      </c>
      <c r="S37" s="40">
        <v>3</v>
      </c>
      <c r="T37" s="40">
        <v>3</v>
      </c>
      <c r="U37" s="40">
        <v>3</v>
      </c>
      <c r="V37" s="40" t="s">
        <v>2</v>
      </c>
      <c r="W37" s="40" t="s">
        <v>2</v>
      </c>
      <c r="X37" s="40">
        <v>2</v>
      </c>
      <c r="Y37" s="40">
        <v>2</v>
      </c>
      <c r="Z37" s="40">
        <v>2</v>
      </c>
      <c r="AA37" s="40">
        <v>2</v>
      </c>
      <c r="AB37" s="40">
        <v>2</v>
      </c>
      <c r="AC37" s="40">
        <v>2</v>
      </c>
      <c r="AD37" s="40" t="s">
        <v>2</v>
      </c>
      <c r="AE37" s="40" t="s">
        <v>2</v>
      </c>
      <c r="AF37" s="40">
        <v>1</v>
      </c>
      <c r="AG37" s="6"/>
    </row>
    <row r="38" spans="1:33">
      <c r="A38" s="22" t="s">
        <v>3</v>
      </c>
      <c r="B38" s="40">
        <v>3</v>
      </c>
      <c r="C38" s="40">
        <v>3</v>
      </c>
      <c r="D38" s="40" t="s">
        <v>2</v>
      </c>
      <c r="E38" s="40" t="s">
        <v>2</v>
      </c>
      <c r="F38" s="40">
        <v>2</v>
      </c>
      <c r="G38" s="40">
        <v>2</v>
      </c>
      <c r="H38" s="40">
        <v>2</v>
      </c>
      <c r="I38" s="40">
        <v>2</v>
      </c>
      <c r="J38" s="40">
        <v>2</v>
      </c>
      <c r="K38" s="40">
        <v>2</v>
      </c>
      <c r="L38" s="40" t="s">
        <v>2</v>
      </c>
      <c r="M38" s="40" t="s">
        <v>2</v>
      </c>
      <c r="N38" s="40">
        <v>1</v>
      </c>
      <c r="O38" s="40">
        <v>1</v>
      </c>
      <c r="P38" s="40">
        <v>1</v>
      </c>
      <c r="Q38" s="40">
        <v>1</v>
      </c>
      <c r="R38" s="40">
        <v>1</v>
      </c>
      <c r="S38" s="40">
        <v>1</v>
      </c>
      <c r="T38" s="40" t="s">
        <v>2</v>
      </c>
      <c r="U38" s="40" t="s">
        <v>2</v>
      </c>
      <c r="V38" s="40">
        <v>3</v>
      </c>
      <c r="W38" s="40">
        <v>3</v>
      </c>
      <c r="X38" s="40">
        <v>3</v>
      </c>
      <c r="Y38" s="40">
        <v>3</v>
      </c>
      <c r="Z38" s="40">
        <v>3</v>
      </c>
      <c r="AA38" s="40">
        <v>3</v>
      </c>
      <c r="AB38" s="40" t="s">
        <v>2</v>
      </c>
      <c r="AC38" s="40" t="s">
        <v>2</v>
      </c>
      <c r="AD38" s="40">
        <v>2</v>
      </c>
      <c r="AE38" s="40">
        <v>2</v>
      </c>
      <c r="AF38" s="40">
        <v>2</v>
      </c>
      <c r="AG38" s="6"/>
    </row>
    <row r="39" spans="1:33">
      <c r="A39" s="22" t="s">
        <v>4</v>
      </c>
      <c r="B39" s="40" t="s">
        <v>2</v>
      </c>
      <c r="C39" s="40" t="s">
        <v>2</v>
      </c>
      <c r="D39" s="40">
        <v>3</v>
      </c>
      <c r="E39" s="40">
        <v>3</v>
      </c>
      <c r="F39" s="40">
        <v>3</v>
      </c>
      <c r="G39" s="40">
        <v>3</v>
      </c>
      <c r="H39" s="40">
        <v>3</v>
      </c>
      <c r="I39" s="40">
        <v>3</v>
      </c>
      <c r="J39" s="40" t="s">
        <v>2</v>
      </c>
      <c r="K39" s="40" t="s">
        <v>2</v>
      </c>
      <c r="L39" s="40">
        <v>2</v>
      </c>
      <c r="M39" s="40">
        <v>2</v>
      </c>
      <c r="N39" s="40">
        <v>2</v>
      </c>
      <c r="O39" s="40">
        <v>2</v>
      </c>
      <c r="P39" s="40">
        <v>2</v>
      </c>
      <c r="Q39" s="40">
        <v>2</v>
      </c>
      <c r="R39" s="40" t="s">
        <v>2</v>
      </c>
      <c r="S39" s="40" t="s">
        <v>2</v>
      </c>
      <c r="T39" s="40">
        <v>1</v>
      </c>
      <c r="U39" s="40">
        <v>1</v>
      </c>
      <c r="V39" s="40">
        <v>1</v>
      </c>
      <c r="W39" s="40">
        <v>1</v>
      </c>
      <c r="X39" s="40">
        <v>1</v>
      </c>
      <c r="Y39" s="40">
        <v>1</v>
      </c>
      <c r="Z39" s="40" t="s">
        <v>2</v>
      </c>
      <c r="AA39" s="40" t="s">
        <v>2</v>
      </c>
      <c r="AB39" s="40">
        <v>3</v>
      </c>
      <c r="AC39" s="40">
        <v>3</v>
      </c>
      <c r="AD39" s="40">
        <v>3</v>
      </c>
      <c r="AE39" s="40">
        <v>3</v>
      </c>
      <c r="AF39" s="40">
        <v>3</v>
      </c>
      <c r="AG39" s="6"/>
    </row>
    <row r="40" spans="1:33">
      <c r="A40" s="22" t="s">
        <v>5</v>
      </c>
      <c r="B40" s="40">
        <v>1</v>
      </c>
      <c r="C40" s="40">
        <v>1</v>
      </c>
      <c r="D40" s="40">
        <v>1</v>
      </c>
      <c r="E40" s="40">
        <v>1</v>
      </c>
      <c r="F40" s="40">
        <v>1</v>
      </c>
      <c r="G40" s="40">
        <v>1</v>
      </c>
      <c r="H40" s="40" t="s">
        <v>2</v>
      </c>
      <c r="I40" s="40" t="s">
        <v>2</v>
      </c>
      <c r="J40" s="40">
        <v>3</v>
      </c>
      <c r="K40" s="40">
        <v>3</v>
      </c>
      <c r="L40" s="40">
        <v>3</v>
      </c>
      <c r="M40" s="40">
        <v>3</v>
      </c>
      <c r="N40" s="40">
        <v>3</v>
      </c>
      <c r="O40" s="40">
        <v>3</v>
      </c>
      <c r="P40" s="40" t="s">
        <v>2</v>
      </c>
      <c r="Q40" s="40" t="s">
        <v>2</v>
      </c>
      <c r="R40" s="40">
        <v>2</v>
      </c>
      <c r="S40" s="40">
        <v>2</v>
      </c>
      <c r="T40" s="40">
        <v>2</v>
      </c>
      <c r="U40" s="40">
        <v>2</v>
      </c>
      <c r="V40" s="40">
        <v>2</v>
      </c>
      <c r="W40" s="40">
        <v>2</v>
      </c>
      <c r="X40" s="40" t="s">
        <v>2</v>
      </c>
      <c r="Y40" s="40" t="s">
        <v>2</v>
      </c>
      <c r="Z40" s="40">
        <v>1</v>
      </c>
      <c r="AA40" s="40">
        <v>1</v>
      </c>
      <c r="AB40" s="40">
        <v>1</v>
      </c>
      <c r="AC40" s="40">
        <v>1</v>
      </c>
      <c r="AD40" s="40">
        <v>1</v>
      </c>
      <c r="AE40" s="40">
        <v>1</v>
      </c>
      <c r="AF40" s="40" t="s">
        <v>2</v>
      </c>
      <c r="AG40" s="6"/>
    </row>
    <row r="41" spans="1:3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6"/>
    </row>
    <row r="42" spans="1:3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6"/>
    </row>
    <row r="43" spans="1:33">
      <c r="A43" s="21" t="s">
        <v>10</v>
      </c>
      <c r="B43" s="42">
        <v>1</v>
      </c>
      <c r="C43" s="42">
        <v>2</v>
      </c>
      <c r="D43" s="42">
        <v>3</v>
      </c>
      <c r="E43" s="42">
        <v>4</v>
      </c>
      <c r="F43" s="42">
        <v>5</v>
      </c>
      <c r="G43" s="42">
        <v>6</v>
      </c>
      <c r="H43" s="42">
        <v>7</v>
      </c>
      <c r="I43" s="42">
        <v>8</v>
      </c>
      <c r="J43" s="42">
        <v>9</v>
      </c>
      <c r="K43" s="42">
        <v>10</v>
      </c>
      <c r="L43" s="42">
        <v>11</v>
      </c>
      <c r="M43" s="42">
        <v>12</v>
      </c>
      <c r="N43" s="42">
        <v>13</v>
      </c>
      <c r="O43" s="42">
        <v>14</v>
      </c>
      <c r="P43" s="42">
        <v>15</v>
      </c>
      <c r="Q43" s="42">
        <v>16</v>
      </c>
      <c r="R43" s="42">
        <v>17</v>
      </c>
      <c r="S43" s="42">
        <v>18</v>
      </c>
      <c r="T43" s="42">
        <v>19</v>
      </c>
      <c r="U43" s="42">
        <v>20</v>
      </c>
      <c r="V43" s="42">
        <v>21</v>
      </c>
      <c r="W43" s="42">
        <v>22</v>
      </c>
      <c r="X43" s="42">
        <v>23</v>
      </c>
      <c r="Y43" s="42">
        <v>24</v>
      </c>
      <c r="Z43" s="42">
        <v>25</v>
      </c>
      <c r="AA43" s="42">
        <v>26</v>
      </c>
      <c r="AB43" s="42">
        <v>27</v>
      </c>
      <c r="AC43" s="42">
        <v>28</v>
      </c>
      <c r="AD43" s="42">
        <v>29</v>
      </c>
      <c r="AE43" s="42">
        <v>30</v>
      </c>
      <c r="AF43" s="7"/>
      <c r="AG43" s="6"/>
    </row>
    <row r="44" spans="1:33">
      <c r="A44" s="22"/>
      <c r="B44" s="41" t="s">
        <v>51</v>
      </c>
      <c r="C44" s="41" t="s">
        <v>52</v>
      </c>
      <c r="D44" s="41" t="s">
        <v>53</v>
      </c>
      <c r="E44" s="41" t="s">
        <v>54</v>
      </c>
      <c r="F44" s="41" t="s">
        <v>55</v>
      </c>
      <c r="G44" s="41" t="s">
        <v>1</v>
      </c>
      <c r="H44" s="41" t="s">
        <v>56</v>
      </c>
      <c r="I44" s="41" t="s">
        <v>51</v>
      </c>
      <c r="J44" s="41" t="s">
        <v>52</v>
      </c>
      <c r="K44" s="41" t="s">
        <v>53</v>
      </c>
      <c r="L44" s="41" t="s">
        <v>54</v>
      </c>
      <c r="M44" s="41" t="s">
        <v>55</v>
      </c>
      <c r="N44" s="41" t="s">
        <v>1</v>
      </c>
      <c r="O44" s="41" t="s">
        <v>56</v>
      </c>
      <c r="P44" s="41" t="s">
        <v>51</v>
      </c>
      <c r="Q44" s="41" t="s">
        <v>52</v>
      </c>
      <c r="R44" s="41" t="s">
        <v>53</v>
      </c>
      <c r="S44" s="41" t="s">
        <v>54</v>
      </c>
      <c r="T44" s="41" t="s">
        <v>55</v>
      </c>
      <c r="U44" s="41" t="s">
        <v>1</v>
      </c>
      <c r="V44" s="41" t="s">
        <v>56</v>
      </c>
      <c r="W44" s="41" t="s">
        <v>51</v>
      </c>
      <c r="X44" s="41" t="s">
        <v>52</v>
      </c>
      <c r="Y44" s="41" t="s">
        <v>53</v>
      </c>
      <c r="Z44" s="41" t="s">
        <v>54</v>
      </c>
      <c r="AA44" s="41" t="s">
        <v>55</v>
      </c>
      <c r="AB44" s="41" t="s">
        <v>1</v>
      </c>
      <c r="AC44" s="41" t="s">
        <v>56</v>
      </c>
      <c r="AD44" s="41" t="s">
        <v>51</v>
      </c>
      <c r="AE44" s="41" t="s">
        <v>52</v>
      </c>
      <c r="AF44" s="7"/>
      <c r="AG44" s="6"/>
    </row>
    <row r="45" spans="1:33">
      <c r="A45" s="22" t="s">
        <v>42</v>
      </c>
      <c r="B45" s="40">
        <v>1</v>
      </c>
      <c r="C45" s="40">
        <v>1</v>
      </c>
      <c r="D45" s="40">
        <v>1</v>
      </c>
      <c r="E45" s="40">
        <v>1</v>
      </c>
      <c r="F45" s="40">
        <v>1</v>
      </c>
      <c r="G45" s="40" t="s">
        <v>2</v>
      </c>
      <c r="H45" s="40" t="s">
        <v>2</v>
      </c>
      <c r="I45" s="40">
        <v>3</v>
      </c>
      <c r="J45" s="40">
        <v>3</v>
      </c>
      <c r="K45" s="40">
        <v>3</v>
      </c>
      <c r="L45" s="40">
        <v>3</v>
      </c>
      <c r="M45" s="40">
        <v>3</v>
      </c>
      <c r="N45" s="40">
        <v>3</v>
      </c>
      <c r="O45" s="40" t="s">
        <v>2</v>
      </c>
      <c r="P45" s="40" t="s">
        <v>2</v>
      </c>
      <c r="Q45" s="40">
        <v>2</v>
      </c>
      <c r="R45" s="40">
        <v>2</v>
      </c>
      <c r="S45" s="40">
        <v>2</v>
      </c>
      <c r="T45" s="40">
        <v>2</v>
      </c>
      <c r="U45" s="40">
        <v>2</v>
      </c>
      <c r="V45" s="40">
        <v>2</v>
      </c>
      <c r="W45" s="40" t="s">
        <v>2</v>
      </c>
      <c r="X45" s="40" t="s">
        <v>2</v>
      </c>
      <c r="Y45" s="40">
        <v>1</v>
      </c>
      <c r="Z45" s="40">
        <v>1</v>
      </c>
      <c r="AA45" s="40">
        <v>1</v>
      </c>
      <c r="AB45" s="40">
        <v>1</v>
      </c>
      <c r="AC45" s="40">
        <v>1</v>
      </c>
      <c r="AD45" s="40">
        <v>1</v>
      </c>
      <c r="AE45" s="40" t="s">
        <v>2</v>
      </c>
      <c r="AF45" s="7"/>
      <c r="AG45" s="6"/>
    </row>
    <row r="46" spans="1:33">
      <c r="A46" s="22" t="s">
        <v>3</v>
      </c>
      <c r="B46" s="40">
        <v>2</v>
      </c>
      <c r="C46" s="40">
        <v>2</v>
      </c>
      <c r="D46" s="40">
        <v>2</v>
      </c>
      <c r="E46" s="40" t="s">
        <v>2</v>
      </c>
      <c r="F46" s="40" t="s">
        <v>2</v>
      </c>
      <c r="G46" s="40">
        <v>1</v>
      </c>
      <c r="H46" s="40">
        <v>1</v>
      </c>
      <c r="I46" s="40">
        <v>1</v>
      </c>
      <c r="J46" s="40">
        <v>1</v>
      </c>
      <c r="K46" s="40">
        <v>1</v>
      </c>
      <c r="L46" s="40">
        <v>1</v>
      </c>
      <c r="M46" s="40" t="s">
        <v>2</v>
      </c>
      <c r="N46" s="40" t="s">
        <v>2</v>
      </c>
      <c r="O46" s="40">
        <v>3</v>
      </c>
      <c r="P46" s="40">
        <v>3</v>
      </c>
      <c r="Q46" s="40">
        <v>3</v>
      </c>
      <c r="R46" s="40">
        <v>3</v>
      </c>
      <c r="S46" s="40">
        <v>3</v>
      </c>
      <c r="T46" s="40">
        <v>3</v>
      </c>
      <c r="U46" s="40" t="s">
        <v>2</v>
      </c>
      <c r="V46" s="40" t="s">
        <v>2</v>
      </c>
      <c r="W46" s="40">
        <v>2</v>
      </c>
      <c r="X46" s="40">
        <v>2</v>
      </c>
      <c r="Y46" s="40">
        <v>2</v>
      </c>
      <c r="Z46" s="40">
        <v>2</v>
      </c>
      <c r="AA46" s="40">
        <v>2</v>
      </c>
      <c r="AB46" s="40">
        <v>2</v>
      </c>
      <c r="AC46" s="40" t="s">
        <v>2</v>
      </c>
      <c r="AD46" s="40" t="s">
        <v>2</v>
      </c>
      <c r="AE46" s="40">
        <v>1</v>
      </c>
      <c r="AF46" s="7"/>
      <c r="AG46" s="6"/>
    </row>
    <row r="47" spans="1:33">
      <c r="A47" s="22" t="s">
        <v>4</v>
      </c>
      <c r="B47" s="40">
        <v>3</v>
      </c>
      <c r="C47" s="40" t="s">
        <v>2</v>
      </c>
      <c r="D47" s="40" t="s">
        <v>2</v>
      </c>
      <c r="E47" s="40">
        <v>2</v>
      </c>
      <c r="F47" s="40">
        <v>2</v>
      </c>
      <c r="G47" s="40">
        <v>2</v>
      </c>
      <c r="H47" s="40">
        <v>2</v>
      </c>
      <c r="I47" s="40">
        <v>2</v>
      </c>
      <c r="J47" s="40">
        <v>2</v>
      </c>
      <c r="K47" s="40" t="s">
        <v>2</v>
      </c>
      <c r="L47" s="40" t="s">
        <v>2</v>
      </c>
      <c r="M47" s="40">
        <v>1</v>
      </c>
      <c r="N47" s="40">
        <v>1</v>
      </c>
      <c r="O47" s="40">
        <v>1</v>
      </c>
      <c r="P47" s="40">
        <v>1</v>
      </c>
      <c r="Q47" s="40">
        <v>1</v>
      </c>
      <c r="R47" s="40">
        <v>1</v>
      </c>
      <c r="S47" s="40" t="s">
        <v>2</v>
      </c>
      <c r="T47" s="40" t="s">
        <v>2</v>
      </c>
      <c r="U47" s="40">
        <v>3</v>
      </c>
      <c r="V47" s="40">
        <v>3</v>
      </c>
      <c r="W47" s="40">
        <v>3</v>
      </c>
      <c r="X47" s="40">
        <v>3</v>
      </c>
      <c r="Y47" s="40">
        <v>3</v>
      </c>
      <c r="Z47" s="40">
        <v>3</v>
      </c>
      <c r="AA47" s="40" t="s">
        <v>2</v>
      </c>
      <c r="AB47" s="40" t="s">
        <v>2</v>
      </c>
      <c r="AC47" s="40">
        <v>2</v>
      </c>
      <c r="AD47" s="40">
        <v>2</v>
      </c>
      <c r="AE47" s="40">
        <v>2</v>
      </c>
      <c r="AF47" s="8"/>
      <c r="AG47" s="6"/>
    </row>
    <row r="48" spans="1:33">
      <c r="A48" s="22" t="s">
        <v>5</v>
      </c>
      <c r="B48" s="40" t="s">
        <v>2</v>
      </c>
      <c r="C48" s="40">
        <v>3</v>
      </c>
      <c r="D48" s="40">
        <v>3</v>
      </c>
      <c r="E48" s="40">
        <v>3</v>
      </c>
      <c r="F48" s="40">
        <v>3</v>
      </c>
      <c r="G48" s="40">
        <v>3</v>
      </c>
      <c r="H48" s="40">
        <v>3</v>
      </c>
      <c r="I48" s="40" t="s">
        <v>2</v>
      </c>
      <c r="J48" s="40" t="s">
        <v>2</v>
      </c>
      <c r="K48" s="40">
        <v>2</v>
      </c>
      <c r="L48" s="40">
        <v>2</v>
      </c>
      <c r="M48" s="40">
        <v>2</v>
      </c>
      <c r="N48" s="40">
        <v>2</v>
      </c>
      <c r="O48" s="40">
        <v>2</v>
      </c>
      <c r="P48" s="40">
        <v>2</v>
      </c>
      <c r="Q48" s="40" t="s">
        <v>2</v>
      </c>
      <c r="R48" s="40" t="s">
        <v>2</v>
      </c>
      <c r="S48" s="40">
        <v>1</v>
      </c>
      <c r="T48" s="40">
        <v>1</v>
      </c>
      <c r="U48" s="40">
        <v>1</v>
      </c>
      <c r="V48" s="40">
        <v>1</v>
      </c>
      <c r="W48" s="40">
        <v>1</v>
      </c>
      <c r="X48" s="40">
        <v>1</v>
      </c>
      <c r="Y48" s="40" t="s">
        <v>2</v>
      </c>
      <c r="Z48" s="40" t="s">
        <v>2</v>
      </c>
      <c r="AA48" s="40">
        <v>3</v>
      </c>
      <c r="AB48" s="40">
        <v>3</v>
      </c>
      <c r="AC48" s="40">
        <v>3</v>
      </c>
      <c r="AD48" s="40">
        <v>3</v>
      </c>
      <c r="AE48" s="40">
        <v>3</v>
      </c>
      <c r="AF48" s="8"/>
      <c r="AG48" s="6"/>
    </row>
    <row r="49" spans="1:3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6"/>
    </row>
    <row r="50" spans="1:3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6"/>
    </row>
    <row r="51" spans="1:33">
      <c r="A51" s="21" t="s">
        <v>11</v>
      </c>
      <c r="B51" s="42">
        <v>1</v>
      </c>
      <c r="C51" s="42">
        <v>2</v>
      </c>
      <c r="D51" s="42">
        <v>3</v>
      </c>
      <c r="E51" s="42">
        <v>4</v>
      </c>
      <c r="F51" s="42">
        <v>5</v>
      </c>
      <c r="G51" s="42">
        <v>6</v>
      </c>
      <c r="H51" s="42">
        <v>7</v>
      </c>
      <c r="I51" s="42">
        <v>8</v>
      </c>
      <c r="J51" s="42">
        <v>9</v>
      </c>
      <c r="K51" s="42">
        <v>10</v>
      </c>
      <c r="L51" s="42">
        <v>11</v>
      </c>
      <c r="M51" s="42">
        <v>12</v>
      </c>
      <c r="N51" s="42">
        <v>13</v>
      </c>
      <c r="O51" s="42">
        <v>14</v>
      </c>
      <c r="P51" s="42">
        <v>15</v>
      </c>
      <c r="Q51" s="42">
        <v>16</v>
      </c>
      <c r="R51" s="42">
        <v>17</v>
      </c>
      <c r="S51" s="42">
        <v>18</v>
      </c>
      <c r="T51" s="42">
        <v>19</v>
      </c>
      <c r="U51" s="42">
        <v>20</v>
      </c>
      <c r="V51" s="42">
        <v>21</v>
      </c>
      <c r="W51" s="42">
        <v>22</v>
      </c>
      <c r="X51" s="42">
        <v>23</v>
      </c>
      <c r="Y51" s="42">
        <v>24</v>
      </c>
      <c r="Z51" s="42">
        <v>25</v>
      </c>
      <c r="AA51" s="42">
        <v>26</v>
      </c>
      <c r="AB51" s="42">
        <v>27</v>
      </c>
      <c r="AC51" s="42">
        <v>28</v>
      </c>
      <c r="AD51" s="42">
        <v>29</v>
      </c>
      <c r="AE51" s="42">
        <v>30</v>
      </c>
      <c r="AF51" s="42">
        <v>31</v>
      </c>
      <c r="AG51" s="6"/>
    </row>
    <row r="52" spans="1:33">
      <c r="A52" s="22"/>
      <c r="B52" s="41" t="s">
        <v>53</v>
      </c>
      <c r="C52" s="41" t="s">
        <v>54</v>
      </c>
      <c r="D52" s="41" t="s">
        <v>55</v>
      </c>
      <c r="E52" s="41" t="s">
        <v>1</v>
      </c>
      <c r="F52" s="41" t="s">
        <v>56</v>
      </c>
      <c r="G52" s="41" t="s">
        <v>51</v>
      </c>
      <c r="H52" s="41" t="s">
        <v>52</v>
      </c>
      <c r="I52" s="41" t="s">
        <v>53</v>
      </c>
      <c r="J52" s="41" t="s">
        <v>54</v>
      </c>
      <c r="K52" s="41" t="s">
        <v>55</v>
      </c>
      <c r="L52" s="41" t="s">
        <v>1</v>
      </c>
      <c r="M52" s="41" t="s">
        <v>56</v>
      </c>
      <c r="N52" s="41" t="s">
        <v>51</v>
      </c>
      <c r="O52" s="41" t="s">
        <v>52</v>
      </c>
      <c r="P52" s="41" t="s">
        <v>53</v>
      </c>
      <c r="Q52" s="41" t="s">
        <v>54</v>
      </c>
      <c r="R52" s="41" t="s">
        <v>55</v>
      </c>
      <c r="S52" s="41" t="s">
        <v>1</v>
      </c>
      <c r="T52" s="41" t="s">
        <v>56</v>
      </c>
      <c r="U52" s="41" t="s">
        <v>51</v>
      </c>
      <c r="V52" s="41" t="s">
        <v>52</v>
      </c>
      <c r="W52" s="41" t="s">
        <v>53</v>
      </c>
      <c r="X52" s="41" t="s">
        <v>54</v>
      </c>
      <c r="Y52" s="41" t="s">
        <v>55</v>
      </c>
      <c r="Z52" s="41" t="s">
        <v>1</v>
      </c>
      <c r="AA52" s="41" t="s">
        <v>56</v>
      </c>
      <c r="AB52" s="41" t="s">
        <v>51</v>
      </c>
      <c r="AC52" s="41" t="s">
        <v>52</v>
      </c>
      <c r="AD52" s="41" t="s">
        <v>53</v>
      </c>
      <c r="AE52" s="41" t="s">
        <v>54</v>
      </c>
      <c r="AF52" s="41" t="s">
        <v>55</v>
      </c>
      <c r="AG52" s="6"/>
    </row>
    <row r="53" spans="1:33">
      <c r="A53" s="22" t="s">
        <v>42</v>
      </c>
      <c r="B53" s="40" t="s">
        <v>2</v>
      </c>
      <c r="C53" s="40">
        <v>3</v>
      </c>
      <c r="D53" s="40">
        <v>3</v>
      </c>
      <c r="E53" s="40">
        <v>3</v>
      </c>
      <c r="F53" s="40">
        <v>3</v>
      </c>
      <c r="G53" s="40">
        <v>3</v>
      </c>
      <c r="H53" s="40">
        <v>3</v>
      </c>
      <c r="I53" s="40" t="s">
        <v>2</v>
      </c>
      <c r="J53" s="40" t="s">
        <v>2</v>
      </c>
      <c r="K53" s="40">
        <v>2</v>
      </c>
      <c r="L53" s="40">
        <v>2</v>
      </c>
      <c r="M53" s="40">
        <v>2</v>
      </c>
      <c r="N53" s="40">
        <v>2</v>
      </c>
      <c r="O53" s="40">
        <v>2</v>
      </c>
      <c r="P53" s="40">
        <v>2</v>
      </c>
      <c r="Q53" s="40" t="s">
        <v>2</v>
      </c>
      <c r="R53" s="40" t="s">
        <v>2</v>
      </c>
      <c r="S53" s="40">
        <v>1</v>
      </c>
      <c r="T53" s="40">
        <v>1</v>
      </c>
      <c r="U53" s="40">
        <v>1</v>
      </c>
      <c r="V53" s="40">
        <v>1</v>
      </c>
      <c r="W53" s="40">
        <v>1</v>
      </c>
      <c r="X53" s="40">
        <v>1</v>
      </c>
      <c r="Y53" s="40" t="s">
        <v>2</v>
      </c>
      <c r="Z53" s="40" t="s">
        <v>2</v>
      </c>
      <c r="AA53" s="40">
        <v>3</v>
      </c>
      <c r="AB53" s="40">
        <v>3</v>
      </c>
      <c r="AC53" s="40">
        <v>3</v>
      </c>
      <c r="AD53" s="40">
        <v>3</v>
      </c>
      <c r="AE53" s="40">
        <v>3</v>
      </c>
      <c r="AF53" s="40">
        <v>3</v>
      </c>
      <c r="AG53" s="6"/>
    </row>
    <row r="54" spans="1:33">
      <c r="A54" s="22" t="s">
        <v>3</v>
      </c>
      <c r="B54" s="40">
        <v>1</v>
      </c>
      <c r="C54" s="40">
        <v>1</v>
      </c>
      <c r="D54" s="40">
        <v>1</v>
      </c>
      <c r="E54" s="40">
        <v>1</v>
      </c>
      <c r="F54" s="40">
        <v>1</v>
      </c>
      <c r="G54" s="40" t="s">
        <v>2</v>
      </c>
      <c r="H54" s="40" t="s">
        <v>2</v>
      </c>
      <c r="I54" s="40">
        <v>3</v>
      </c>
      <c r="J54" s="40">
        <v>3</v>
      </c>
      <c r="K54" s="40">
        <v>3</v>
      </c>
      <c r="L54" s="40">
        <v>3</v>
      </c>
      <c r="M54" s="40">
        <v>3</v>
      </c>
      <c r="N54" s="40">
        <v>3</v>
      </c>
      <c r="O54" s="40" t="s">
        <v>2</v>
      </c>
      <c r="P54" s="40" t="s">
        <v>2</v>
      </c>
      <c r="Q54" s="40">
        <v>2</v>
      </c>
      <c r="R54" s="40">
        <v>2</v>
      </c>
      <c r="S54" s="40">
        <v>2</v>
      </c>
      <c r="T54" s="40">
        <v>2</v>
      </c>
      <c r="U54" s="40">
        <v>2</v>
      </c>
      <c r="V54" s="40">
        <v>2</v>
      </c>
      <c r="W54" s="40" t="s">
        <v>2</v>
      </c>
      <c r="X54" s="40" t="s">
        <v>2</v>
      </c>
      <c r="Y54" s="40">
        <v>1</v>
      </c>
      <c r="Z54" s="40">
        <v>1</v>
      </c>
      <c r="AA54" s="40">
        <v>1</v>
      </c>
      <c r="AB54" s="40">
        <v>1</v>
      </c>
      <c r="AC54" s="40">
        <v>1</v>
      </c>
      <c r="AD54" s="40">
        <v>1</v>
      </c>
      <c r="AE54" s="40" t="s">
        <v>2</v>
      </c>
      <c r="AF54" s="40" t="s">
        <v>2</v>
      </c>
      <c r="AG54" s="6"/>
    </row>
    <row r="55" spans="1:33">
      <c r="A55" s="22" t="s">
        <v>4</v>
      </c>
      <c r="B55" s="40">
        <v>2</v>
      </c>
      <c r="C55" s="40">
        <v>2</v>
      </c>
      <c r="D55" s="40">
        <v>2</v>
      </c>
      <c r="E55" s="40" t="s">
        <v>2</v>
      </c>
      <c r="F55" s="40" t="s">
        <v>2</v>
      </c>
      <c r="G55" s="40">
        <v>1</v>
      </c>
      <c r="H55" s="40">
        <v>1</v>
      </c>
      <c r="I55" s="40">
        <v>1</v>
      </c>
      <c r="J55" s="40">
        <v>1</v>
      </c>
      <c r="K55" s="40">
        <v>1</v>
      </c>
      <c r="L55" s="40">
        <v>1</v>
      </c>
      <c r="M55" s="40" t="s">
        <v>2</v>
      </c>
      <c r="N55" s="40" t="s">
        <v>2</v>
      </c>
      <c r="O55" s="40">
        <v>3</v>
      </c>
      <c r="P55" s="40">
        <v>3</v>
      </c>
      <c r="Q55" s="40">
        <v>3</v>
      </c>
      <c r="R55" s="40">
        <v>3</v>
      </c>
      <c r="S55" s="40">
        <v>3</v>
      </c>
      <c r="T55" s="40">
        <v>3</v>
      </c>
      <c r="U55" s="40" t="s">
        <v>2</v>
      </c>
      <c r="V55" s="40" t="s">
        <v>2</v>
      </c>
      <c r="W55" s="40">
        <v>2</v>
      </c>
      <c r="X55" s="40">
        <v>2</v>
      </c>
      <c r="Y55" s="40">
        <v>2</v>
      </c>
      <c r="Z55" s="40">
        <v>2</v>
      </c>
      <c r="AA55" s="40">
        <v>2</v>
      </c>
      <c r="AB55" s="40">
        <v>2</v>
      </c>
      <c r="AC55" s="40" t="s">
        <v>2</v>
      </c>
      <c r="AD55" s="40" t="s">
        <v>2</v>
      </c>
      <c r="AE55" s="40">
        <v>1</v>
      </c>
      <c r="AF55" s="40">
        <v>1</v>
      </c>
      <c r="AG55" s="6"/>
    </row>
    <row r="56" spans="1:33">
      <c r="A56" s="22" t="s">
        <v>5</v>
      </c>
      <c r="B56" s="40">
        <v>3</v>
      </c>
      <c r="C56" s="40" t="s">
        <v>2</v>
      </c>
      <c r="D56" s="40" t="s">
        <v>2</v>
      </c>
      <c r="E56" s="40">
        <v>2</v>
      </c>
      <c r="F56" s="40">
        <v>2</v>
      </c>
      <c r="G56" s="40">
        <v>2</v>
      </c>
      <c r="H56" s="40">
        <v>2</v>
      </c>
      <c r="I56" s="40">
        <v>2</v>
      </c>
      <c r="J56" s="40">
        <v>2</v>
      </c>
      <c r="K56" s="40" t="s">
        <v>2</v>
      </c>
      <c r="L56" s="40" t="s">
        <v>2</v>
      </c>
      <c r="M56" s="40">
        <v>1</v>
      </c>
      <c r="N56" s="40">
        <v>1</v>
      </c>
      <c r="O56" s="40">
        <v>1</v>
      </c>
      <c r="P56" s="40">
        <v>1</v>
      </c>
      <c r="Q56" s="40">
        <v>1</v>
      </c>
      <c r="R56" s="40">
        <v>1</v>
      </c>
      <c r="S56" s="40" t="s">
        <v>2</v>
      </c>
      <c r="T56" s="40" t="s">
        <v>2</v>
      </c>
      <c r="U56" s="40">
        <v>3</v>
      </c>
      <c r="V56" s="40">
        <v>3</v>
      </c>
      <c r="W56" s="40">
        <v>3</v>
      </c>
      <c r="X56" s="40">
        <v>3</v>
      </c>
      <c r="Y56" s="40">
        <v>3</v>
      </c>
      <c r="Z56" s="40">
        <v>3</v>
      </c>
      <c r="AA56" s="40" t="s">
        <v>2</v>
      </c>
      <c r="AB56" s="40" t="s">
        <v>2</v>
      </c>
      <c r="AC56" s="40">
        <v>2</v>
      </c>
      <c r="AD56" s="40">
        <v>2</v>
      </c>
      <c r="AE56" s="40">
        <v>2</v>
      </c>
      <c r="AF56" s="40">
        <v>2</v>
      </c>
      <c r="AG56" s="6"/>
    </row>
    <row r="57" spans="1:3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6"/>
    </row>
    <row r="58" spans="1:33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6"/>
    </row>
    <row r="59" spans="1:33" ht="12" customHeight="1">
      <c r="A59" s="21" t="s">
        <v>12</v>
      </c>
      <c r="B59" s="42">
        <v>1</v>
      </c>
      <c r="C59" s="42">
        <v>2</v>
      </c>
      <c r="D59" s="42">
        <v>3</v>
      </c>
      <c r="E59" s="42">
        <v>4</v>
      </c>
      <c r="F59" s="42">
        <v>5</v>
      </c>
      <c r="G59" s="42">
        <v>6</v>
      </c>
      <c r="H59" s="42">
        <v>7</v>
      </c>
      <c r="I59" s="42">
        <v>8</v>
      </c>
      <c r="J59" s="42">
        <v>9</v>
      </c>
      <c r="K59" s="42">
        <v>10</v>
      </c>
      <c r="L59" s="42">
        <v>11</v>
      </c>
      <c r="M59" s="42">
        <v>12</v>
      </c>
      <c r="N59" s="42">
        <v>13</v>
      </c>
      <c r="O59" s="42">
        <v>14</v>
      </c>
      <c r="P59" s="42">
        <v>15</v>
      </c>
      <c r="Q59" s="42">
        <v>16</v>
      </c>
      <c r="R59" s="42">
        <v>17</v>
      </c>
      <c r="S59" s="42">
        <v>18</v>
      </c>
      <c r="T59" s="42">
        <v>19</v>
      </c>
      <c r="U59" s="42">
        <v>20</v>
      </c>
      <c r="V59" s="42">
        <v>21</v>
      </c>
      <c r="W59" s="42">
        <v>22</v>
      </c>
      <c r="X59" s="42">
        <v>23</v>
      </c>
      <c r="Y59" s="42">
        <v>24</v>
      </c>
      <c r="Z59" s="42">
        <v>25</v>
      </c>
      <c r="AA59" s="42">
        <v>26</v>
      </c>
      <c r="AB59" s="42">
        <v>27</v>
      </c>
      <c r="AC59" s="42">
        <v>28</v>
      </c>
      <c r="AD59" s="42">
        <v>29</v>
      </c>
      <c r="AE59" s="42">
        <v>30</v>
      </c>
      <c r="AF59" s="42">
        <v>31</v>
      </c>
      <c r="AG59" s="6"/>
    </row>
    <row r="60" spans="1:33" ht="11.25" customHeight="1">
      <c r="A60" s="22"/>
      <c r="B60" s="41" t="s">
        <v>1</v>
      </c>
      <c r="C60" s="41" t="s">
        <v>56</v>
      </c>
      <c r="D60" s="41" t="s">
        <v>51</v>
      </c>
      <c r="E60" s="41" t="s">
        <v>52</v>
      </c>
      <c r="F60" s="41" t="s">
        <v>53</v>
      </c>
      <c r="G60" s="41" t="s">
        <v>54</v>
      </c>
      <c r="H60" s="41" t="s">
        <v>55</v>
      </c>
      <c r="I60" s="41" t="s">
        <v>1</v>
      </c>
      <c r="J60" s="41" t="s">
        <v>56</v>
      </c>
      <c r="K60" s="41" t="s">
        <v>51</v>
      </c>
      <c r="L60" s="41" t="s">
        <v>52</v>
      </c>
      <c r="M60" s="41" t="s">
        <v>53</v>
      </c>
      <c r="N60" s="41" t="s">
        <v>54</v>
      </c>
      <c r="O60" s="41" t="s">
        <v>55</v>
      </c>
      <c r="P60" s="41" t="s">
        <v>1</v>
      </c>
      <c r="Q60" s="41" t="s">
        <v>56</v>
      </c>
      <c r="R60" s="41" t="s">
        <v>51</v>
      </c>
      <c r="S60" s="41" t="s">
        <v>52</v>
      </c>
      <c r="T60" s="41" t="s">
        <v>53</v>
      </c>
      <c r="U60" s="41" t="s">
        <v>54</v>
      </c>
      <c r="V60" s="41" t="s">
        <v>55</v>
      </c>
      <c r="W60" s="41" t="s">
        <v>1</v>
      </c>
      <c r="X60" s="41" t="s">
        <v>56</v>
      </c>
      <c r="Y60" s="41" t="s">
        <v>51</v>
      </c>
      <c r="Z60" s="41" t="s">
        <v>52</v>
      </c>
      <c r="AA60" s="41" t="s">
        <v>53</v>
      </c>
      <c r="AB60" s="41" t="s">
        <v>54</v>
      </c>
      <c r="AC60" s="41" t="s">
        <v>55</v>
      </c>
      <c r="AD60" s="41" t="s">
        <v>1</v>
      </c>
      <c r="AE60" s="41" t="s">
        <v>56</v>
      </c>
      <c r="AF60" s="41" t="s">
        <v>51</v>
      </c>
      <c r="AG60" s="6"/>
    </row>
    <row r="61" spans="1:33">
      <c r="A61" s="22" t="s">
        <v>42</v>
      </c>
      <c r="B61" s="40" t="s">
        <v>2</v>
      </c>
      <c r="C61" s="40" t="s">
        <v>2</v>
      </c>
      <c r="D61" s="40">
        <v>2</v>
      </c>
      <c r="E61" s="40">
        <v>2</v>
      </c>
      <c r="F61" s="40">
        <v>2</v>
      </c>
      <c r="G61" s="40">
        <v>2</v>
      </c>
      <c r="H61" s="40">
        <v>2</v>
      </c>
      <c r="I61" s="40">
        <v>2</v>
      </c>
      <c r="J61" s="40" t="s">
        <v>2</v>
      </c>
      <c r="K61" s="40" t="s">
        <v>2</v>
      </c>
      <c r="L61" s="40">
        <v>1</v>
      </c>
      <c r="M61" s="40">
        <v>1</v>
      </c>
      <c r="N61" s="40">
        <v>1</v>
      </c>
      <c r="O61" s="40">
        <v>1</v>
      </c>
      <c r="P61" s="40">
        <v>1</v>
      </c>
      <c r="Q61" s="40">
        <v>1</v>
      </c>
      <c r="R61" s="40" t="s">
        <v>2</v>
      </c>
      <c r="S61" s="40" t="s">
        <v>2</v>
      </c>
      <c r="T61" s="40">
        <v>3</v>
      </c>
      <c r="U61" s="40">
        <v>3</v>
      </c>
      <c r="V61" s="40">
        <v>3</v>
      </c>
      <c r="W61" s="40">
        <v>3</v>
      </c>
      <c r="X61" s="40">
        <v>3</v>
      </c>
      <c r="Y61" s="40">
        <v>3</v>
      </c>
      <c r="Z61" s="40" t="s">
        <v>2</v>
      </c>
      <c r="AA61" s="40" t="s">
        <v>2</v>
      </c>
      <c r="AB61" s="40">
        <v>2</v>
      </c>
      <c r="AC61" s="40">
        <v>2</v>
      </c>
      <c r="AD61" s="40">
        <v>2</v>
      </c>
      <c r="AE61" s="40">
        <v>2</v>
      </c>
      <c r="AF61" s="40">
        <v>2</v>
      </c>
      <c r="AG61" s="6"/>
    </row>
    <row r="62" spans="1:33">
      <c r="A62" s="22" t="s">
        <v>3</v>
      </c>
      <c r="B62" s="40">
        <v>3</v>
      </c>
      <c r="C62" s="40">
        <v>3</v>
      </c>
      <c r="D62" s="40">
        <v>3</v>
      </c>
      <c r="E62" s="40">
        <v>3</v>
      </c>
      <c r="F62" s="40">
        <v>3</v>
      </c>
      <c r="G62" s="40">
        <v>3</v>
      </c>
      <c r="H62" s="40" t="s">
        <v>2</v>
      </c>
      <c r="I62" s="40" t="s">
        <v>2</v>
      </c>
      <c r="J62" s="40">
        <v>2</v>
      </c>
      <c r="K62" s="40">
        <v>2</v>
      </c>
      <c r="L62" s="40">
        <v>2</v>
      </c>
      <c r="M62" s="40">
        <v>2</v>
      </c>
      <c r="N62" s="40">
        <v>2</v>
      </c>
      <c r="O62" s="40">
        <v>2</v>
      </c>
      <c r="P62" s="40" t="s">
        <v>2</v>
      </c>
      <c r="Q62" s="40" t="s">
        <v>2</v>
      </c>
      <c r="R62" s="40">
        <v>1</v>
      </c>
      <c r="S62" s="40">
        <v>1</v>
      </c>
      <c r="T62" s="40">
        <v>1</v>
      </c>
      <c r="U62" s="40">
        <v>1</v>
      </c>
      <c r="V62" s="40">
        <v>1</v>
      </c>
      <c r="W62" s="40">
        <v>1</v>
      </c>
      <c r="X62" s="40" t="s">
        <v>2</v>
      </c>
      <c r="Y62" s="40" t="s">
        <v>2</v>
      </c>
      <c r="Z62" s="40">
        <v>3</v>
      </c>
      <c r="AA62" s="40">
        <v>3</v>
      </c>
      <c r="AB62" s="40">
        <v>3</v>
      </c>
      <c r="AC62" s="40">
        <v>3</v>
      </c>
      <c r="AD62" s="40">
        <v>3</v>
      </c>
      <c r="AE62" s="40">
        <v>3</v>
      </c>
      <c r="AF62" s="40" t="s">
        <v>2</v>
      </c>
      <c r="AG62" s="6"/>
    </row>
    <row r="63" spans="1:33">
      <c r="A63" s="22" t="s">
        <v>4</v>
      </c>
      <c r="B63" s="40">
        <v>1</v>
      </c>
      <c r="C63" s="40">
        <v>1</v>
      </c>
      <c r="D63" s="40">
        <v>1</v>
      </c>
      <c r="E63" s="40">
        <v>1</v>
      </c>
      <c r="F63" s="40" t="s">
        <v>2</v>
      </c>
      <c r="G63" s="40" t="s">
        <v>2</v>
      </c>
      <c r="H63" s="40">
        <v>3</v>
      </c>
      <c r="I63" s="40">
        <v>3</v>
      </c>
      <c r="J63" s="40">
        <v>3</v>
      </c>
      <c r="K63" s="40">
        <v>3</v>
      </c>
      <c r="L63" s="40">
        <v>3</v>
      </c>
      <c r="M63" s="40">
        <v>3</v>
      </c>
      <c r="N63" s="40" t="s">
        <v>2</v>
      </c>
      <c r="O63" s="40" t="s">
        <v>2</v>
      </c>
      <c r="P63" s="40">
        <v>2</v>
      </c>
      <c r="Q63" s="40">
        <v>2</v>
      </c>
      <c r="R63" s="40">
        <v>2</v>
      </c>
      <c r="S63" s="40">
        <v>2</v>
      </c>
      <c r="T63" s="40">
        <v>2</v>
      </c>
      <c r="U63" s="40">
        <v>2</v>
      </c>
      <c r="V63" s="40" t="s">
        <v>2</v>
      </c>
      <c r="W63" s="40" t="s">
        <v>2</v>
      </c>
      <c r="X63" s="40">
        <v>1</v>
      </c>
      <c r="Y63" s="40">
        <v>1</v>
      </c>
      <c r="Z63" s="40">
        <v>1</v>
      </c>
      <c r="AA63" s="40">
        <v>1</v>
      </c>
      <c r="AB63" s="40">
        <v>1</v>
      </c>
      <c r="AC63" s="40">
        <v>1</v>
      </c>
      <c r="AD63" s="40" t="s">
        <v>2</v>
      </c>
      <c r="AE63" s="40" t="s">
        <v>2</v>
      </c>
      <c r="AF63" s="40">
        <v>3</v>
      </c>
      <c r="AG63" s="6"/>
    </row>
    <row r="64" spans="1:33">
      <c r="A64" s="22" t="s">
        <v>5</v>
      </c>
      <c r="B64" s="40">
        <v>2</v>
      </c>
      <c r="C64" s="40">
        <v>2</v>
      </c>
      <c r="D64" s="40" t="s">
        <v>2</v>
      </c>
      <c r="E64" s="40" t="s">
        <v>2</v>
      </c>
      <c r="F64" s="40">
        <v>1</v>
      </c>
      <c r="G64" s="40">
        <v>1</v>
      </c>
      <c r="H64" s="40">
        <v>1</v>
      </c>
      <c r="I64" s="40">
        <v>1</v>
      </c>
      <c r="J64" s="40">
        <v>1</v>
      </c>
      <c r="K64" s="40">
        <v>1</v>
      </c>
      <c r="L64" s="40" t="s">
        <v>2</v>
      </c>
      <c r="M64" s="40" t="s">
        <v>2</v>
      </c>
      <c r="N64" s="40">
        <v>3</v>
      </c>
      <c r="O64" s="40">
        <v>3</v>
      </c>
      <c r="P64" s="40">
        <v>3</v>
      </c>
      <c r="Q64" s="40">
        <v>3</v>
      </c>
      <c r="R64" s="40">
        <v>3</v>
      </c>
      <c r="S64" s="40">
        <v>3</v>
      </c>
      <c r="T64" s="40" t="s">
        <v>2</v>
      </c>
      <c r="U64" s="40" t="s">
        <v>2</v>
      </c>
      <c r="V64" s="40">
        <v>2</v>
      </c>
      <c r="W64" s="40">
        <v>2</v>
      </c>
      <c r="X64" s="40">
        <v>2</v>
      </c>
      <c r="Y64" s="40">
        <v>2</v>
      </c>
      <c r="Z64" s="40">
        <v>2</v>
      </c>
      <c r="AA64" s="40">
        <v>2</v>
      </c>
      <c r="AB64" s="40" t="s">
        <v>2</v>
      </c>
      <c r="AC64" s="40" t="s">
        <v>2</v>
      </c>
      <c r="AD64" s="40">
        <v>1</v>
      </c>
      <c r="AE64" s="40">
        <v>1</v>
      </c>
      <c r="AF64" s="40">
        <v>1</v>
      </c>
      <c r="AG64" s="6"/>
    </row>
    <row r="65" spans="1:33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6"/>
    </row>
    <row r="66" spans="1:3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6"/>
    </row>
    <row r="67" spans="1:33">
      <c r="A67" s="21" t="s">
        <v>13</v>
      </c>
      <c r="B67" s="42">
        <v>1</v>
      </c>
      <c r="C67" s="42">
        <v>2</v>
      </c>
      <c r="D67" s="42">
        <v>3</v>
      </c>
      <c r="E67" s="42">
        <v>4</v>
      </c>
      <c r="F67" s="42">
        <v>5</v>
      </c>
      <c r="G67" s="42">
        <v>6</v>
      </c>
      <c r="H67" s="42">
        <v>7</v>
      </c>
      <c r="I67" s="42">
        <v>8</v>
      </c>
      <c r="J67" s="42">
        <v>9</v>
      </c>
      <c r="K67" s="42">
        <v>10</v>
      </c>
      <c r="L67" s="42">
        <v>11</v>
      </c>
      <c r="M67" s="42">
        <v>12</v>
      </c>
      <c r="N67" s="42">
        <v>13</v>
      </c>
      <c r="O67" s="42">
        <v>14</v>
      </c>
      <c r="P67" s="42">
        <v>15</v>
      </c>
      <c r="Q67" s="42">
        <v>16</v>
      </c>
      <c r="R67" s="42">
        <v>17</v>
      </c>
      <c r="S67" s="42">
        <v>18</v>
      </c>
      <c r="T67" s="42">
        <v>19</v>
      </c>
      <c r="U67" s="42">
        <v>20</v>
      </c>
      <c r="V67" s="42">
        <v>21</v>
      </c>
      <c r="W67" s="42">
        <v>22</v>
      </c>
      <c r="X67" s="42">
        <v>23</v>
      </c>
      <c r="Y67" s="42">
        <v>24</v>
      </c>
      <c r="Z67" s="42">
        <v>25</v>
      </c>
      <c r="AA67" s="42">
        <v>26</v>
      </c>
      <c r="AB67" s="42">
        <v>27</v>
      </c>
      <c r="AC67" s="42">
        <v>28</v>
      </c>
      <c r="AD67" s="42">
        <v>29</v>
      </c>
      <c r="AE67" s="42">
        <v>30</v>
      </c>
      <c r="AF67" s="7"/>
      <c r="AG67" s="6"/>
    </row>
    <row r="68" spans="1:33">
      <c r="A68" s="22"/>
      <c r="B68" s="41" t="s">
        <v>52</v>
      </c>
      <c r="C68" s="41" t="s">
        <v>53</v>
      </c>
      <c r="D68" s="41" t="s">
        <v>54</v>
      </c>
      <c r="E68" s="41" t="s">
        <v>55</v>
      </c>
      <c r="F68" s="41" t="s">
        <v>1</v>
      </c>
      <c r="G68" s="41" t="s">
        <v>56</v>
      </c>
      <c r="H68" s="41" t="s">
        <v>51</v>
      </c>
      <c r="I68" s="41" t="s">
        <v>52</v>
      </c>
      <c r="J68" s="41" t="s">
        <v>53</v>
      </c>
      <c r="K68" s="41" t="s">
        <v>54</v>
      </c>
      <c r="L68" s="41" t="s">
        <v>55</v>
      </c>
      <c r="M68" s="41" t="s">
        <v>1</v>
      </c>
      <c r="N68" s="41" t="s">
        <v>56</v>
      </c>
      <c r="O68" s="41" t="s">
        <v>51</v>
      </c>
      <c r="P68" s="41" t="s">
        <v>52</v>
      </c>
      <c r="Q68" s="41" t="s">
        <v>53</v>
      </c>
      <c r="R68" s="41" t="s">
        <v>54</v>
      </c>
      <c r="S68" s="41" t="s">
        <v>55</v>
      </c>
      <c r="T68" s="41" t="s">
        <v>1</v>
      </c>
      <c r="U68" s="41" t="s">
        <v>56</v>
      </c>
      <c r="V68" s="41" t="s">
        <v>51</v>
      </c>
      <c r="W68" s="41" t="s">
        <v>52</v>
      </c>
      <c r="X68" s="41" t="s">
        <v>53</v>
      </c>
      <c r="Y68" s="41" t="s">
        <v>54</v>
      </c>
      <c r="Z68" s="41" t="s">
        <v>55</v>
      </c>
      <c r="AA68" s="41" t="s">
        <v>1</v>
      </c>
      <c r="AB68" s="41" t="s">
        <v>56</v>
      </c>
      <c r="AC68" s="41" t="s">
        <v>51</v>
      </c>
      <c r="AD68" s="41" t="s">
        <v>52</v>
      </c>
      <c r="AE68" s="41" t="s">
        <v>53</v>
      </c>
      <c r="AF68" s="8"/>
      <c r="AG68" s="6"/>
    </row>
    <row r="69" spans="1:33">
      <c r="A69" s="22" t="s">
        <v>42</v>
      </c>
      <c r="B69" s="40">
        <v>2</v>
      </c>
      <c r="C69" s="40" t="s">
        <v>2</v>
      </c>
      <c r="D69" s="40" t="s">
        <v>2</v>
      </c>
      <c r="E69" s="40">
        <v>1</v>
      </c>
      <c r="F69" s="40">
        <v>1</v>
      </c>
      <c r="G69" s="40">
        <v>1</v>
      </c>
      <c r="H69" s="40">
        <v>1</v>
      </c>
      <c r="I69" s="40">
        <v>1</v>
      </c>
      <c r="J69" s="40">
        <v>1</v>
      </c>
      <c r="K69" s="40" t="s">
        <v>2</v>
      </c>
      <c r="L69" s="40" t="s">
        <v>2</v>
      </c>
      <c r="M69" s="40">
        <v>3</v>
      </c>
      <c r="N69" s="40">
        <v>3</v>
      </c>
      <c r="O69" s="40">
        <v>3</v>
      </c>
      <c r="P69" s="40">
        <v>3</v>
      </c>
      <c r="Q69" s="40">
        <v>3</v>
      </c>
      <c r="R69" s="40">
        <v>3</v>
      </c>
      <c r="S69" s="40" t="s">
        <v>2</v>
      </c>
      <c r="T69" s="40" t="s">
        <v>2</v>
      </c>
      <c r="U69" s="40">
        <v>2</v>
      </c>
      <c r="V69" s="40">
        <v>2</v>
      </c>
      <c r="W69" s="40">
        <v>2</v>
      </c>
      <c r="X69" s="40">
        <v>2</v>
      </c>
      <c r="Y69" s="40">
        <v>2</v>
      </c>
      <c r="Z69" s="40">
        <v>2</v>
      </c>
      <c r="AA69" s="40" t="s">
        <v>2</v>
      </c>
      <c r="AB69" s="40" t="s">
        <v>2</v>
      </c>
      <c r="AC69" s="40">
        <v>1</v>
      </c>
      <c r="AD69" s="40">
        <v>1</v>
      </c>
      <c r="AE69" s="40">
        <v>1</v>
      </c>
      <c r="AF69" s="8"/>
      <c r="AG69" s="6"/>
    </row>
    <row r="70" spans="1:33">
      <c r="A70" s="22" t="s">
        <v>3</v>
      </c>
      <c r="B70" s="40" t="s">
        <v>2</v>
      </c>
      <c r="C70" s="40">
        <v>2</v>
      </c>
      <c r="D70" s="40">
        <v>2</v>
      </c>
      <c r="E70" s="40">
        <v>2</v>
      </c>
      <c r="F70" s="40">
        <v>2</v>
      </c>
      <c r="G70" s="40">
        <v>2</v>
      </c>
      <c r="H70" s="40">
        <v>2</v>
      </c>
      <c r="I70" s="40" t="s">
        <v>2</v>
      </c>
      <c r="J70" s="40" t="s">
        <v>2</v>
      </c>
      <c r="K70" s="40">
        <v>1</v>
      </c>
      <c r="L70" s="40">
        <v>1</v>
      </c>
      <c r="M70" s="40">
        <v>1</v>
      </c>
      <c r="N70" s="40">
        <v>1</v>
      </c>
      <c r="O70" s="40">
        <v>1</v>
      </c>
      <c r="P70" s="40">
        <v>1</v>
      </c>
      <c r="Q70" s="40" t="s">
        <v>2</v>
      </c>
      <c r="R70" s="40" t="s">
        <v>2</v>
      </c>
      <c r="S70" s="40">
        <v>3</v>
      </c>
      <c r="T70" s="40">
        <v>3</v>
      </c>
      <c r="U70" s="40">
        <v>3</v>
      </c>
      <c r="V70" s="40">
        <v>3</v>
      </c>
      <c r="W70" s="40">
        <v>3</v>
      </c>
      <c r="X70" s="40">
        <v>3</v>
      </c>
      <c r="Y70" s="40" t="s">
        <v>2</v>
      </c>
      <c r="Z70" s="40" t="s">
        <v>2</v>
      </c>
      <c r="AA70" s="40">
        <v>2</v>
      </c>
      <c r="AB70" s="40">
        <v>2</v>
      </c>
      <c r="AC70" s="40">
        <v>2</v>
      </c>
      <c r="AD70" s="40">
        <v>2</v>
      </c>
      <c r="AE70" s="40">
        <v>2</v>
      </c>
      <c r="AF70" s="8"/>
      <c r="AG70" s="6"/>
    </row>
    <row r="71" spans="1:33">
      <c r="A71" s="22" t="s">
        <v>4</v>
      </c>
      <c r="B71" s="40">
        <v>3</v>
      </c>
      <c r="C71" s="40">
        <v>3</v>
      </c>
      <c r="D71" s="40">
        <v>3</v>
      </c>
      <c r="E71" s="40">
        <v>3</v>
      </c>
      <c r="F71" s="40">
        <v>3</v>
      </c>
      <c r="G71" s="40" t="s">
        <v>2</v>
      </c>
      <c r="H71" s="40" t="s">
        <v>2</v>
      </c>
      <c r="I71" s="40">
        <v>2</v>
      </c>
      <c r="J71" s="40">
        <v>2</v>
      </c>
      <c r="K71" s="40">
        <v>2</v>
      </c>
      <c r="L71" s="40">
        <v>2</v>
      </c>
      <c r="M71" s="40">
        <v>2</v>
      </c>
      <c r="N71" s="40">
        <v>2</v>
      </c>
      <c r="O71" s="40" t="s">
        <v>2</v>
      </c>
      <c r="P71" s="40" t="s">
        <v>2</v>
      </c>
      <c r="Q71" s="40">
        <v>1</v>
      </c>
      <c r="R71" s="40">
        <v>1</v>
      </c>
      <c r="S71" s="40">
        <v>1</v>
      </c>
      <c r="T71" s="40">
        <v>1</v>
      </c>
      <c r="U71" s="40">
        <v>1</v>
      </c>
      <c r="V71" s="40">
        <v>1</v>
      </c>
      <c r="W71" s="40" t="s">
        <v>2</v>
      </c>
      <c r="X71" s="40" t="s">
        <v>2</v>
      </c>
      <c r="Y71" s="40">
        <v>3</v>
      </c>
      <c r="Z71" s="40">
        <v>3</v>
      </c>
      <c r="AA71" s="40">
        <v>3</v>
      </c>
      <c r="AB71" s="40">
        <v>3</v>
      </c>
      <c r="AC71" s="40">
        <v>3</v>
      </c>
      <c r="AD71" s="40">
        <v>3</v>
      </c>
      <c r="AE71" s="40" t="s">
        <v>2</v>
      </c>
      <c r="AF71" s="8"/>
      <c r="AG71" s="6"/>
    </row>
    <row r="72" spans="1:33">
      <c r="A72" s="22" t="s">
        <v>5</v>
      </c>
      <c r="B72" s="40">
        <v>1</v>
      </c>
      <c r="C72" s="40">
        <v>1</v>
      </c>
      <c r="D72" s="40">
        <v>1</v>
      </c>
      <c r="E72" s="40" t="s">
        <v>2</v>
      </c>
      <c r="F72" s="40" t="s">
        <v>2</v>
      </c>
      <c r="G72" s="40">
        <v>3</v>
      </c>
      <c r="H72" s="40">
        <v>3</v>
      </c>
      <c r="I72" s="40">
        <v>3</v>
      </c>
      <c r="J72" s="40">
        <v>3</v>
      </c>
      <c r="K72" s="40">
        <v>3</v>
      </c>
      <c r="L72" s="40">
        <v>3</v>
      </c>
      <c r="M72" s="40" t="s">
        <v>2</v>
      </c>
      <c r="N72" s="40" t="s">
        <v>2</v>
      </c>
      <c r="O72" s="40">
        <v>2</v>
      </c>
      <c r="P72" s="40">
        <v>2</v>
      </c>
      <c r="Q72" s="40">
        <v>2</v>
      </c>
      <c r="R72" s="40">
        <v>2</v>
      </c>
      <c r="S72" s="40">
        <v>2</v>
      </c>
      <c r="T72" s="40">
        <v>2</v>
      </c>
      <c r="U72" s="40" t="s">
        <v>2</v>
      </c>
      <c r="V72" s="40" t="s">
        <v>2</v>
      </c>
      <c r="W72" s="40">
        <v>1</v>
      </c>
      <c r="X72" s="40">
        <v>1</v>
      </c>
      <c r="Y72" s="40">
        <v>1</v>
      </c>
      <c r="Z72" s="40">
        <v>1</v>
      </c>
      <c r="AA72" s="40">
        <v>1</v>
      </c>
      <c r="AB72" s="40">
        <v>1</v>
      </c>
      <c r="AC72" s="40" t="s">
        <v>2</v>
      </c>
      <c r="AD72" s="40" t="s">
        <v>2</v>
      </c>
      <c r="AE72" s="40">
        <v>3</v>
      </c>
      <c r="AF72" s="8"/>
      <c r="AG72" s="6"/>
    </row>
    <row r="73" spans="1:3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6"/>
    </row>
    <row r="74" spans="1:3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6"/>
    </row>
    <row r="75" spans="1:33">
      <c r="A75" s="21" t="s">
        <v>14</v>
      </c>
      <c r="B75" s="42">
        <v>1</v>
      </c>
      <c r="C75" s="42">
        <v>2</v>
      </c>
      <c r="D75" s="42">
        <v>3</v>
      </c>
      <c r="E75" s="42">
        <v>4</v>
      </c>
      <c r="F75" s="42">
        <v>5</v>
      </c>
      <c r="G75" s="42">
        <v>6</v>
      </c>
      <c r="H75" s="42">
        <v>7</v>
      </c>
      <c r="I75" s="42">
        <v>8</v>
      </c>
      <c r="J75" s="42">
        <v>9</v>
      </c>
      <c r="K75" s="42">
        <v>10</v>
      </c>
      <c r="L75" s="42">
        <v>11</v>
      </c>
      <c r="M75" s="42">
        <v>12</v>
      </c>
      <c r="N75" s="42">
        <v>13</v>
      </c>
      <c r="O75" s="42">
        <v>14</v>
      </c>
      <c r="P75" s="42">
        <v>15</v>
      </c>
      <c r="Q75" s="42">
        <v>16</v>
      </c>
      <c r="R75" s="42">
        <v>17</v>
      </c>
      <c r="S75" s="42">
        <v>18</v>
      </c>
      <c r="T75" s="42">
        <v>19</v>
      </c>
      <c r="U75" s="42">
        <v>20</v>
      </c>
      <c r="V75" s="42">
        <v>21</v>
      </c>
      <c r="W75" s="42">
        <v>22</v>
      </c>
      <c r="X75" s="42">
        <v>23</v>
      </c>
      <c r="Y75" s="42">
        <v>24</v>
      </c>
      <c r="Z75" s="42">
        <v>25</v>
      </c>
      <c r="AA75" s="42">
        <v>26</v>
      </c>
      <c r="AB75" s="42">
        <v>27</v>
      </c>
      <c r="AC75" s="42">
        <v>28</v>
      </c>
      <c r="AD75" s="42">
        <v>29</v>
      </c>
      <c r="AE75" s="42">
        <v>30</v>
      </c>
      <c r="AF75" s="42">
        <v>31</v>
      </c>
      <c r="AG75" s="6"/>
    </row>
    <row r="76" spans="1:33">
      <c r="A76" s="22"/>
      <c r="B76" s="41" t="s">
        <v>54</v>
      </c>
      <c r="C76" s="41" t="s">
        <v>55</v>
      </c>
      <c r="D76" s="41" t="s">
        <v>1</v>
      </c>
      <c r="E76" s="41" t="s">
        <v>56</v>
      </c>
      <c r="F76" s="41" t="s">
        <v>51</v>
      </c>
      <c r="G76" s="41" t="s">
        <v>52</v>
      </c>
      <c r="H76" s="41" t="s">
        <v>53</v>
      </c>
      <c r="I76" s="41" t="s">
        <v>54</v>
      </c>
      <c r="J76" s="41" t="s">
        <v>55</v>
      </c>
      <c r="K76" s="41" t="s">
        <v>1</v>
      </c>
      <c r="L76" s="41" t="s">
        <v>56</v>
      </c>
      <c r="M76" s="41" t="s">
        <v>51</v>
      </c>
      <c r="N76" s="41" t="s">
        <v>52</v>
      </c>
      <c r="O76" s="41" t="s">
        <v>53</v>
      </c>
      <c r="P76" s="41" t="s">
        <v>54</v>
      </c>
      <c r="Q76" s="41" t="s">
        <v>55</v>
      </c>
      <c r="R76" s="41" t="s">
        <v>1</v>
      </c>
      <c r="S76" s="41" t="s">
        <v>56</v>
      </c>
      <c r="T76" s="41" t="s">
        <v>51</v>
      </c>
      <c r="U76" s="41" t="s">
        <v>52</v>
      </c>
      <c r="V76" s="41" t="s">
        <v>53</v>
      </c>
      <c r="W76" s="41" t="s">
        <v>54</v>
      </c>
      <c r="X76" s="41" t="s">
        <v>55</v>
      </c>
      <c r="Y76" s="41" t="s">
        <v>1</v>
      </c>
      <c r="Z76" s="41" t="s">
        <v>56</v>
      </c>
      <c r="AA76" s="41" t="s">
        <v>51</v>
      </c>
      <c r="AB76" s="41" t="s">
        <v>52</v>
      </c>
      <c r="AC76" s="41" t="s">
        <v>53</v>
      </c>
      <c r="AD76" s="41" t="s">
        <v>54</v>
      </c>
      <c r="AE76" s="41" t="s">
        <v>55</v>
      </c>
      <c r="AF76" s="41" t="s">
        <v>1</v>
      </c>
      <c r="AG76" s="6"/>
    </row>
    <row r="77" spans="1:33">
      <c r="A77" s="22" t="s">
        <v>42</v>
      </c>
      <c r="B77" s="40">
        <v>1</v>
      </c>
      <c r="C77" s="40">
        <v>1</v>
      </c>
      <c r="D77" s="40">
        <v>1</v>
      </c>
      <c r="E77" s="40" t="s">
        <v>2</v>
      </c>
      <c r="F77" s="40" t="s">
        <v>2</v>
      </c>
      <c r="G77" s="40">
        <v>3</v>
      </c>
      <c r="H77" s="40">
        <v>3</v>
      </c>
      <c r="I77" s="40">
        <v>3</v>
      </c>
      <c r="J77" s="40">
        <v>3</v>
      </c>
      <c r="K77" s="40">
        <v>3</v>
      </c>
      <c r="L77" s="40">
        <v>3</v>
      </c>
      <c r="M77" s="40" t="s">
        <v>2</v>
      </c>
      <c r="N77" s="40" t="s">
        <v>2</v>
      </c>
      <c r="O77" s="40">
        <v>2</v>
      </c>
      <c r="P77" s="40">
        <v>2</v>
      </c>
      <c r="Q77" s="40">
        <v>2</v>
      </c>
      <c r="R77" s="40">
        <v>2</v>
      </c>
      <c r="S77" s="40">
        <v>2</v>
      </c>
      <c r="T77" s="40">
        <v>2</v>
      </c>
      <c r="U77" s="40" t="s">
        <v>2</v>
      </c>
      <c r="V77" s="40" t="s">
        <v>2</v>
      </c>
      <c r="W77" s="40">
        <v>1</v>
      </c>
      <c r="X77" s="40">
        <v>1</v>
      </c>
      <c r="Y77" s="40">
        <v>1</v>
      </c>
      <c r="Z77" s="40">
        <v>1</v>
      </c>
      <c r="AA77" s="40">
        <v>1</v>
      </c>
      <c r="AB77" s="40">
        <v>1</v>
      </c>
      <c r="AC77" s="40" t="s">
        <v>2</v>
      </c>
      <c r="AD77" s="40" t="s">
        <v>2</v>
      </c>
      <c r="AE77" s="40">
        <v>3</v>
      </c>
      <c r="AF77" s="40">
        <v>3</v>
      </c>
      <c r="AG77" s="6"/>
    </row>
    <row r="78" spans="1:33">
      <c r="A78" s="22" t="s">
        <v>3</v>
      </c>
      <c r="B78" s="40">
        <v>2</v>
      </c>
      <c r="C78" s="40" t="s">
        <v>2</v>
      </c>
      <c r="D78" s="40" t="s">
        <v>2</v>
      </c>
      <c r="E78" s="40">
        <v>1</v>
      </c>
      <c r="F78" s="40">
        <v>1</v>
      </c>
      <c r="G78" s="40">
        <v>1</v>
      </c>
      <c r="H78" s="40">
        <v>1</v>
      </c>
      <c r="I78" s="40">
        <v>1</v>
      </c>
      <c r="J78" s="40">
        <v>1</v>
      </c>
      <c r="K78" s="40" t="s">
        <v>2</v>
      </c>
      <c r="L78" s="40" t="s">
        <v>2</v>
      </c>
      <c r="M78" s="40">
        <v>3</v>
      </c>
      <c r="N78" s="40">
        <v>3</v>
      </c>
      <c r="O78" s="40">
        <v>3</v>
      </c>
      <c r="P78" s="40">
        <v>3</v>
      </c>
      <c r="Q78" s="40">
        <v>3</v>
      </c>
      <c r="R78" s="40">
        <v>3</v>
      </c>
      <c r="S78" s="40" t="s">
        <v>2</v>
      </c>
      <c r="T78" s="40" t="s">
        <v>2</v>
      </c>
      <c r="U78" s="40">
        <v>2</v>
      </c>
      <c r="V78" s="40">
        <v>2</v>
      </c>
      <c r="W78" s="40">
        <v>2</v>
      </c>
      <c r="X78" s="40">
        <v>2</v>
      </c>
      <c r="Y78" s="40">
        <v>2</v>
      </c>
      <c r="Z78" s="40">
        <v>2</v>
      </c>
      <c r="AA78" s="40" t="s">
        <v>2</v>
      </c>
      <c r="AB78" s="40" t="s">
        <v>2</v>
      </c>
      <c r="AC78" s="40">
        <v>1</v>
      </c>
      <c r="AD78" s="40">
        <v>1</v>
      </c>
      <c r="AE78" s="40">
        <v>1</v>
      </c>
      <c r="AF78" s="40">
        <v>1</v>
      </c>
      <c r="AG78" s="6"/>
    </row>
    <row r="79" spans="1:33">
      <c r="A79" s="22" t="s">
        <v>4</v>
      </c>
      <c r="B79" s="40" t="s">
        <v>2</v>
      </c>
      <c r="C79" s="40">
        <v>2</v>
      </c>
      <c r="D79" s="40">
        <v>2</v>
      </c>
      <c r="E79" s="40">
        <v>2</v>
      </c>
      <c r="F79" s="40">
        <v>2</v>
      </c>
      <c r="G79" s="40">
        <v>2</v>
      </c>
      <c r="H79" s="40">
        <v>2</v>
      </c>
      <c r="I79" s="40" t="s">
        <v>2</v>
      </c>
      <c r="J79" s="40" t="s">
        <v>2</v>
      </c>
      <c r="K79" s="40">
        <v>1</v>
      </c>
      <c r="L79" s="40">
        <v>1</v>
      </c>
      <c r="M79" s="40">
        <v>1</v>
      </c>
      <c r="N79" s="40">
        <v>1</v>
      </c>
      <c r="O79" s="40">
        <v>1</v>
      </c>
      <c r="P79" s="40">
        <v>1</v>
      </c>
      <c r="Q79" s="40" t="s">
        <v>2</v>
      </c>
      <c r="R79" s="40" t="s">
        <v>2</v>
      </c>
      <c r="S79" s="40">
        <v>3</v>
      </c>
      <c r="T79" s="40">
        <v>3</v>
      </c>
      <c r="U79" s="40">
        <v>3</v>
      </c>
      <c r="V79" s="40">
        <v>3</v>
      </c>
      <c r="W79" s="40">
        <v>3</v>
      </c>
      <c r="X79" s="40">
        <v>3</v>
      </c>
      <c r="Y79" s="40" t="s">
        <v>2</v>
      </c>
      <c r="Z79" s="40" t="s">
        <v>2</v>
      </c>
      <c r="AA79" s="40">
        <v>2</v>
      </c>
      <c r="AB79" s="40">
        <v>2</v>
      </c>
      <c r="AC79" s="40">
        <v>2</v>
      </c>
      <c r="AD79" s="40">
        <v>2</v>
      </c>
      <c r="AE79" s="40">
        <v>2</v>
      </c>
      <c r="AF79" s="40">
        <v>2</v>
      </c>
      <c r="AG79" s="6"/>
    </row>
    <row r="80" spans="1:33">
      <c r="A80" s="22" t="s">
        <v>5</v>
      </c>
      <c r="B80" s="40">
        <v>3</v>
      </c>
      <c r="C80" s="40">
        <v>3</v>
      </c>
      <c r="D80" s="40">
        <v>3</v>
      </c>
      <c r="E80" s="40">
        <v>3</v>
      </c>
      <c r="F80" s="40">
        <v>3</v>
      </c>
      <c r="G80" s="40" t="s">
        <v>2</v>
      </c>
      <c r="H80" s="40" t="s">
        <v>2</v>
      </c>
      <c r="I80" s="40">
        <v>2</v>
      </c>
      <c r="J80" s="40">
        <v>2</v>
      </c>
      <c r="K80" s="40">
        <v>2</v>
      </c>
      <c r="L80" s="40">
        <v>2</v>
      </c>
      <c r="M80" s="40">
        <v>2</v>
      </c>
      <c r="N80" s="40">
        <v>2</v>
      </c>
      <c r="O80" s="40" t="s">
        <v>2</v>
      </c>
      <c r="P80" s="40" t="s">
        <v>2</v>
      </c>
      <c r="Q80" s="40">
        <v>1</v>
      </c>
      <c r="R80" s="40">
        <v>1</v>
      </c>
      <c r="S80" s="40">
        <v>1</v>
      </c>
      <c r="T80" s="40">
        <v>1</v>
      </c>
      <c r="U80" s="40">
        <v>1</v>
      </c>
      <c r="V80" s="40">
        <v>1</v>
      </c>
      <c r="W80" s="40" t="s">
        <v>2</v>
      </c>
      <c r="X80" s="40" t="s">
        <v>2</v>
      </c>
      <c r="Y80" s="40">
        <v>3</v>
      </c>
      <c r="Z80" s="40">
        <v>3</v>
      </c>
      <c r="AA80" s="40">
        <v>3</v>
      </c>
      <c r="AB80" s="40">
        <v>3</v>
      </c>
      <c r="AC80" s="40">
        <v>3</v>
      </c>
      <c r="AD80" s="40">
        <v>3</v>
      </c>
      <c r="AE80" s="40" t="s">
        <v>2</v>
      </c>
      <c r="AF80" s="40" t="s">
        <v>2</v>
      </c>
      <c r="AG80" s="6"/>
    </row>
    <row r="81" spans="1:33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6"/>
    </row>
    <row r="82" spans="1:3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6"/>
    </row>
    <row r="83" spans="1:33">
      <c r="A83" s="21" t="s">
        <v>15</v>
      </c>
      <c r="B83" s="42">
        <v>1</v>
      </c>
      <c r="C83" s="42">
        <v>2</v>
      </c>
      <c r="D83" s="42">
        <v>3</v>
      </c>
      <c r="E83" s="42">
        <v>4</v>
      </c>
      <c r="F83" s="42">
        <v>5</v>
      </c>
      <c r="G83" s="42">
        <v>6</v>
      </c>
      <c r="H83" s="42">
        <v>7</v>
      </c>
      <c r="I83" s="42">
        <v>8</v>
      </c>
      <c r="J83" s="42">
        <v>9</v>
      </c>
      <c r="K83" s="42">
        <v>10</v>
      </c>
      <c r="L83" s="42">
        <v>11</v>
      </c>
      <c r="M83" s="42">
        <v>12</v>
      </c>
      <c r="N83" s="42">
        <v>13</v>
      </c>
      <c r="O83" s="42">
        <v>14</v>
      </c>
      <c r="P83" s="42">
        <v>15</v>
      </c>
      <c r="Q83" s="42">
        <v>16</v>
      </c>
      <c r="R83" s="42">
        <v>17</v>
      </c>
      <c r="S83" s="42">
        <v>18</v>
      </c>
      <c r="T83" s="42">
        <v>19</v>
      </c>
      <c r="U83" s="42">
        <v>20</v>
      </c>
      <c r="V83" s="42">
        <v>21</v>
      </c>
      <c r="W83" s="42">
        <v>22</v>
      </c>
      <c r="X83" s="42">
        <v>23</v>
      </c>
      <c r="Y83" s="42">
        <v>24</v>
      </c>
      <c r="Z83" s="42">
        <v>25</v>
      </c>
      <c r="AA83" s="42">
        <v>26</v>
      </c>
      <c r="AB83" s="42">
        <v>27</v>
      </c>
      <c r="AC83" s="42">
        <v>28</v>
      </c>
      <c r="AD83" s="42">
        <v>29</v>
      </c>
      <c r="AE83" s="42">
        <v>30</v>
      </c>
      <c r="AF83" s="7"/>
      <c r="AG83" s="6"/>
    </row>
    <row r="84" spans="1:33">
      <c r="A84" s="22"/>
      <c r="B84" s="41" t="s">
        <v>56</v>
      </c>
      <c r="C84" s="41" t="s">
        <v>51</v>
      </c>
      <c r="D84" s="41" t="s">
        <v>52</v>
      </c>
      <c r="E84" s="41" t="s">
        <v>53</v>
      </c>
      <c r="F84" s="41" t="s">
        <v>54</v>
      </c>
      <c r="G84" s="41" t="s">
        <v>55</v>
      </c>
      <c r="H84" s="41" t="s">
        <v>1</v>
      </c>
      <c r="I84" s="41" t="s">
        <v>56</v>
      </c>
      <c r="J84" s="41" t="s">
        <v>51</v>
      </c>
      <c r="K84" s="41" t="s">
        <v>52</v>
      </c>
      <c r="L84" s="41" t="s">
        <v>53</v>
      </c>
      <c r="M84" s="41" t="s">
        <v>54</v>
      </c>
      <c r="N84" s="41" t="s">
        <v>55</v>
      </c>
      <c r="O84" s="41" t="s">
        <v>1</v>
      </c>
      <c r="P84" s="41" t="s">
        <v>56</v>
      </c>
      <c r="Q84" s="41" t="s">
        <v>51</v>
      </c>
      <c r="R84" s="41" t="s">
        <v>52</v>
      </c>
      <c r="S84" s="41" t="s">
        <v>53</v>
      </c>
      <c r="T84" s="41" t="s">
        <v>54</v>
      </c>
      <c r="U84" s="41" t="s">
        <v>55</v>
      </c>
      <c r="V84" s="41" t="s">
        <v>1</v>
      </c>
      <c r="W84" s="41" t="s">
        <v>56</v>
      </c>
      <c r="X84" s="41" t="s">
        <v>51</v>
      </c>
      <c r="Y84" s="41" t="s">
        <v>52</v>
      </c>
      <c r="Z84" s="41" t="s">
        <v>53</v>
      </c>
      <c r="AA84" s="41" t="s">
        <v>54</v>
      </c>
      <c r="AB84" s="41" t="s">
        <v>55</v>
      </c>
      <c r="AC84" s="41" t="s">
        <v>1</v>
      </c>
      <c r="AD84" s="41" t="s">
        <v>56</v>
      </c>
      <c r="AE84" s="41" t="s">
        <v>51</v>
      </c>
      <c r="AF84" s="8"/>
      <c r="AG84" s="6"/>
    </row>
    <row r="85" spans="1:33">
      <c r="A85" s="22" t="s">
        <v>42</v>
      </c>
      <c r="B85" s="40">
        <v>3</v>
      </c>
      <c r="C85" s="40">
        <v>3</v>
      </c>
      <c r="D85" s="40">
        <v>3</v>
      </c>
      <c r="E85" s="40">
        <v>3</v>
      </c>
      <c r="F85" s="40" t="s">
        <v>2</v>
      </c>
      <c r="G85" s="40" t="s">
        <v>2</v>
      </c>
      <c r="H85" s="40">
        <v>2</v>
      </c>
      <c r="I85" s="40">
        <v>2</v>
      </c>
      <c r="J85" s="40">
        <v>2</v>
      </c>
      <c r="K85" s="40">
        <v>2</v>
      </c>
      <c r="L85" s="40">
        <v>2</v>
      </c>
      <c r="M85" s="40">
        <v>2</v>
      </c>
      <c r="N85" s="40" t="s">
        <v>2</v>
      </c>
      <c r="O85" s="40" t="s">
        <v>2</v>
      </c>
      <c r="P85" s="40">
        <v>1</v>
      </c>
      <c r="Q85" s="40">
        <v>1</v>
      </c>
      <c r="R85" s="40">
        <v>1</v>
      </c>
      <c r="S85" s="40">
        <v>1</v>
      </c>
      <c r="T85" s="40">
        <v>1</v>
      </c>
      <c r="U85" s="40">
        <v>1</v>
      </c>
      <c r="V85" s="40" t="s">
        <v>2</v>
      </c>
      <c r="W85" s="40" t="s">
        <v>2</v>
      </c>
      <c r="X85" s="40">
        <v>3</v>
      </c>
      <c r="Y85" s="40">
        <v>3</v>
      </c>
      <c r="Z85" s="40">
        <v>3</v>
      </c>
      <c r="AA85" s="40">
        <v>3</v>
      </c>
      <c r="AB85" s="40">
        <v>3</v>
      </c>
      <c r="AC85" s="40">
        <v>3</v>
      </c>
      <c r="AD85" s="40" t="s">
        <v>2</v>
      </c>
      <c r="AE85" s="40" t="s">
        <v>2</v>
      </c>
      <c r="AF85" s="8"/>
      <c r="AG85" s="6"/>
    </row>
    <row r="86" spans="1:33">
      <c r="A86" s="22" t="s">
        <v>3</v>
      </c>
      <c r="B86" s="40">
        <v>1</v>
      </c>
      <c r="C86" s="40">
        <v>1</v>
      </c>
      <c r="D86" s="40" t="s">
        <v>2</v>
      </c>
      <c r="E86" s="40" t="s">
        <v>2</v>
      </c>
      <c r="F86" s="40">
        <v>3</v>
      </c>
      <c r="G86" s="40">
        <v>3</v>
      </c>
      <c r="H86" s="40">
        <v>3</v>
      </c>
      <c r="I86" s="40">
        <v>3</v>
      </c>
      <c r="J86" s="40">
        <v>3</v>
      </c>
      <c r="K86" s="40">
        <v>3</v>
      </c>
      <c r="L86" s="40" t="s">
        <v>2</v>
      </c>
      <c r="M86" s="40" t="s">
        <v>2</v>
      </c>
      <c r="N86" s="40">
        <v>2</v>
      </c>
      <c r="O86" s="40">
        <v>2</v>
      </c>
      <c r="P86" s="40">
        <v>2</v>
      </c>
      <c r="Q86" s="40">
        <v>2</v>
      </c>
      <c r="R86" s="40">
        <v>2</v>
      </c>
      <c r="S86" s="40">
        <v>2</v>
      </c>
      <c r="T86" s="40" t="s">
        <v>2</v>
      </c>
      <c r="U86" s="40" t="s">
        <v>2</v>
      </c>
      <c r="V86" s="40">
        <v>1</v>
      </c>
      <c r="W86" s="40">
        <v>1</v>
      </c>
      <c r="X86" s="40">
        <v>1</v>
      </c>
      <c r="Y86" s="40">
        <v>1</v>
      </c>
      <c r="Z86" s="40">
        <v>1</v>
      </c>
      <c r="AA86" s="40">
        <v>1</v>
      </c>
      <c r="AB86" s="40" t="s">
        <v>2</v>
      </c>
      <c r="AC86" s="40" t="s">
        <v>2</v>
      </c>
      <c r="AD86" s="40">
        <v>3</v>
      </c>
      <c r="AE86" s="40">
        <v>3</v>
      </c>
      <c r="AF86" s="8"/>
      <c r="AG86" s="6"/>
    </row>
    <row r="87" spans="1:33">
      <c r="A87" s="22" t="s">
        <v>4</v>
      </c>
      <c r="B87" s="40" t="s">
        <v>2</v>
      </c>
      <c r="C87" s="40" t="s">
        <v>2</v>
      </c>
      <c r="D87" s="40">
        <v>1</v>
      </c>
      <c r="E87" s="40">
        <v>1</v>
      </c>
      <c r="F87" s="40">
        <v>1</v>
      </c>
      <c r="G87" s="40">
        <v>1</v>
      </c>
      <c r="H87" s="40">
        <v>1</v>
      </c>
      <c r="I87" s="40">
        <v>1</v>
      </c>
      <c r="J87" s="40" t="s">
        <v>2</v>
      </c>
      <c r="K87" s="40" t="s">
        <v>2</v>
      </c>
      <c r="L87" s="40">
        <v>3</v>
      </c>
      <c r="M87" s="40">
        <v>3</v>
      </c>
      <c r="N87" s="40">
        <v>3</v>
      </c>
      <c r="O87" s="40">
        <v>3</v>
      </c>
      <c r="P87" s="40">
        <v>3</v>
      </c>
      <c r="Q87" s="40">
        <v>3</v>
      </c>
      <c r="R87" s="40" t="s">
        <v>2</v>
      </c>
      <c r="S87" s="40" t="s">
        <v>2</v>
      </c>
      <c r="T87" s="40">
        <v>2</v>
      </c>
      <c r="U87" s="40">
        <v>2</v>
      </c>
      <c r="V87" s="40">
        <v>2</v>
      </c>
      <c r="W87" s="40">
        <v>2</v>
      </c>
      <c r="X87" s="40">
        <v>2</v>
      </c>
      <c r="Y87" s="40">
        <v>2</v>
      </c>
      <c r="Z87" s="40" t="s">
        <v>2</v>
      </c>
      <c r="AA87" s="40" t="s">
        <v>2</v>
      </c>
      <c r="AB87" s="40">
        <v>1</v>
      </c>
      <c r="AC87" s="40">
        <v>1</v>
      </c>
      <c r="AD87" s="40">
        <v>1</v>
      </c>
      <c r="AE87" s="40">
        <v>1</v>
      </c>
      <c r="AF87" s="8"/>
      <c r="AG87" s="6"/>
    </row>
    <row r="88" spans="1:33">
      <c r="A88" s="22" t="s">
        <v>5</v>
      </c>
      <c r="B88" s="40">
        <v>2</v>
      </c>
      <c r="C88" s="40">
        <v>2</v>
      </c>
      <c r="D88" s="40">
        <v>2</v>
      </c>
      <c r="E88" s="40">
        <v>2</v>
      </c>
      <c r="F88" s="40">
        <v>2</v>
      </c>
      <c r="G88" s="40">
        <v>2</v>
      </c>
      <c r="H88" s="40" t="s">
        <v>2</v>
      </c>
      <c r="I88" s="40" t="s">
        <v>2</v>
      </c>
      <c r="J88" s="40">
        <v>1</v>
      </c>
      <c r="K88" s="40">
        <v>1</v>
      </c>
      <c r="L88" s="40">
        <v>1</v>
      </c>
      <c r="M88" s="40">
        <v>1</v>
      </c>
      <c r="N88" s="40">
        <v>1</v>
      </c>
      <c r="O88" s="40">
        <v>1</v>
      </c>
      <c r="P88" s="40" t="s">
        <v>2</v>
      </c>
      <c r="Q88" s="40" t="s">
        <v>2</v>
      </c>
      <c r="R88" s="40">
        <v>3</v>
      </c>
      <c r="S88" s="40">
        <v>3</v>
      </c>
      <c r="T88" s="40">
        <v>3</v>
      </c>
      <c r="U88" s="40">
        <v>3</v>
      </c>
      <c r="V88" s="40">
        <v>3</v>
      </c>
      <c r="W88" s="40">
        <v>3</v>
      </c>
      <c r="X88" s="40" t="s">
        <v>2</v>
      </c>
      <c r="Y88" s="40" t="s">
        <v>2</v>
      </c>
      <c r="Z88" s="40">
        <v>2</v>
      </c>
      <c r="AA88" s="40">
        <v>2</v>
      </c>
      <c r="AB88" s="40">
        <v>2</v>
      </c>
      <c r="AC88" s="40">
        <v>2</v>
      </c>
      <c r="AD88" s="40">
        <v>2</v>
      </c>
      <c r="AE88" s="40">
        <v>2</v>
      </c>
      <c r="AF88" s="8"/>
      <c r="AG88" s="6"/>
    </row>
    <row r="89" spans="1:3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6"/>
    </row>
    <row r="90" spans="1:33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6"/>
    </row>
    <row r="91" spans="1:33">
      <c r="A91" s="21" t="s">
        <v>16</v>
      </c>
      <c r="B91" s="42">
        <v>1</v>
      </c>
      <c r="C91" s="42">
        <v>2</v>
      </c>
      <c r="D91" s="42">
        <v>3</v>
      </c>
      <c r="E91" s="42">
        <v>4</v>
      </c>
      <c r="F91" s="42">
        <v>5</v>
      </c>
      <c r="G91" s="42">
        <v>6</v>
      </c>
      <c r="H91" s="42">
        <v>7</v>
      </c>
      <c r="I91" s="42">
        <v>8</v>
      </c>
      <c r="J91" s="42">
        <v>9</v>
      </c>
      <c r="K91" s="42">
        <v>10</v>
      </c>
      <c r="L91" s="42">
        <v>11</v>
      </c>
      <c r="M91" s="42">
        <v>12</v>
      </c>
      <c r="N91" s="42">
        <v>13</v>
      </c>
      <c r="O91" s="42">
        <v>14</v>
      </c>
      <c r="P91" s="42">
        <v>15</v>
      </c>
      <c r="Q91" s="42">
        <v>16</v>
      </c>
      <c r="R91" s="42">
        <v>17</v>
      </c>
      <c r="S91" s="42">
        <v>18</v>
      </c>
      <c r="T91" s="42">
        <v>19</v>
      </c>
      <c r="U91" s="42">
        <v>20</v>
      </c>
      <c r="V91" s="42">
        <v>21</v>
      </c>
      <c r="W91" s="42">
        <v>22</v>
      </c>
      <c r="X91" s="42">
        <v>23</v>
      </c>
      <c r="Y91" s="42">
        <v>24</v>
      </c>
      <c r="Z91" s="42">
        <v>25</v>
      </c>
      <c r="AA91" s="42">
        <v>26</v>
      </c>
      <c r="AB91" s="42">
        <v>27</v>
      </c>
      <c r="AC91" s="42">
        <v>28</v>
      </c>
      <c r="AD91" s="42">
        <v>29</v>
      </c>
      <c r="AE91" s="42">
        <v>30</v>
      </c>
      <c r="AF91" s="42">
        <v>31</v>
      </c>
      <c r="AG91" s="6"/>
    </row>
    <row r="92" spans="1:33">
      <c r="A92" s="22"/>
      <c r="B92" s="41" t="s">
        <v>52</v>
      </c>
      <c r="C92" s="41" t="s">
        <v>53</v>
      </c>
      <c r="D92" s="41" t="s">
        <v>54</v>
      </c>
      <c r="E92" s="41" t="s">
        <v>55</v>
      </c>
      <c r="F92" s="41" t="s">
        <v>1</v>
      </c>
      <c r="G92" s="41" t="s">
        <v>56</v>
      </c>
      <c r="H92" s="41" t="s">
        <v>51</v>
      </c>
      <c r="I92" s="41" t="s">
        <v>52</v>
      </c>
      <c r="J92" s="41" t="s">
        <v>53</v>
      </c>
      <c r="K92" s="41" t="s">
        <v>54</v>
      </c>
      <c r="L92" s="41" t="s">
        <v>55</v>
      </c>
      <c r="M92" s="41" t="s">
        <v>1</v>
      </c>
      <c r="N92" s="41" t="s">
        <v>56</v>
      </c>
      <c r="O92" s="41" t="s">
        <v>51</v>
      </c>
      <c r="P92" s="41" t="s">
        <v>52</v>
      </c>
      <c r="Q92" s="41" t="s">
        <v>53</v>
      </c>
      <c r="R92" s="41" t="s">
        <v>54</v>
      </c>
      <c r="S92" s="41" t="s">
        <v>55</v>
      </c>
      <c r="T92" s="41" t="s">
        <v>1</v>
      </c>
      <c r="U92" s="41" t="s">
        <v>56</v>
      </c>
      <c r="V92" s="41" t="s">
        <v>51</v>
      </c>
      <c r="W92" s="41" t="s">
        <v>52</v>
      </c>
      <c r="X92" s="41" t="s">
        <v>53</v>
      </c>
      <c r="Y92" s="41" t="s">
        <v>54</v>
      </c>
      <c r="Z92" s="41" t="s">
        <v>55</v>
      </c>
      <c r="AA92" s="41" t="s">
        <v>1</v>
      </c>
      <c r="AB92" s="41" t="s">
        <v>56</v>
      </c>
      <c r="AC92" s="41" t="s">
        <v>51</v>
      </c>
      <c r="AD92" s="41" t="s">
        <v>52</v>
      </c>
      <c r="AE92" s="41" t="s">
        <v>53</v>
      </c>
      <c r="AF92" s="41" t="s">
        <v>54</v>
      </c>
      <c r="AG92" s="6"/>
    </row>
    <row r="93" spans="1:33">
      <c r="A93" s="22" t="s">
        <v>42</v>
      </c>
      <c r="B93" s="40">
        <v>2</v>
      </c>
      <c r="C93" s="40">
        <v>2</v>
      </c>
      <c r="D93" s="40">
        <v>2</v>
      </c>
      <c r="E93" s="40">
        <v>2</v>
      </c>
      <c r="F93" s="40">
        <v>2</v>
      </c>
      <c r="G93" s="40">
        <v>2</v>
      </c>
      <c r="H93" s="40" t="s">
        <v>2</v>
      </c>
      <c r="I93" s="40" t="s">
        <v>2</v>
      </c>
      <c r="J93" s="40">
        <v>1</v>
      </c>
      <c r="K93" s="40">
        <v>1</v>
      </c>
      <c r="L93" s="40">
        <v>1</v>
      </c>
      <c r="M93" s="40">
        <v>1</v>
      </c>
      <c r="N93" s="40">
        <v>1</v>
      </c>
      <c r="O93" s="40">
        <v>1</v>
      </c>
      <c r="P93" s="40" t="s">
        <v>2</v>
      </c>
      <c r="Q93" s="40" t="s">
        <v>2</v>
      </c>
      <c r="R93" s="40">
        <v>3</v>
      </c>
      <c r="S93" s="40">
        <v>3</v>
      </c>
      <c r="T93" s="40">
        <v>3</v>
      </c>
      <c r="U93" s="40">
        <v>3</v>
      </c>
      <c r="V93" s="40">
        <v>3</v>
      </c>
      <c r="W93" s="40">
        <v>3</v>
      </c>
      <c r="X93" s="40" t="s">
        <v>2</v>
      </c>
      <c r="Y93" s="40" t="s">
        <v>2</v>
      </c>
      <c r="Z93" s="40">
        <v>2</v>
      </c>
      <c r="AA93" s="40">
        <v>2</v>
      </c>
      <c r="AB93" s="40">
        <v>2</v>
      </c>
      <c r="AC93" s="40">
        <v>2</v>
      </c>
      <c r="AD93" s="40">
        <v>2</v>
      </c>
      <c r="AE93" s="40">
        <v>2</v>
      </c>
      <c r="AF93" s="40" t="s">
        <v>2</v>
      </c>
      <c r="AG93" s="6"/>
    </row>
    <row r="94" spans="1:33">
      <c r="A94" s="22" t="s">
        <v>3</v>
      </c>
      <c r="B94" s="40">
        <v>3</v>
      </c>
      <c r="C94" s="40">
        <v>3</v>
      </c>
      <c r="D94" s="40">
        <v>3</v>
      </c>
      <c r="E94" s="40">
        <v>3</v>
      </c>
      <c r="F94" s="40" t="s">
        <v>2</v>
      </c>
      <c r="G94" s="40" t="s">
        <v>2</v>
      </c>
      <c r="H94" s="40">
        <v>2</v>
      </c>
      <c r="I94" s="40">
        <v>2</v>
      </c>
      <c r="J94" s="40">
        <v>2</v>
      </c>
      <c r="K94" s="40">
        <v>2</v>
      </c>
      <c r="L94" s="40">
        <v>2</v>
      </c>
      <c r="M94" s="40">
        <v>2</v>
      </c>
      <c r="N94" s="40" t="s">
        <v>2</v>
      </c>
      <c r="O94" s="40" t="s">
        <v>2</v>
      </c>
      <c r="P94" s="40">
        <v>1</v>
      </c>
      <c r="Q94" s="40">
        <v>1</v>
      </c>
      <c r="R94" s="40">
        <v>1</v>
      </c>
      <c r="S94" s="40">
        <v>1</v>
      </c>
      <c r="T94" s="40">
        <v>1</v>
      </c>
      <c r="U94" s="40">
        <v>1</v>
      </c>
      <c r="V94" s="40" t="s">
        <v>2</v>
      </c>
      <c r="W94" s="40" t="s">
        <v>2</v>
      </c>
      <c r="X94" s="40">
        <v>3</v>
      </c>
      <c r="Y94" s="40">
        <v>3</v>
      </c>
      <c r="Z94" s="40">
        <v>3</v>
      </c>
      <c r="AA94" s="40">
        <v>3</v>
      </c>
      <c r="AB94" s="40">
        <v>3</v>
      </c>
      <c r="AC94" s="40">
        <v>3</v>
      </c>
      <c r="AD94" s="40" t="s">
        <v>2</v>
      </c>
      <c r="AE94" s="40" t="s">
        <v>2</v>
      </c>
      <c r="AF94" s="40">
        <v>2</v>
      </c>
      <c r="AG94" s="6"/>
    </row>
    <row r="95" spans="1:33">
      <c r="A95" s="22" t="s">
        <v>4</v>
      </c>
      <c r="B95" s="40">
        <v>1</v>
      </c>
      <c r="C95" s="40">
        <v>1</v>
      </c>
      <c r="D95" s="40" t="s">
        <v>2</v>
      </c>
      <c r="E95" s="40" t="s">
        <v>2</v>
      </c>
      <c r="F95" s="40">
        <v>3</v>
      </c>
      <c r="G95" s="40">
        <v>3</v>
      </c>
      <c r="H95" s="40">
        <v>3</v>
      </c>
      <c r="I95" s="40">
        <v>3</v>
      </c>
      <c r="J95" s="40">
        <v>3</v>
      </c>
      <c r="K95" s="40">
        <v>3</v>
      </c>
      <c r="L95" s="40" t="s">
        <v>2</v>
      </c>
      <c r="M95" s="40" t="s">
        <v>2</v>
      </c>
      <c r="N95" s="40">
        <v>2</v>
      </c>
      <c r="O95" s="40">
        <v>2</v>
      </c>
      <c r="P95" s="40">
        <v>2</v>
      </c>
      <c r="Q95" s="40">
        <v>2</v>
      </c>
      <c r="R95" s="40">
        <v>2</v>
      </c>
      <c r="S95" s="40">
        <v>2</v>
      </c>
      <c r="T95" s="40" t="s">
        <v>2</v>
      </c>
      <c r="U95" s="40" t="s">
        <v>2</v>
      </c>
      <c r="V95" s="40">
        <v>1</v>
      </c>
      <c r="W95" s="40">
        <v>1</v>
      </c>
      <c r="X95" s="40">
        <v>1</v>
      </c>
      <c r="Y95" s="40">
        <v>1</v>
      </c>
      <c r="Z95" s="40">
        <v>1</v>
      </c>
      <c r="AA95" s="40">
        <v>1</v>
      </c>
      <c r="AB95" s="40" t="s">
        <v>2</v>
      </c>
      <c r="AC95" s="40" t="s">
        <v>2</v>
      </c>
      <c r="AD95" s="40">
        <v>3</v>
      </c>
      <c r="AE95" s="40">
        <v>3</v>
      </c>
      <c r="AF95" s="40">
        <v>3</v>
      </c>
      <c r="AG95" s="6"/>
    </row>
    <row r="96" spans="1:33">
      <c r="A96" s="22" t="s">
        <v>5</v>
      </c>
      <c r="B96" s="40" t="s">
        <v>2</v>
      </c>
      <c r="C96" s="40" t="s">
        <v>2</v>
      </c>
      <c r="D96" s="40">
        <v>1</v>
      </c>
      <c r="E96" s="40">
        <v>1</v>
      </c>
      <c r="F96" s="40">
        <v>1</v>
      </c>
      <c r="G96" s="40">
        <v>1</v>
      </c>
      <c r="H96" s="40">
        <v>1</v>
      </c>
      <c r="I96" s="40">
        <v>1</v>
      </c>
      <c r="J96" s="40" t="s">
        <v>2</v>
      </c>
      <c r="K96" s="40" t="s">
        <v>2</v>
      </c>
      <c r="L96" s="40">
        <v>3</v>
      </c>
      <c r="M96" s="40">
        <v>3</v>
      </c>
      <c r="N96" s="40">
        <v>3</v>
      </c>
      <c r="O96" s="40">
        <v>3</v>
      </c>
      <c r="P96" s="40">
        <v>3</v>
      </c>
      <c r="Q96" s="40">
        <v>3</v>
      </c>
      <c r="R96" s="40" t="s">
        <v>2</v>
      </c>
      <c r="S96" s="40" t="s">
        <v>2</v>
      </c>
      <c r="T96" s="40">
        <v>2</v>
      </c>
      <c r="U96" s="40">
        <v>2</v>
      </c>
      <c r="V96" s="40">
        <v>2</v>
      </c>
      <c r="W96" s="40">
        <v>2</v>
      </c>
      <c r="X96" s="40">
        <v>2</v>
      </c>
      <c r="Y96" s="40">
        <v>2</v>
      </c>
      <c r="Z96" s="40" t="s">
        <v>2</v>
      </c>
      <c r="AA96" s="40" t="s">
        <v>2</v>
      </c>
      <c r="AB96" s="40">
        <v>1</v>
      </c>
      <c r="AC96" s="40">
        <v>1</v>
      </c>
      <c r="AD96" s="40">
        <v>1</v>
      </c>
      <c r="AE96" s="40">
        <v>1</v>
      </c>
      <c r="AF96" s="40">
        <v>1</v>
      </c>
      <c r="AG96" s="6"/>
    </row>
    <row r="97" spans="2:33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6"/>
    </row>
  </sheetData>
  <sheetProtection password="DD6F" sheet="1" objects="1" scenarios="1"/>
  <phoneticPr fontId="0" type="noConversion"/>
  <conditionalFormatting sqref="L8">
    <cfRule type="cellIs" dxfId="4082" priority="13" operator="equal">
      <formula>"X"</formula>
    </cfRule>
  </conditionalFormatting>
  <conditionalFormatting sqref="I5">
    <cfRule type="cellIs" dxfId="4081" priority="12" operator="equal">
      <formula>"X"</formula>
    </cfRule>
  </conditionalFormatting>
  <conditionalFormatting sqref="J5">
    <cfRule type="cellIs" dxfId="4080" priority="11" operator="equal">
      <formula>"X"</formula>
    </cfRule>
  </conditionalFormatting>
  <conditionalFormatting sqref="A1:XFD1048576">
    <cfRule type="cellIs" dxfId="4079" priority="10" operator="equal">
      <formula>"X"</formula>
    </cfRule>
  </conditionalFormatting>
  <conditionalFormatting sqref="F7">
    <cfRule type="cellIs" dxfId="4078" priority="9" operator="equal">
      <formula>"x"</formula>
    </cfRule>
  </conditionalFormatting>
  <conditionalFormatting sqref="B1:AF1048576">
    <cfRule type="cellIs" dxfId="4077" priority="5" operator="equal">
      <formula>"V"</formula>
    </cfRule>
    <cfRule type="cellIs" dxfId="4076" priority="6" operator="equal">
      <formula>"Szo"</formula>
    </cfRule>
    <cfRule type="cellIs" dxfId="4075" priority="7" operator="equal">
      <formula>"Szo"</formula>
    </cfRule>
  </conditionalFormatting>
  <printOptions horizontalCentered="1" verticalCentered="1"/>
  <pageMargins left="0.39370078740157483" right="0.39370078740157483" top="0.38" bottom="0.3" header="0.27" footer="0.3"/>
  <pageSetup paperSize="9" orientation="landscape" horizontalDpi="4294967292" r:id="rId1"/>
  <headerFooter alignWithMargins="0">
    <oddFooter>&amp;RCim: C:\besse\szab_szn\szabi.xls</oddFooter>
  </headerFooter>
  <rowBreaks count="3" manualBreakCount="3">
    <brk id="25" max="16383" man="1"/>
    <brk id="49" max="16383" man="1"/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4"/>
  <sheetViews>
    <sheetView showGridLines="0" topLeftCell="A46" workbookViewId="0">
      <selection activeCell="A75" sqref="A75:XFD75"/>
    </sheetView>
  </sheetViews>
  <sheetFormatPr defaultColWidth="12" defaultRowHeight="12.75"/>
  <cols>
    <col min="1" max="1" width="21.85546875" style="46" customWidth="1"/>
    <col min="2" max="4" width="4.85546875" style="50" customWidth="1"/>
    <col min="5" max="5" width="4.140625" style="46" customWidth="1"/>
    <col min="6" max="17" width="3.140625" style="26" customWidth="1"/>
    <col min="18" max="19" width="4.42578125" style="46" customWidth="1"/>
    <col min="20" max="20" width="3.140625" style="46" customWidth="1"/>
    <col min="21" max="21" width="4.140625" style="26" customWidth="1"/>
    <col min="22" max="32" width="3.140625" style="26" customWidth="1"/>
    <col min="33" max="34" width="4.42578125" style="46" customWidth="1"/>
    <col min="35" max="16384" width="12" style="46"/>
  </cols>
  <sheetData>
    <row r="1" spans="1:34" ht="20.100000000000001" customHeight="1">
      <c r="A1" s="52" t="s">
        <v>40</v>
      </c>
      <c r="B1" s="51" t="s">
        <v>21</v>
      </c>
      <c r="C1" s="53" t="s">
        <v>41</v>
      </c>
      <c r="D1" s="51">
        <v>2021</v>
      </c>
      <c r="E1" s="43" t="s">
        <v>22</v>
      </c>
      <c r="F1" s="44" t="s">
        <v>23</v>
      </c>
      <c r="G1" s="44" t="s">
        <v>25</v>
      </c>
      <c r="H1" s="44" t="s">
        <v>27</v>
      </c>
      <c r="I1" s="44" t="s">
        <v>29</v>
      </c>
      <c r="J1" s="44" t="s">
        <v>30</v>
      </c>
      <c r="K1" s="44" t="s">
        <v>32</v>
      </c>
      <c r="L1" s="44" t="s">
        <v>33</v>
      </c>
      <c r="M1" s="44" t="s">
        <v>34</v>
      </c>
      <c r="N1" s="44" t="s">
        <v>35</v>
      </c>
      <c r="O1" s="44" t="s">
        <v>2</v>
      </c>
      <c r="P1" s="44" t="s">
        <v>36</v>
      </c>
      <c r="Q1" s="44" t="s">
        <v>37</v>
      </c>
      <c r="R1" s="51" t="s">
        <v>39</v>
      </c>
      <c r="S1" s="45" t="s">
        <v>38</v>
      </c>
      <c r="U1" s="44" t="s">
        <v>23</v>
      </c>
      <c r="V1" s="44" t="s">
        <v>24</v>
      </c>
      <c r="W1" s="44" t="s">
        <v>26</v>
      </c>
      <c r="X1" s="44" t="s">
        <v>28</v>
      </c>
      <c r="Y1" s="44" t="s">
        <v>1</v>
      </c>
      <c r="Z1" s="44" t="s">
        <v>31</v>
      </c>
      <c r="AA1" s="44" t="s">
        <v>33</v>
      </c>
      <c r="AB1" s="44" t="s">
        <v>34</v>
      </c>
      <c r="AC1" s="44" t="s">
        <v>35</v>
      </c>
      <c r="AD1" s="44" t="s">
        <v>2</v>
      </c>
      <c r="AE1" s="44" t="s">
        <v>36</v>
      </c>
      <c r="AF1" s="44" t="s">
        <v>37</v>
      </c>
      <c r="AG1" s="51" t="s">
        <v>18</v>
      </c>
      <c r="AH1" s="45" t="s">
        <v>38</v>
      </c>
    </row>
    <row r="2" spans="1:34" ht="20.100000000000001" customHeight="1">
      <c r="A2" s="52"/>
      <c r="B2" s="51"/>
      <c r="C2" s="53"/>
      <c r="D2" s="51"/>
      <c r="E2" s="43"/>
      <c r="F2" s="44" t="s">
        <v>20</v>
      </c>
      <c r="G2" s="44" t="s">
        <v>20</v>
      </c>
      <c r="H2" s="44" t="s">
        <v>20</v>
      </c>
      <c r="I2" s="44" t="s">
        <v>20</v>
      </c>
      <c r="J2" s="44" t="s">
        <v>20</v>
      </c>
      <c r="K2" s="44" t="s">
        <v>20</v>
      </c>
      <c r="L2" s="44" t="s">
        <v>20</v>
      </c>
      <c r="M2" s="44" t="s">
        <v>20</v>
      </c>
      <c r="N2" s="44" t="s">
        <v>20</v>
      </c>
      <c r="O2" s="44" t="s">
        <v>20</v>
      </c>
      <c r="P2" s="44" t="s">
        <v>20</v>
      </c>
      <c r="Q2" s="44" t="s">
        <v>20</v>
      </c>
      <c r="R2" s="51"/>
      <c r="S2" s="45" t="s">
        <v>20</v>
      </c>
      <c r="U2" s="44" t="s">
        <v>18</v>
      </c>
      <c r="V2" s="44" t="s">
        <v>18</v>
      </c>
      <c r="W2" s="44" t="s">
        <v>18</v>
      </c>
      <c r="X2" s="44" t="s">
        <v>18</v>
      </c>
      <c r="Y2" s="44" t="s">
        <v>18</v>
      </c>
      <c r="Z2" s="44" t="s">
        <v>18</v>
      </c>
      <c r="AA2" s="44" t="s">
        <v>18</v>
      </c>
      <c r="AB2" s="44" t="s">
        <v>18</v>
      </c>
      <c r="AC2" s="44" t="s">
        <v>18</v>
      </c>
      <c r="AD2" s="44" t="s">
        <v>18</v>
      </c>
      <c r="AE2" s="44" t="s">
        <v>18</v>
      </c>
      <c r="AF2" s="44" t="s">
        <v>18</v>
      </c>
      <c r="AG2" s="51"/>
      <c r="AH2" s="45" t="s">
        <v>18</v>
      </c>
    </row>
    <row r="3" spans="1:34" ht="20.100000000000001" customHeight="1">
      <c r="A3" s="24" t="s">
        <v>64</v>
      </c>
      <c r="B3" s="20"/>
      <c r="C3" s="20"/>
      <c r="D3" s="20">
        <v>30</v>
      </c>
      <c r="E3" s="47">
        <f t="shared" ref="E3:E16" si="0">SUM(B3:D3)</f>
        <v>30</v>
      </c>
      <c r="F3" s="48">
        <f>A!AI4</f>
        <v>0</v>
      </c>
      <c r="G3" s="48">
        <f>A!AI28</f>
        <v>0</v>
      </c>
      <c r="H3" s="48">
        <f>A!AI52</f>
        <v>0</v>
      </c>
      <c r="I3" s="48">
        <f>A!AI76</f>
        <v>0</v>
      </c>
      <c r="J3" s="48">
        <f>A!AI100</f>
        <v>0</v>
      </c>
      <c r="K3" s="48">
        <f>A!AI124</f>
        <v>0</v>
      </c>
      <c r="L3" s="48">
        <f>A!AI148</f>
        <v>0</v>
      </c>
      <c r="M3" s="48">
        <f>A!AI172</f>
        <v>0</v>
      </c>
      <c r="N3" s="48">
        <f>A!AI196</f>
        <v>0</v>
      </c>
      <c r="O3" s="48">
        <f>A!AI220</f>
        <v>0</v>
      </c>
      <c r="P3" s="48">
        <f>A!AI244</f>
        <v>0</v>
      </c>
      <c r="Q3" s="48">
        <f>A!AI268</f>
        <v>0</v>
      </c>
      <c r="R3" s="44">
        <f t="shared" ref="R3" si="1">SUM(F3+G3+H3+I3+J3+K3+L3+M3+N3+O3+P3+Q3)</f>
        <v>0</v>
      </c>
      <c r="S3" s="49">
        <f t="shared" ref="S3" si="2">SUM(E3-R3)</f>
        <v>30</v>
      </c>
      <c r="U3" s="48">
        <f>A!AH4</f>
        <v>0</v>
      </c>
      <c r="V3" s="48">
        <f>A!AH28</f>
        <v>0</v>
      </c>
      <c r="W3" s="48">
        <f>A!AH52</f>
        <v>0</v>
      </c>
      <c r="X3" s="48">
        <f>A!AH76</f>
        <v>0</v>
      </c>
      <c r="Y3" s="48">
        <f>A!AH100</f>
        <v>0</v>
      </c>
      <c r="Z3" s="48">
        <f>A!AH124</f>
        <v>0</v>
      </c>
      <c r="AA3" s="48">
        <f>A!AH148</f>
        <v>0</v>
      </c>
      <c r="AB3" s="48">
        <f>A!AH172</f>
        <v>0</v>
      </c>
      <c r="AC3" s="48">
        <f>A!AH196</f>
        <v>0</v>
      </c>
      <c r="AD3" s="48">
        <f>A!AH220</f>
        <v>0</v>
      </c>
      <c r="AE3" s="48">
        <f>A!AH244</f>
        <v>0</v>
      </c>
      <c r="AF3" s="48">
        <f>A!AH268</f>
        <v>0</v>
      </c>
      <c r="AG3" s="20">
        <f t="shared" ref="AG3" si="3">SUM(U3+V3+W3+X3+Y3+Z3+AA3+AB3+AC3+AD3+AE3+AF3)</f>
        <v>0</v>
      </c>
      <c r="AH3" s="49">
        <f>SUM(16-AG3)</f>
        <v>16</v>
      </c>
    </row>
    <row r="4" spans="1:34" ht="20.100000000000001" customHeight="1">
      <c r="A4" s="24" t="s">
        <v>65</v>
      </c>
      <c r="B4" s="20"/>
      <c r="C4" s="20"/>
      <c r="D4" s="20"/>
      <c r="E4" s="47">
        <f t="shared" si="0"/>
        <v>0</v>
      </c>
      <c r="F4" s="48">
        <f>A!AI5</f>
        <v>0</v>
      </c>
      <c r="G4" s="48">
        <f>A!AI29</f>
        <v>0</v>
      </c>
      <c r="H4" s="48">
        <f>A!AI53</f>
        <v>0</v>
      </c>
      <c r="I4" s="48">
        <f>A!AI77</f>
        <v>0</v>
      </c>
      <c r="J4" s="48">
        <f>A!AI101</f>
        <v>0</v>
      </c>
      <c r="K4" s="48">
        <f>A!AI125</f>
        <v>0</v>
      </c>
      <c r="L4" s="48">
        <f>A!AI149</f>
        <v>0</v>
      </c>
      <c r="M4" s="48">
        <f>A!AI173</f>
        <v>0</v>
      </c>
      <c r="N4" s="48">
        <f>A!AI197</f>
        <v>0</v>
      </c>
      <c r="O4" s="48">
        <f>A!AI221</f>
        <v>0</v>
      </c>
      <c r="P4" s="48">
        <f>A!AI245</f>
        <v>0</v>
      </c>
      <c r="Q4" s="48">
        <f>A!AI269</f>
        <v>0</v>
      </c>
      <c r="R4" s="44">
        <f t="shared" ref="R4:R22" si="4">SUM(F4+G4+H4+I4+J4+K4+L4+M4+N4+O4+P4+Q4)</f>
        <v>0</v>
      </c>
      <c r="S4" s="49">
        <f t="shared" ref="S4:S22" si="5">SUM(E4-R4)</f>
        <v>0</v>
      </c>
      <c r="U4" s="48">
        <f>A!AH5</f>
        <v>0</v>
      </c>
      <c r="V4" s="48">
        <f>A!AH29</f>
        <v>0</v>
      </c>
      <c r="W4" s="48">
        <f>A!AH53</f>
        <v>0</v>
      </c>
      <c r="X4" s="48">
        <f>A!AH77</f>
        <v>0</v>
      </c>
      <c r="Y4" s="48">
        <f>A!AH101</f>
        <v>0</v>
      </c>
      <c r="Z4" s="48">
        <f>A!AH125</f>
        <v>0</v>
      </c>
      <c r="AA4" s="48">
        <f>A!AH149</f>
        <v>0</v>
      </c>
      <c r="AB4" s="48">
        <f>A!AH173</f>
        <v>0</v>
      </c>
      <c r="AC4" s="48">
        <f>A!AH197</f>
        <v>0</v>
      </c>
      <c r="AD4" s="48">
        <f>A!AH221</f>
        <v>0</v>
      </c>
      <c r="AE4" s="48">
        <f>A!AH245</f>
        <v>0</v>
      </c>
      <c r="AF4" s="48">
        <f>A!AH269</f>
        <v>0</v>
      </c>
      <c r="AG4" s="20">
        <f t="shared" ref="AG4:AG22" si="6">SUM(U4+V4+W4+X4+Y4+Z4+AA4+AB4+AC4+AD4+AE4+AF4)</f>
        <v>0</v>
      </c>
      <c r="AH4" s="49">
        <f t="shared" ref="AH4:AH22" si="7">SUM(16-AG4)</f>
        <v>16</v>
      </c>
    </row>
    <row r="5" spans="1:34" ht="20.100000000000001" customHeight="1">
      <c r="A5" s="24" t="s">
        <v>67</v>
      </c>
      <c r="B5" s="20"/>
      <c r="C5" s="20"/>
      <c r="D5" s="20"/>
      <c r="E5" s="47">
        <f t="shared" si="0"/>
        <v>0</v>
      </c>
      <c r="F5" s="48">
        <f>A!AI6</f>
        <v>0</v>
      </c>
      <c r="G5" s="48">
        <f>A!AI30</f>
        <v>0</v>
      </c>
      <c r="H5" s="48">
        <f>A!AI54</f>
        <v>0</v>
      </c>
      <c r="I5" s="48">
        <f>A!AI78</f>
        <v>0</v>
      </c>
      <c r="J5" s="48">
        <f>A!AI102</f>
        <v>0</v>
      </c>
      <c r="K5" s="48">
        <f>A!AI126</f>
        <v>0</v>
      </c>
      <c r="L5" s="48">
        <f>A!AI150</f>
        <v>0</v>
      </c>
      <c r="M5" s="48">
        <f>A!AI174</f>
        <v>0</v>
      </c>
      <c r="N5" s="48">
        <f>A!AI198</f>
        <v>0</v>
      </c>
      <c r="O5" s="48">
        <f>A!AI222</f>
        <v>0</v>
      </c>
      <c r="P5" s="48">
        <f>A!AI246</f>
        <v>0</v>
      </c>
      <c r="Q5" s="48">
        <f>A!AI270</f>
        <v>0</v>
      </c>
      <c r="R5" s="44">
        <f t="shared" si="4"/>
        <v>0</v>
      </c>
      <c r="S5" s="49">
        <f t="shared" si="5"/>
        <v>0</v>
      </c>
      <c r="U5" s="48">
        <f>A!AH6</f>
        <v>0</v>
      </c>
      <c r="V5" s="48">
        <f>A!AH30</f>
        <v>0</v>
      </c>
      <c r="W5" s="48">
        <f>A!AH54</f>
        <v>0</v>
      </c>
      <c r="X5" s="48">
        <f>A!AH78</f>
        <v>0</v>
      </c>
      <c r="Y5" s="48">
        <f>A!AH102</f>
        <v>0</v>
      </c>
      <c r="Z5" s="48">
        <f>A!AH126</f>
        <v>0</v>
      </c>
      <c r="AA5" s="48">
        <f>A!AH150</f>
        <v>0</v>
      </c>
      <c r="AB5" s="48">
        <f>A!AH174</f>
        <v>0</v>
      </c>
      <c r="AC5" s="48">
        <f>A!AH198</f>
        <v>0</v>
      </c>
      <c r="AD5" s="48">
        <f>A!AH222</f>
        <v>0</v>
      </c>
      <c r="AE5" s="48">
        <f>A!AH246</f>
        <v>0</v>
      </c>
      <c r="AF5" s="48">
        <f>A!AH270</f>
        <v>0</v>
      </c>
      <c r="AG5" s="20">
        <f t="shared" si="6"/>
        <v>0</v>
      </c>
      <c r="AH5" s="49">
        <f t="shared" si="7"/>
        <v>16</v>
      </c>
    </row>
    <row r="6" spans="1:34" ht="20.100000000000001" customHeight="1">
      <c r="A6" s="24" t="s">
        <v>68</v>
      </c>
      <c r="B6" s="20"/>
      <c r="C6" s="20"/>
      <c r="D6" s="20"/>
      <c r="E6" s="47">
        <f t="shared" si="0"/>
        <v>0</v>
      </c>
      <c r="F6" s="48">
        <f>A!AI7</f>
        <v>0</v>
      </c>
      <c r="G6" s="48">
        <f>A!AI31</f>
        <v>0</v>
      </c>
      <c r="H6" s="48">
        <f>A!AI55</f>
        <v>0</v>
      </c>
      <c r="I6" s="48">
        <f>A!AI79</f>
        <v>0</v>
      </c>
      <c r="J6" s="48">
        <f>A!AI103</f>
        <v>0</v>
      </c>
      <c r="K6" s="48">
        <f>A!AI127</f>
        <v>0</v>
      </c>
      <c r="L6" s="48">
        <f>A!AI151</f>
        <v>0</v>
      </c>
      <c r="M6" s="48">
        <f>A!AI175</f>
        <v>0</v>
      </c>
      <c r="N6" s="48">
        <f>A!AI199</f>
        <v>0</v>
      </c>
      <c r="O6" s="48">
        <f>A!AI223</f>
        <v>0</v>
      </c>
      <c r="P6" s="48">
        <f>A!AI247</f>
        <v>0</v>
      </c>
      <c r="Q6" s="48">
        <f>A!AI271</f>
        <v>0</v>
      </c>
      <c r="R6" s="44">
        <f t="shared" si="4"/>
        <v>0</v>
      </c>
      <c r="S6" s="49">
        <f t="shared" si="5"/>
        <v>0</v>
      </c>
      <c r="U6" s="48">
        <f>A!AH7</f>
        <v>0</v>
      </c>
      <c r="V6" s="48">
        <f>A!AH31</f>
        <v>0</v>
      </c>
      <c r="W6" s="48">
        <f>A!AH55</f>
        <v>0</v>
      </c>
      <c r="X6" s="48">
        <f>A!AH79</f>
        <v>0</v>
      </c>
      <c r="Y6" s="48">
        <f>A!AH103</f>
        <v>0</v>
      </c>
      <c r="Z6" s="48">
        <f>A!AH127</f>
        <v>0</v>
      </c>
      <c r="AA6" s="48">
        <f>A!AH151</f>
        <v>0</v>
      </c>
      <c r="AB6" s="48">
        <f>A!AH175</f>
        <v>0</v>
      </c>
      <c r="AC6" s="48">
        <f>A!AH199</f>
        <v>0</v>
      </c>
      <c r="AD6" s="48">
        <f>A!AH223</f>
        <v>0</v>
      </c>
      <c r="AE6" s="48">
        <f>A!AH247</f>
        <v>0</v>
      </c>
      <c r="AF6" s="48">
        <f>A!AH271</f>
        <v>0</v>
      </c>
      <c r="AG6" s="20">
        <f t="shared" si="6"/>
        <v>0</v>
      </c>
      <c r="AH6" s="49">
        <f t="shared" si="7"/>
        <v>16</v>
      </c>
    </row>
    <row r="7" spans="1:34" ht="20.100000000000001" customHeight="1">
      <c r="A7" s="24" t="s">
        <v>69</v>
      </c>
      <c r="B7" s="20"/>
      <c r="C7" s="20"/>
      <c r="D7" s="20"/>
      <c r="E7" s="47">
        <f t="shared" si="0"/>
        <v>0</v>
      </c>
      <c r="F7" s="48">
        <f>A!AI8</f>
        <v>0</v>
      </c>
      <c r="G7" s="48">
        <f>A!AI32</f>
        <v>0</v>
      </c>
      <c r="H7" s="48">
        <f>A!AI56</f>
        <v>0</v>
      </c>
      <c r="I7" s="48">
        <f>A!AI80</f>
        <v>0</v>
      </c>
      <c r="J7" s="48">
        <f>A!AI104</f>
        <v>0</v>
      </c>
      <c r="K7" s="48">
        <f>A!AI128</f>
        <v>0</v>
      </c>
      <c r="L7" s="48">
        <f>A!AI152</f>
        <v>0</v>
      </c>
      <c r="M7" s="48">
        <f>A!AI176</f>
        <v>0</v>
      </c>
      <c r="N7" s="48">
        <f>A!AI200</f>
        <v>0</v>
      </c>
      <c r="O7" s="48">
        <f>A!AI224</f>
        <v>0</v>
      </c>
      <c r="P7" s="48">
        <f>A!AI248</f>
        <v>0</v>
      </c>
      <c r="Q7" s="48">
        <f>A!AI272</f>
        <v>0</v>
      </c>
      <c r="R7" s="44">
        <f t="shared" si="4"/>
        <v>0</v>
      </c>
      <c r="S7" s="49">
        <f t="shared" si="5"/>
        <v>0</v>
      </c>
      <c r="U7" s="48">
        <f>A!AH8</f>
        <v>0</v>
      </c>
      <c r="V7" s="48">
        <f>A!AH32</f>
        <v>0</v>
      </c>
      <c r="W7" s="48">
        <f>A!AH56</f>
        <v>0</v>
      </c>
      <c r="X7" s="48">
        <f>A!AH80</f>
        <v>0</v>
      </c>
      <c r="Y7" s="48">
        <f>A!AH104</f>
        <v>0</v>
      </c>
      <c r="Z7" s="48">
        <f>A!AH128</f>
        <v>0</v>
      </c>
      <c r="AA7" s="48">
        <f>A!AH152</f>
        <v>0</v>
      </c>
      <c r="AB7" s="48">
        <f>A!AH176</f>
        <v>0</v>
      </c>
      <c r="AC7" s="48">
        <f>A!AH200</f>
        <v>0</v>
      </c>
      <c r="AD7" s="48">
        <f>A!AH224</f>
        <v>0</v>
      </c>
      <c r="AE7" s="48">
        <f>A!AH248</f>
        <v>0</v>
      </c>
      <c r="AF7" s="48">
        <f>A!AH272</f>
        <v>0</v>
      </c>
      <c r="AG7" s="20">
        <f t="shared" si="6"/>
        <v>0</v>
      </c>
      <c r="AH7" s="49">
        <f t="shared" si="7"/>
        <v>16</v>
      </c>
    </row>
    <row r="8" spans="1:34" ht="20.100000000000001" customHeight="1">
      <c r="A8" s="24" t="s">
        <v>98</v>
      </c>
      <c r="B8" s="20"/>
      <c r="C8" s="20"/>
      <c r="D8" s="20"/>
      <c r="E8" s="47">
        <f t="shared" si="0"/>
        <v>0</v>
      </c>
      <c r="F8" s="48">
        <f>A!AI9</f>
        <v>0</v>
      </c>
      <c r="G8" s="48">
        <f>A!AI33</f>
        <v>0</v>
      </c>
      <c r="H8" s="48">
        <f>A!AI57</f>
        <v>0</v>
      </c>
      <c r="I8" s="48">
        <f>A!AI81</f>
        <v>0</v>
      </c>
      <c r="J8" s="48">
        <f>A!AI105</f>
        <v>0</v>
      </c>
      <c r="K8" s="48">
        <f>A!AI129</f>
        <v>0</v>
      </c>
      <c r="L8" s="48">
        <f>A!AI153</f>
        <v>0</v>
      </c>
      <c r="M8" s="48">
        <f>A!AI177</f>
        <v>0</v>
      </c>
      <c r="N8" s="48">
        <f>A!AI201</f>
        <v>0</v>
      </c>
      <c r="O8" s="48">
        <f>A!AI225</f>
        <v>0</v>
      </c>
      <c r="P8" s="48">
        <f>A!AI249</f>
        <v>0</v>
      </c>
      <c r="Q8" s="48">
        <f>A!AI273</f>
        <v>0</v>
      </c>
      <c r="R8" s="44">
        <f t="shared" si="4"/>
        <v>0</v>
      </c>
      <c r="S8" s="49">
        <f t="shared" si="5"/>
        <v>0</v>
      </c>
      <c r="U8" s="48">
        <f>A!AH9</f>
        <v>0</v>
      </c>
      <c r="V8" s="48">
        <f>A!AH33</f>
        <v>0</v>
      </c>
      <c r="W8" s="48">
        <f>A!AH57</f>
        <v>0</v>
      </c>
      <c r="X8" s="48">
        <f>A!AH81</f>
        <v>0</v>
      </c>
      <c r="Y8" s="48">
        <f>A!AH105</f>
        <v>0</v>
      </c>
      <c r="Z8" s="48">
        <f>A!AH129</f>
        <v>0</v>
      </c>
      <c r="AA8" s="48">
        <f>A!AH153</f>
        <v>0</v>
      </c>
      <c r="AB8" s="48">
        <f>A!AH177</f>
        <v>0</v>
      </c>
      <c r="AC8" s="48">
        <f>A!AH201</f>
        <v>0</v>
      </c>
      <c r="AD8" s="48">
        <f>A!AH225</f>
        <v>0</v>
      </c>
      <c r="AE8" s="48">
        <f>A!AH249</f>
        <v>0</v>
      </c>
      <c r="AF8" s="48">
        <f>A!AH273</f>
        <v>0</v>
      </c>
      <c r="AG8" s="20">
        <f t="shared" si="6"/>
        <v>0</v>
      </c>
      <c r="AH8" s="49">
        <f t="shared" si="7"/>
        <v>16</v>
      </c>
    </row>
    <row r="9" spans="1:34" ht="20.100000000000001" customHeight="1">
      <c r="A9" s="24" t="s">
        <v>71</v>
      </c>
      <c r="B9" s="20"/>
      <c r="C9" s="20"/>
      <c r="D9" s="20"/>
      <c r="E9" s="47">
        <f t="shared" si="0"/>
        <v>0</v>
      </c>
      <c r="F9" s="48">
        <f>A!AI10</f>
        <v>0</v>
      </c>
      <c r="G9" s="48">
        <f>A!AI34</f>
        <v>0</v>
      </c>
      <c r="H9" s="48">
        <f>A!AI58</f>
        <v>0</v>
      </c>
      <c r="I9" s="48">
        <f>A!AI82</f>
        <v>0</v>
      </c>
      <c r="J9" s="48">
        <f>A!AI106</f>
        <v>0</v>
      </c>
      <c r="K9" s="48">
        <f>A!AI130</f>
        <v>0</v>
      </c>
      <c r="L9" s="48">
        <f>A!AI154</f>
        <v>0</v>
      </c>
      <c r="M9" s="48">
        <f>A!AI178</f>
        <v>0</v>
      </c>
      <c r="N9" s="48">
        <f>A!AI202</f>
        <v>0</v>
      </c>
      <c r="O9" s="48">
        <f>A!AI226</f>
        <v>0</v>
      </c>
      <c r="P9" s="48">
        <f>A!AI250</f>
        <v>0</v>
      </c>
      <c r="Q9" s="48">
        <f>A!AI274</f>
        <v>0</v>
      </c>
      <c r="R9" s="44">
        <f t="shared" si="4"/>
        <v>0</v>
      </c>
      <c r="S9" s="49">
        <f t="shared" si="5"/>
        <v>0</v>
      </c>
      <c r="U9" s="48">
        <f>A!AH10</f>
        <v>0</v>
      </c>
      <c r="V9" s="48">
        <f>A!AH34</f>
        <v>0</v>
      </c>
      <c r="W9" s="48">
        <f>A!AH58</f>
        <v>0</v>
      </c>
      <c r="X9" s="48">
        <f>A!AH82</f>
        <v>0</v>
      </c>
      <c r="Y9" s="48">
        <f>A!AH106</f>
        <v>0</v>
      </c>
      <c r="Z9" s="48">
        <f>A!AH130</f>
        <v>0</v>
      </c>
      <c r="AA9" s="48">
        <f>A!AH154</f>
        <v>0</v>
      </c>
      <c r="AB9" s="48">
        <f>A!AH178</f>
        <v>0</v>
      </c>
      <c r="AC9" s="48">
        <f>A!AH202</f>
        <v>0</v>
      </c>
      <c r="AD9" s="48">
        <f>A!AH226</f>
        <v>0</v>
      </c>
      <c r="AE9" s="48">
        <f>A!AH250</f>
        <v>0</v>
      </c>
      <c r="AF9" s="48">
        <f>A!AH274</f>
        <v>0</v>
      </c>
      <c r="AG9" s="20">
        <f t="shared" si="6"/>
        <v>0</v>
      </c>
      <c r="AH9" s="49">
        <f t="shared" si="7"/>
        <v>16</v>
      </c>
    </row>
    <row r="10" spans="1:34" ht="20.100000000000001" hidden="1" customHeight="1">
      <c r="A10" s="24" t="s">
        <v>49</v>
      </c>
      <c r="B10" s="20"/>
      <c r="C10" s="20"/>
      <c r="D10" s="20"/>
      <c r="E10" s="47">
        <f t="shared" si="0"/>
        <v>0</v>
      </c>
      <c r="F10" s="48">
        <f>A!AI11</f>
        <v>0</v>
      </c>
      <c r="G10" s="48">
        <f>A!AI35</f>
        <v>0</v>
      </c>
      <c r="H10" s="48">
        <f>A!AI59</f>
        <v>0</v>
      </c>
      <c r="I10" s="48">
        <f>A!AI83</f>
        <v>0</v>
      </c>
      <c r="J10" s="48">
        <f>A!AI107</f>
        <v>0</v>
      </c>
      <c r="K10" s="48">
        <f>A!AI131</f>
        <v>0</v>
      </c>
      <c r="L10" s="48">
        <f>A!AI155</f>
        <v>0</v>
      </c>
      <c r="M10" s="48">
        <f>A!AI179</f>
        <v>0</v>
      </c>
      <c r="N10" s="48">
        <f>A!AI203</f>
        <v>0</v>
      </c>
      <c r="O10" s="48">
        <f>A!AI227</f>
        <v>0</v>
      </c>
      <c r="P10" s="48">
        <f>A!AI251</f>
        <v>0</v>
      </c>
      <c r="Q10" s="48">
        <f>A!AI275</f>
        <v>0</v>
      </c>
      <c r="R10" s="44">
        <f t="shared" si="4"/>
        <v>0</v>
      </c>
      <c r="S10" s="49">
        <f t="shared" si="5"/>
        <v>0</v>
      </c>
      <c r="U10" s="48">
        <f>A!AH11</f>
        <v>0</v>
      </c>
      <c r="V10" s="48">
        <f>A!AH35</f>
        <v>0</v>
      </c>
      <c r="W10" s="48">
        <f>A!AH59</f>
        <v>0</v>
      </c>
      <c r="X10" s="48">
        <f>A!AH83</f>
        <v>0</v>
      </c>
      <c r="Y10" s="48">
        <f>A!AH107</f>
        <v>0</v>
      </c>
      <c r="Z10" s="48">
        <f>A!AH131</f>
        <v>0</v>
      </c>
      <c r="AA10" s="48">
        <f>A!AH155</f>
        <v>0</v>
      </c>
      <c r="AB10" s="48">
        <f>A!AH179</f>
        <v>0</v>
      </c>
      <c r="AC10" s="48">
        <f>A!AH203</f>
        <v>0</v>
      </c>
      <c r="AD10" s="48">
        <f>A!AH227</f>
        <v>0</v>
      </c>
      <c r="AE10" s="48">
        <f>A!AH251</f>
        <v>0</v>
      </c>
      <c r="AF10" s="48">
        <f>A!AH275</f>
        <v>0</v>
      </c>
      <c r="AG10" s="20">
        <f t="shared" si="6"/>
        <v>0</v>
      </c>
      <c r="AH10" s="49">
        <f t="shared" si="7"/>
        <v>16</v>
      </c>
    </row>
    <row r="11" spans="1:34" ht="20.100000000000001" hidden="1" customHeight="1">
      <c r="A11" s="24" t="s">
        <v>50</v>
      </c>
      <c r="B11" s="20"/>
      <c r="C11" s="20"/>
      <c r="D11" s="20"/>
      <c r="E11" s="47">
        <f t="shared" si="0"/>
        <v>0</v>
      </c>
      <c r="F11" s="48">
        <f>A!AI12</f>
        <v>0</v>
      </c>
      <c r="G11" s="48">
        <f>A!AI36</f>
        <v>0</v>
      </c>
      <c r="H11" s="48">
        <f>A!AI60</f>
        <v>0</v>
      </c>
      <c r="I11" s="48">
        <f>A!AI84</f>
        <v>0</v>
      </c>
      <c r="J11" s="48">
        <f>A!AI108</f>
        <v>0</v>
      </c>
      <c r="K11" s="48">
        <f>A!AI132</f>
        <v>0</v>
      </c>
      <c r="L11" s="48">
        <f>A!AI156</f>
        <v>0</v>
      </c>
      <c r="M11" s="48">
        <f>A!AI180</f>
        <v>0</v>
      </c>
      <c r="N11" s="48">
        <f>A!AI204</f>
        <v>0</v>
      </c>
      <c r="O11" s="48">
        <f>A!AI228</f>
        <v>0</v>
      </c>
      <c r="P11" s="48">
        <f>A!AI252</f>
        <v>0</v>
      </c>
      <c r="Q11" s="48">
        <f>A!AI276</f>
        <v>0</v>
      </c>
      <c r="R11" s="44">
        <f t="shared" si="4"/>
        <v>0</v>
      </c>
      <c r="S11" s="49">
        <f t="shared" si="5"/>
        <v>0</v>
      </c>
      <c r="U11" s="48">
        <f>A!AH12</f>
        <v>0</v>
      </c>
      <c r="V11" s="48">
        <f>A!AH36</f>
        <v>0</v>
      </c>
      <c r="W11" s="48">
        <f>A!AH60</f>
        <v>0</v>
      </c>
      <c r="X11" s="48">
        <f>A!AH84</f>
        <v>0</v>
      </c>
      <c r="Y11" s="48">
        <f>A!AH108</f>
        <v>0</v>
      </c>
      <c r="Z11" s="48">
        <f>A!AH132</f>
        <v>0</v>
      </c>
      <c r="AA11" s="48">
        <f>A!AH156</f>
        <v>0</v>
      </c>
      <c r="AB11" s="48">
        <f>A!AH180</f>
        <v>0</v>
      </c>
      <c r="AC11" s="48">
        <f>A!AH204</f>
        <v>0</v>
      </c>
      <c r="AD11" s="48">
        <f>A!AH228</f>
        <v>0</v>
      </c>
      <c r="AE11" s="48">
        <f>A!AH252</f>
        <v>0</v>
      </c>
      <c r="AF11" s="48">
        <f>A!AH276</f>
        <v>0</v>
      </c>
      <c r="AG11" s="20">
        <f t="shared" si="6"/>
        <v>0</v>
      </c>
      <c r="AH11" s="49">
        <f t="shared" si="7"/>
        <v>16</v>
      </c>
    </row>
    <row r="12" spans="1:34" ht="19.5" hidden="1" customHeight="1">
      <c r="A12" s="24" t="s">
        <v>44</v>
      </c>
      <c r="B12" s="20"/>
      <c r="C12" s="20"/>
      <c r="D12" s="20"/>
      <c r="E12" s="47">
        <f t="shared" si="0"/>
        <v>0</v>
      </c>
      <c r="F12" s="48">
        <f>A!AI13</f>
        <v>0</v>
      </c>
      <c r="G12" s="48">
        <f>A!AI37</f>
        <v>0</v>
      </c>
      <c r="H12" s="48">
        <f>A!AI61</f>
        <v>0</v>
      </c>
      <c r="I12" s="48">
        <f>A!AI85</f>
        <v>0</v>
      </c>
      <c r="J12" s="48">
        <f>A!AI109</f>
        <v>0</v>
      </c>
      <c r="K12" s="48">
        <f>A!AI133</f>
        <v>0</v>
      </c>
      <c r="L12" s="48">
        <f>A!AI157</f>
        <v>0</v>
      </c>
      <c r="M12" s="48">
        <f>A!AI181</f>
        <v>0</v>
      </c>
      <c r="N12" s="48">
        <f>A!AI205</f>
        <v>0</v>
      </c>
      <c r="O12" s="48">
        <f>A!AI229</f>
        <v>0</v>
      </c>
      <c r="P12" s="48">
        <f>A!AI253</f>
        <v>0</v>
      </c>
      <c r="Q12" s="48">
        <f>A!AI277</f>
        <v>0</v>
      </c>
      <c r="R12" s="44">
        <f t="shared" si="4"/>
        <v>0</v>
      </c>
      <c r="S12" s="49">
        <f t="shared" si="5"/>
        <v>0</v>
      </c>
      <c r="U12" s="48">
        <f>A!AH13</f>
        <v>0</v>
      </c>
      <c r="V12" s="48">
        <f>A!AH37</f>
        <v>0</v>
      </c>
      <c r="W12" s="48">
        <f>A!AH61</f>
        <v>0</v>
      </c>
      <c r="X12" s="48">
        <f>A!AH85</f>
        <v>0</v>
      </c>
      <c r="Y12" s="48">
        <f>A!AH109</f>
        <v>0</v>
      </c>
      <c r="Z12" s="48">
        <f>A!AH133</f>
        <v>0</v>
      </c>
      <c r="AA12" s="48">
        <f>A!AH157</f>
        <v>0</v>
      </c>
      <c r="AB12" s="48">
        <f>A!AH181</f>
        <v>0</v>
      </c>
      <c r="AC12" s="48">
        <f>A!AH205</f>
        <v>0</v>
      </c>
      <c r="AD12" s="48">
        <f>A!AH229</f>
        <v>0</v>
      </c>
      <c r="AE12" s="48">
        <f>A!AH253</f>
        <v>0</v>
      </c>
      <c r="AF12" s="48">
        <f>A!AH277</f>
        <v>0</v>
      </c>
      <c r="AG12" s="20">
        <f t="shared" si="6"/>
        <v>0</v>
      </c>
      <c r="AH12" s="49">
        <f t="shared" si="7"/>
        <v>16</v>
      </c>
    </row>
    <row r="13" spans="1:34" ht="20.100000000000001" hidden="1" customHeight="1">
      <c r="A13" s="24" t="s">
        <v>45</v>
      </c>
      <c r="B13" s="20"/>
      <c r="C13" s="20"/>
      <c r="D13" s="20"/>
      <c r="E13" s="47">
        <f t="shared" si="0"/>
        <v>0</v>
      </c>
      <c r="F13" s="48">
        <f>A!AI14</f>
        <v>0</v>
      </c>
      <c r="G13" s="48">
        <f>A!AI38</f>
        <v>0</v>
      </c>
      <c r="H13" s="48">
        <f>A!AI62</f>
        <v>0</v>
      </c>
      <c r="I13" s="48">
        <f>A!AI86</f>
        <v>0</v>
      </c>
      <c r="J13" s="48">
        <f>A!AI110</f>
        <v>0</v>
      </c>
      <c r="K13" s="48">
        <f>A!AI134</f>
        <v>0</v>
      </c>
      <c r="L13" s="48">
        <f>A!AI158</f>
        <v>0</v>
      </c>
      <c r="M13" s="48">
        <f>A!AI182</f>
        <v>0</v>
      </c>
      <c r="N13" s="48">
        <f>A!AI206</f>
        <v>0</v>
      </c>
      <c r="O13" s="48">
        <f>A!AI230</f>
        <v>0</v>
      </c>
      <c r="P13" s="48">
        <f>A!AI254</f>
        <v>0</v>
      </c>
      <c r="Q13" s="48">
        <f>A!AI278</f>
        <v>0</v>
      </c>
      <c r="R13" s="44">
        <f t="shared" si="4"/>
        <v>0</v>
      </c>
      <c r="S13" s="49">
        <f t="shared" si="5"/>
        <v>0</v>
      </c>
      <c r="U13" s="48">
        <f>A!AH14</f>
        <v>0</v>
      </c>
      <c r="V13" s="48">
        <f>A!AH38</f>
        <v>0</v>
      </c>
      <c r="W13" s="48">
        <f>A!AH62</f>
        <v>0</v>
      </c>
      <c r="X13" s="48">
        <f>A!AH86</f>
        <v>0</v>
      </c>
      <c r="Y13" s="48">
        <f>A!AH110</f>
        <v>0</v>
      </c>
      <c r="Z13" s="48">
        <f>A!AH134</f>
        <v>0</v>
      </c>
      <c r="AA13" s="48">
        <f>A!AH158</f>
        <v>0</v>
      </c>
      <c r="AB13" s="48">
        <f>A!AH182</f>
        <v>0</v>
      </c>
      <c r="AC13" s="48">
        <f>A!AH206</f>
        <v>0</v>
      </c>
      <c r="AD13" s="48">
        <f>A!AH230</f>
        <v>0</v>
      </c>
      <c r="AE13" s="48">
        <f>A!AH254</f>
        <v>0</v>
      </c>
      <c r="AF13" s="48">
        <f>A!AH278</f>
        <v>0</v>
      </c>
      <c r="AG13" s="20">
        <f t="shared" si="6"/>
        <v>0</v>
      </c>
      <c r="AH13" s="49">
        <f t="shared" si="7"/>
        <v>16</v>
      </c>
    </row>
    <row r="14" spans="1:34" ht="20.100000000000001" hidden="1" customHeight="1">
      <c r="A14" s="24" t="s">
        <v>46</v>
      </c>
      <c r="B14" s="20"/>
      <c r="C14" s="20"/>
      <c r="D14" s="20"/>
      <c r="E14" s="47">
        <f t="shared" si="0"/>
        <v>0</v>
      </c>
      <c r="F14" s="48">
        <f>A!AI15</f>
        <v>0</v>
      </c>
      <c r="G14" s="48">
        <f>A!AI39</f>
        <v>0</v>
      </c>
      <c r="H14" s="48">
        <f>A!AI63</f>
        <v>0</v>
      </c>
      <c r="I14" s="48">
        <f>A!AI87</f>
        <v>0</v>
      </c>
      <c r="J14" s="48">
        <f>A!AI111</f>
        <v>0</v>
      </c>
      <c r="K14" s="48">
        <f>A!AI135</f>
        <v>0</v>
      </c>
      <c r="L14" s="48">
        <f>A!AI159</f>
        <v>0</v>
      </c>
      <c r="M14" s="48">
        <f>A!AI183</f>
        <v>0</v>
      </c>
      <c r="N14" s="48">
        <f>A!AI207</f>
        <v>0</v>
      </c>
      <c r="O14" s="48">
        <f>A!AI231</f>
        <v>0</v>
      </c>
      <c r="P14" s="48">
        <f>A!AI255</f>
        <v>0</v>
      </c>
      <c r="Q14" s="48">
        <f>A!AI279</f>
        <v>0</v>
      </c>
      <c r="R14" s="44">
        <f t="shared" si="4"/>
        <v>0</v>
      </c>
      <c r="S14" s="49">
        <f t="shared" si="5"/>
        <v>0</v>
      </c>
      <c r="U14" s="48">
        <f>A!AH15</f>
        <v>0</v>
      </c>
      <c r="V14" s="48">
        <f>A!AH39</f>
        <v>0</v>
      </c>
      <c r="W14" s="48">
        <f>A!AH63</f>
        <v>0</v>
      </c>
      <c r="X14" s="48">
        <f>A!AH87</f>
        <v>0</v>
      </c>
      <c r="Y14" s="48">
        <f>A!AH111</f>
        <v>0</v>
      </c>
      <c r="Z14" s="48">
        <f>A!AH135</f>
        <v>0</v>
      </c>
      <c r="AA14" s="48">
        <f>A!AH159</f>
        <v>0</v>
      </c>
      <c r="AB14" s="48">
        <f>A!AH183</f>
        <v>0</v>
      </c>
      <c r="AC14" s="48">
        <f>A!AH207</f>
        <v>0</v>
      </c>
      <c r="AD14" s="48">
        <f>A!AH231</f>
        <v>0</v>
      </c>
      <c r="AE14" s="48">
        <f>A!AH255</f>
        <v>0</v>
      </c>
      <c r="AF14" s="48">
        <f>A!AH279</f>
        <v>0</v>
      </c>
      <c r="AG14" s="20">
        <f t="shared" si="6"/>
        <v>0</v>
      </c>
      <c r="AH14" s="49">
        <f t="shared" si="7"/>
        <v>16</v>
      </c>
    </row>
    <row r="15" spans="1:34" ht="20.100000000000001" hidden="1" customHeight="1">
      <c r="A15" s="24" t="s">
        <v>47</v>
      </c>
      <c r="B15" s="20"/>
      <c r="C15" s="20"/>
      <c r="D15" s="20"/>
      <c r="E15" s="47">
        <f t="shared" si="0"/>
        <v>0</v>
      </c>
      <c r="F15" s="48">
        <f>A!AI16</f>
        <v>0</v>
      </c>
      <c r="G15" s="48">
        <f>A!AI40</f>
        <v>0</v>
      </c>
      <c r="H15" s="48">
        <f>A!AI64</f>
        <v>0</v>
      </c>
      <c r="I15" s="48">
        <f>A!AI88</f>
        <v>0</v>
      </c>
      <c r="J15" s="48">
        <f>A!AI112</f>
        <v>0</v>
      </c>
      <c r="K15" s="48">
        <f>A!AI136</f>
        <v>0</v>
      </c>
      <c r="L15" s="48">
        <f>A!AI160</f>
        <v>0</v>
      </c>
      <c r="M15" s="48">
        <f>A!AI184</f>
        <v>0</v>
      </c>
      <c r="N15" s="48">
        <f>A!AI208</f>
        <v>0</v>
      </c>
      <c r="O15" s="48">
        <f>A!AI232</f>
        <v>0</v>
      </c>
      <c r="P15" s="48">
        <f>A!AI256</f>
        <v>0</v>
      </c>
      <c r="Q15" s="48">
        <f>A!AI280</f>
        <v>0</v>
      </c>
      <c r="R15" s="44">
        <f t="shared" si="4"/>
        <v>0</v>
      </c>
      <c r="S15" s="49">
        <f t="shared" si="5"/>
        <v>0</v>
      </c>
      <c r="U15" s="48">
        <f>A!AH16</f>
        <v>0</v>
      </c>
      <c r="V15" s="48">
        <f>A!AH40</f>
        <v>0</v>
      </c>
      <c r="W15" s="48">
        <f>A!AH64</f>
        <v>0</v>
      </c>
      <c r="X15" s="48">
        <f>A!AH88</f>
        <v>0</v>
      </c>
      <c r="Y15" s="48">
        <f>A!AH112</f>
        <v>0</v>
      </c>
      <c r="Z15" s="48">
        <f>A!AH136</f>
        <v>0</v>
      </c>
      <c r="AA15" s="48">
        <f>A!AH160</f>
        <v>0</v>
      </c>
      <c r="AB15" s="48">
        <f>A!AH184</f>
        <v>0</v>
      </c>
      <c r="AC15" s="48">
        <f>A!AH208</f>
        <v>0</v>
      </c>
      <c r="AD15" s="48">
        <f>A!AH232</f>
        <v>0</v>
      </c>
      <c r="AE15" s="48">
        <f>A!AH256</f>
        <v>0</v>
      </c>
      <c r="AF15" s="48">
        <f>A!AH280</f>
        <v>0</v>
      </c>
      <c r="AG15" s="20">
        <f t="shared" si="6"/>
        <v>0</v>
      </c>
      <c r="AH15" s="49">
        <f t="shared" si="7"/>
        <v>16</v>
      </c>
    </row>
    <row r="16" spans="1:34" ht="20.100000000000001" hidden="1" customHeight="1">
      <c r="A16" s="24" t="s">
        <v>48</v>
      </c>
      <c r="B16" s="20"/>
      <c r="C16" s="20"/>
      <c r="D16" s="20"/>
      <c r="E16" s="47">
        <f t="shared" si="0"/>
        <v>0</v>
      </c>
      <c r="F16" s="48">
        <f>A!AI17</f>
        <v>0</v>
      </c>
      <c r="G16" s="48">
        <f>A!AI41</f>
        <v>0</v>
      </c>
      <c r="H16" s="48">
        <f>A!AI65</f>
        <v>0</v>
      </c>
      <c r="I16" s="48">
        <f>A!AI89</f>
        <v>0</v>
      </c>
      <c r="J16" s="48">
        <f>A!AI113</f>
        <v>0</v>
      </c>
      <c r="K16" s="48">
        <f>A!AI137</f>
        <v>0</v>
      </c>
      <c r="L16" s="48">
        <f>A!AI161</f>
        <v>0</v>
      </c>
      <c r="M16" s="48">
        <f>A!AI185</f>
        <v>0</v>
      </c>
      <c r="N16" s="48">
        <f>A!AI209</f>
        <v>0</v>
      </c>
      <c r="O16" s="48">
        <f>A!AI233</f>
        <v>0</v>
      </c>
      <c r="P16" s="48">
        <f>A!AI257</f>
        <v>0</v>
      </c>
      <c r="Q16" s="48">
        <f>A!AI281</f>
        <v>0</v>
      </c>
      <c r="R16" s="44">
        <f t="shared" si="4"/>
        <v>0</v>
      </c>
      <c r="S16" s="49">
        <f t="shared" si="5"/>
        <v>0</v>
      </c>
      <c r="U16" s="48">
        <f>A!AH17</f>
        <v>0</v>
      </c>
      <c r="V16" s="48">
        <f>A!AH41</f>
        <v>0</v>
      </c>
      <c r="W16" s="48">
        <f>A!AH65</f>
        <v>0</v>
      </c>
      <c r="X16" s="48">
        <f>A!AH89</f>
        <v>0</v>
      </c>
      <c r="Y16" s="48">
        <f>A!AH113</f>
        <v>0</v>
      </c>
      <c r="Z16" s="48">
        <f>A!AH137</f>
        <v>0</v>
      </c>
      <c r="AA16" s="48">
        <f>A!AH161</f>
        <v>0</v>
      </c>
      <c r="AB16" s="48">
        <f>A!AH185</f>
        <v>0</v>
      </c>
      <c r="AC16" s="48">
        <f>A!AH209</f>
        <v>0</v>
      </c>
      <c r="AD16" s="48">
        <f>A!AH233</f>
        <v>0</v>
      </c>
      <c r="AE16" s="48">
        <f>A!AH257</f>
        <v>0</v>
      </c>
      <c r="AF16" s="48">
        <f>A!AH281</f>
        <v>0</v>
      </c>
      <c r="AG16" s="20">
        <f t="shared" si="6"/>
        <v>0</v>
      </c>
      <c r="AH16" s="49">
        <f t="shared" si="7"/>
        <v>16</v>
      </c>
    </row>
    <row r="17" spans="1:34" ht="20.100000000000001" hidden="1" customHeight="1">
      <c r="A17" s="24" t="s">
        <v>43</v>
      </c>
      <c r="B17" s="20"/>
      <c r="C17" s="20"/>
      <c r="D17" s="20"/>
      <c r="E17" s="47">
        <f>SUM(B17:D17)</f>
        <v>0</v>
      </c>
      <c r="F17" s="48">
        <f>A!AI18</f>
        <v>0</v>
      </c>
      <c r="G17" s="48">
        <f>A!AI42</f>
        <v>0</v>
      </c>
      <c r="H17" s="48">
        <f>A!AI66</f>
        <v>0</v>
      </c>
      <c r="I17" s="48">
        <f>A!AI90</f>
        <v>0</v>
      </c>
      <c r="J17" s="48">
        <f>A!AI114</f>
        <v>0</v>
      </c>
      <c r="K17" s="48">
        <f>A!AI138</f>
        <v>0</v>
      </c>
      <c r="L17" s="48">
        <f>A!AI162</f>
        <v>0</v>
      </c>
      <c r="M17" s="48">
        <f>A!AI186</f>
        <v>0</v>
      </c>
      <c r="N17" s="48">
        <f>A!AI210</f>
        <v>0</v>
      </c>
      <c r="O17" s="48">
        <f>A!AI234</f>
        <v>0</v>
      </c>
      <c r="P17" s="48">
        <f>A!AI258</f>
        <v>0</v>
      </c>
      <c r="Q17" s="48">
        <f>A!AI282</f>
        <v>0</v>
      </c>
      <c r="R17" s="44">
        <f t="shared" si="4"/>
        <v>0</v>
      </c>
      <c r="S17" s="49">
        <f t="shared" si="5"/>
        <v>0</v>
      </c>
      <c r="U17" s="48">
        <f>A!AH18</f>
        <v>0</v>
      </c>
      <c r="V17" s="48">
        <f>A!AH42</f>
        <v>0</v>
      </c>
      <c r="W17" s="48">
        <f>A!AH66</f>
        <v>0</v>
      </c>
      <c r="X17" s="48">
        <f>A!AH90</f>
        <v>0</v>
      </c>
      <c r="Y17" s="48">
        <f>A!AH114</f>
        <v>0</v>
      </c>
      <c r="Z17" s="48">
        <f>A!AH138</f>
        <v>0</v>
      </c>
      <c r="AA17" s="48">
        <f>A!AH162</f>
        <v>0</v>
      </c>
      <c r="AB17" s="48">
        <f>A!AH186</f>
        <v>0</v>
      </c>
      <c r="AC17" s="48">
        <f>A!AH210</f>
        <v>0</v>
      </c>
      <c r="AD17" s="48">
        <f>A!AH234</f>
        <v>0</v>
      </c>
      <c r="AE17" s="48">
        <f>A!AH258</f>
        <v>0</v>
      </c>
      <c r="AF17" s="48">
        <f>A!AH282</f>
        <v>0</v>
      </c>
      <c r="AG17" s="20">
        <f t="shared" si="6"/>
        <v>0</v>
      </c>
      <c r="AH17" s="49">
        <f t="shared" si="7"/>
        <v>16</v>
      </c>
    </row>
    <row r="18" spans="1:34" ht="20.100000000000001" hidden="1" customHeight="1">
      <c r="A18" s="24" t="s">
        <v>57</v>
      </c>
      <c r="B18" s="20"/>
      <c r="C18" s="20"/>
      <c r="D18" s="20"/>
      <c r="E18" s="47">
        <f t="shared" ref="E18:E22" si="8">SUM(B18:D18)</f>
        <v>0</v>
      </c>
      <c r="F18" s="48">
        <f>A!AI19</f>
        <v>0</v>
      </c>
      <c r="G18" s="48">
        <f>A!AI43</f>
        <v>0</v>
      </c>
      <c r="H18" s="48">
        <f>A!AI67</f>
        <v>0</v>
      </c>
      <c r="I18" s="48">
        <f>A!AI91</f>
        <v>0</v>
      </c>
      <c r="J18" s="48">
        <f>A!AI115</f>
        <v>0</v>
      </c>
      <c r="K18" s="48">
        <f>A!AI139</f>
        <v>0</v>
      </c>
      <c r="L18" s="48">
        <f>A!AI163</f>
        <v>0</v>
      </c>
      <c r="M18" s="48">
        <f>A!AI187</f>
        <v>0</v>
      </c>
      <c r="N18" s="48">
        <f>A!AI211</f>
        <v>0</v>
      </c>
      <c r="O18" s="48">
        <f>A!AI235</f>
        <v>0</v>
      </c>
      <c r="P18" s="48">
        <f>A!AI259</f>
        <v>0</v>
      </c>
      <c r="Q18" s="48">
        <f>A!AI283</f>
        <v>0</v>
      </c>
      <c r="R18" s="44">
        <f t="shared" si="4"/>
        <v>0</v>
      </c>
      <c r="S18" s="49">
        <f t="shared" si="5"/>
        <v>0</v>
      </c>
      <c r="U18" s="48">
        <f>A!AH19</f>
        <v>0</v>
      </c>
      <c r="V18" s="48">
        <f>A!AH43</f>
        <v>0</v>
      </c>
      <c r="W18" s="48">
        <f>A!AH67</f>
        <v>0</v>
      </c>
      <c r="X18" s="48">
        <f>A!AH91</f>
        <v>0</v>
      </c>
      <c r="Y18" s="48">
        <f>A!AH115</f>
        <v>0</v>
      </c>
      <c r="Z18" s="48">
        <f>A!AH139</f>
        <v>0</v>
      </c>
      <c r="AA18" s="48">
        <f>A!AH163</f>
        <v>0</v>
      </c>
      <c r="AB18" s="48">
        <f>A!AH187</f>
        <v>0</v>
      </c>
      <c r="AC18" s="48">
        <f>A!AH211</f>
        <v>0</v>
      </c>
      <c r="AD18" s="48">
        <f>A!AH235</f>
        <v>0</v>
      </c>
      <c r="AE18" s="48">
        <f>A!AH259</f>
        <v>0</v>
      </c>
      <c r="AF18" s="48">
        <f>A!AH283</f>
        <v>0</v>
      </c>
      <c r="AG18" s="20">
        <f t="shared" si="6"/>
        <v>0</v>
      </c>
      <c r="AH18" s="49">
        <f t="shared" si="7"/>
        <v>16</v>
      </c>
    </row>
    <row r="19" spans="1:34" ht="20.100000000000001" hidden="1" customHeight="1">
      <c r="A19" s="24" t="s">
        <v>58</v>
      </c>
      <c r="B19" s="20"/>
      <c r="C19" s="20"/>
      <c r="D19" s="20"/>
      <c r="E19" s="47">
        <f t="shared" si="8"/>
        <v>0</v>
      </c>
      <c r="F19" s="48">
        <f>A!AI20</f>
        <v>0</v>
      </c>
      <c r="G19" s="48">
        <f>A!AI44</f>
        <v>0</v>
      </c>
      <c r="H19" s="48">
        <f>A!AI68</f>
        <v>0</v>
      </c>
      <c r="I19" s="48">
        <f>A!AI92</f>
        <v>0</v>
      </c>
      <c r="J19" s="48">
        <f>A!AI116</f>
        <v>0</v>
      </c>
      <c r="K19" s="48">
        <f>A!AI140</f>
        <v>0</v>
      </c>
      <c r="L19" s="48">
        <f>A!AI164</f>
        <v>0</v>
      </c>
      <c r="M19" s="48">
        <f>A!AI188</f>
        <v>0</v>
      </c>
      <c r="N19" s="48">
        <f>A!AI212</f>
        <v>0</v>
      </c>
      <c r="O19" s="48">
        <f>A!AI236</f>
        <v>0</v>
      </c>
      <c r="P19" s="48">
        <f>A!AI260</f>
        <v>0</v>
      </c>
      <c r="Q19" s="48">
        <f>A!AI284</f>
        <v>0</v>
      </c>
      <c r="R19" s="44">
        <f t="shared" si="4"/>
        <v>0</v>
      </c>
      <c r="S19" s="49">
        <f t="shared" si="5"/>
        <v>0</v>
      </c>
      <c r="U19" s="48">
        <f>A!AH20</f>
        <v>0</v>
      </c>
      <c r="V19" s="48">
        <f>A!AH44</f>
        <v>0</v>
      </c>
      <c r="W19" s="48">
        <f>A!AH68</f>
        <v>0</v>
      </c>
      <c r="X19" s="48">
        <f>A!AH92</f>
        <v>0</v>
      </c>
      <c r="Y19" s="48">
        <f>A!AH116</f>
        <v>0</v>
      </c>
      <c r="Z19" s="48">
        <f>A!AH140</f>
        <v>0</v>
      </c>
      <c r="AA19" s="48">
        <f>A!AH164</f>
        <v>0</v>
      </c>
      <c r="AB19" s="48">
        <f>A!AH188</f>
        <v>0</v>
      </c>
      <c r="AC19" s="48">
        <f>A!AH212</f>
        <v>0</v>
      </c>
      <c r="AD19" s="48">
        <f>A!AH236</f>
        <v>0</v>
      </c>
      <c r="AE19" s="48">
        <f>A!AH260</f>
        <v>0</v>
      </c>
      <c r="AF19" s="48">
        <f>A!AH284</f>
        <v>0</v>
      </c>
      <c r="AG19" s="20">
        <f t="shared" si="6"/>
        <v>0</v>
      </c>
      <c r="AH19" s="49">
        <f t="shared" si="7"/>
        <v>16</v>
      </c>
    </row>
    <row r="20" spans="1:34" ht="20.100000000000001" hidden="1" customHeight="1">
      <c r="A20" s="24" t="s">
        <v>59</v>
      </c>
      <c r="B20" s="20"/>
      <c r="C20" s="20"/>
      <c r="D20" s="20"/>
      <c r="E20" s="47">
        <f t="shared" si="8"/>
        <v>0</v>
      </c>
      <c r="F20" s="48">
        <f>A!AI21</f>
        <v>0</v>
      </c>
      <c r="G20" s="48">
        <f>A!AI45</f>
        <v>0</v>
      </c>
      <c r="H20" s="48">
        <f>A!AI69</f>
        <v>0</v>
      </c>
      <c r="I20" s="48">
        <f>A!AI93</f>
        <v>0</v>
      </c>
      <c r="J20" s="48">
        <f>A!AI117</f>
        <v>0</v>
      </c>
      <c r="K20" s="48">
        <f>A!AI141</f>
        <v>0</v>
      </c>
      <c r="L20" s="48">
        <f>A!AI165</f>
        <v>0</v>
      </c>
      <c r="M20" s="48">
        <f>A!AI189</f>
        <v>0</v>
      </c>
      <c r="N20" s="48">
        <f>A!AI213</f>
        <v>0</v>
      </c>
      <c r="O20" s="48">
        <f>A!AI237</f>
        <v>0</v>
      </c>
      <c r="P20" s="48">
        <f>A!AI261</f>
        <v>0</v>
      </c>
      <c r="Q20" s="48">
        <f>A!AI285</f>
        <v>0</v>
      </c>
      <c r="R20" s="44">
        <f t="shared" si="4"/>
        <v>0</v>
      </c>
      <c r="S20" s="49">
        <f t="shared" si="5"/>
        <v>0</v>
      </c>
      <c r="U20" s="48">
        <f>A!AH21</f>
        <v>0</v>
      </c>
      <c r="V20" s="48">
        <f>A!AH45</f>
        <v>0</v>
      </c>
      <c r="W20" s="48">
        <f>A!AH69</f>
        <v>0</v>
      </c>
      <c r="X20" s="48">
        <f>A!AH93</f>
        <v>0</v>
      </c>
      <c r="Y20" s="48">
        <f>A!AH117</f>
        <v>0</v>
      </c>
      <c r="Z20" s="48">
        <f>A!AH141</f>
        <v>0</v>
      </c>
      <c r="AA20" s="48">
        <f>A!AH165</f>
        <v>0</v>
      </c>
      <c r="AB20" s="48">
        <f>A!AH189</f>
        <v>0</v>
      </c>
      <c r="AC20" s="48">
        <f>A!AH213</f>
        <v>0</v>
      </c>
      <c r="AD20" s="48">
        <f>A!AH237</f>
        <v>0</v>
      </c>
      <c r="AE20" s="48">
        <f>A!AH261</f>
        <v>0</v>
      </c>
      <c r="AF20" s="48">
        <f>A!AH285</f>
        <v>0</v>
      </c>
      <c r="AG20" s="20">
        <f t="shared" si="6"/>
        <v>0</v>
      </c>
      <c r="AH20" s="49">
        <f t="shared" si="7"/>
        <v>16</v>
      </c>
    </row>
    <row r="21" spans="1:34" ht="20.100000000000001" hidden="1" customHeight="1">
      <c r="A21" s="24" t="s">
        <v>60</v>
      </c>
      <c r="B21" s="20"/>
      <c r="C21" s="20"/>
      <c r="D21" s="20"/>
      <c r="E21" s="47">
        <f t="shared" si="8"/>
        <v>0</v>
      </c>
      <c r="F21" s="48">
        <f>A!AI22</f>
        <v>0</v>
      </c>
      <c r="G21" s="48">
        <f>A!AI46</f>
        <v>0</v>
      </c>
      <c r="H21" s="48">
        <f>A!AI70</f>
        <v>0</v>
      </c>
      <c r="I21" s="48">
        <f>A!AI94</f>
        <v>0</v>
      </c>
      <c r="J21" s="48">
        <f>A!AI118</f>
        <v>0</v>
      </c>
      <c r="K21" s="48">
        <f>A!AI142</f>
        <v>0</v>
      </c>
      <c r="L21" s="48">
        <f>A!AI166</f>
        <v>0</v>
      </c>
      <c r="M21" s="48">
        <f>A!AI190</f>
        <v>0</v>
      </c>
      <c r="N21" s="48">
        <f>A!AI214</f>
        <v>0</v>
      </c>
      <c r="O21" s="48">
        <f>A!AI238</f>
        <v>0</v>
      </c>
      <c r="P21" s="48">
        <f>A!AI262</f>
        <v>0</v>
      </c>
      <c r="Q21" s="48">
        <f>A!AI286</f>
        <v>0</v>
      </c>
      <c r="R21" s="44">
        <f t="shared" si="4"/>
        <v>0</v>
      </c>
      <c r="S21" s="49">
        <f t="shared" si="5"/>
        <v>0</v>
      </c>
      <c r="U21" s="48">
        <f>A!AH22</f>
        <v>0</v>
      </c>
      <c r="V21" s="48">
        <f>A!AH46</f>
        <v>0</v>
      </c>
      <c r="W21" s="48">
        <f>A!AH70</f>
        <v>0</v>
      </c>
      <c r="X21" s="48">
        <f>A!AH94</f>
        <v>0</v>
      </c>
      <c r="Y21" s="48">
        <f>A!AH118</f>
        <v>0</v>
      </c>
      <c r="Z21" s="48">
        <f>A!AH142</f>
        <v>0</v>
      </c>
      <c r="AA21" s="48">
        <f>A!AH166</f>
        <v>0</v>
      </c>
      <c r="AB21" s="48">
        <f>A!AH190</f>
        <v>0</v>
      </c>
      <c r="AC21" s="48">
        <f>A!AH214</f>
        <v>0</v>
      </c>
      <c r="AD21" s="48">
        <f>A!AH238</f>
        <v>0</v>
      </c>
      <c r="AE21" s="48">
        <f>A!AH262</f>
        <v>0</v>
      </c>
      <c r="AF21" s="48">
        <f>A!AH286</f>
        <v>0</v>
      </c>
      <c r="AG21" s="20">
        <f t="shared" si="6"/>
        <v>0</v>
      </c>
      <c r="AH21" s="49">
        <f t="shared" si="7"/>
        <v>16</v>
      </c>
    </row>
    <row r="22" spans="1:34" ht="20.100000000000001" hidden="1" customHeight="1">
      <c r="A22" s="24" t="s">
        <v>61</v>
      </c>
      <c r="B22" s="20"/>
      <c r="C22" s="20"/>
      <c r="D22" s="20"/>
      <c r="E22" s="47">
        <f t="shared" si="8"/>
        <v>0</v>
      </c>
      <c r="F22" s="48">
        <f>A!AI23</f>
        <v>0</v>
      </c>
      <c r="G22" s="48">
        <f>A!AI47</f>
        <v>0</v>
      </c>
      <c r="H22" s="48">
        <f>A!AI71</f>
        <v>0</v>
      </c>
      <c r="I22" s="48">
        <f>A!AI95</f>
        <v>0</v>
      </c>
      <c r="J22" s="48">
        <f>A!AI119</f>
        <v>0</v>
      </c>
      <c r="K22" s="48">
        <f>A!AI143</f>
        <v>0</v>
      </c>
      <c r="L22" s="48">
        <f>A!AI167</f>
        <v>0</v>
      </c>
      <c r="M22" s="48">
        <f>A!AI191</f>
        <v>0</v>
      </c>
      <c r="N22" s="48">
        <f>A!AI215</f>
        <v>0</v>
      </c>
      <c r="O22" s="48">
        <f>A!AI239</f>
        <v>0</v>
      </c>
      <c r="P22" s="48">
        <f>A!AI263</f>
        <v>0</v>
      </c>
      <c r="Q22" s="48">
        <f>A!AI287</f>
        <v>0</v>
      </c>
      <c r="R22" s="44">
        <f t="shared" si="4"/>
        <v>0</v>
      </c>
      <c r="S22" s="49">
        <f t="shared" si="5"/>
        <v>0</v>
      </c>
      <c r="U22" s="48">
        <f>A!AH23</f>
        <v>0</v>
      </c>
      <c r="V22" s="48">
        <f>A!AH47</f>
        <v>0</v>
      </c>
      <c r="W22" s="48">
        <f>A!AH71</f>
        <v>0</v>
      </c>
      <c r="X22" s="48">
        <f>A!AH95</f>
        <v>0</v>
      </c>
      <c r="Y22" s="48">
        <f>A!AH119</f>
        <v>0</v>
      </c>
      <c r="Z22" s="48">
        <f>A!AH143</f>
        <v>0</v>
      </c>
      <c r="AA22" s="48">
        <f>A!AH167</f>
        <v>0</v>
      </c>
      <c r="AB22" s="48">
        <f>A!AH191</f>
        <v>0</v>
      </c>
      <c r="AC22" s="48">
        <f>A!AH215</f>
        <v>0</v>
      </c>
      <c r="AD22" s="48">
        <f>A!AH239</f>
        <v>0</v>
      </c>
      <c r="AE22" s="48">
        <f>A!AH263</f>
        <v>0</v>
      </c>
      <c r="AF22" s="48">
        <f>A!AH287</f>
        <v>0</v>
      </c>
      <c r="AG22" s="20">
        <f t="shared" si="6"/>
        <v>0</v>
      </c>
      <c r="AH22" s="49">
        <f t="shared" si="7"/>
        <v>16</v>
      </c>
    </row>
    <row r="23" spans="1:34" ht="20.100000000000001" customHeight="1"/>
    <row r="24" spans="1:34" ht="20.100000000000001" customHeight="1">
      <c r="A24" s="52" t="s">
        <v>40</v>
      </c>
      <c r="B24" s="51" t="s">
        <v>21</v>
      </c>
      <c r="C24" s="53" t="s">
        <v>41</v>
      </c>
      <c r="D24" s="51">
        <v>2021</v>
      </c>
      <c r="E24" s="43" t="s">
        <v>22</v>
      </c>
      <c r="F24" s="44" t="s">
        <v>23</v>
      </c>
      <c r="G24" s="44" t="s">
        <v>25</v>
      </c>
      <c r="H24" s="44" t="s">
        <v>27</v>
      </c>
      <c r="I24" s="44" t="s">
        <v>29</v>
      </c>
      <c r="J24" s="44" t="s">
        <v>30</v>
      </c>
      <c r="K24" s="44" t="s">
        <v>32</v>
      </c>
      <c r="L24" s="44" t="s">
        <v>33</v>
      </c>
      <c r="M24" s="44" t="s">
        <v>34</v>
      </c>
      <c r="N24" s="44" t="s">
        <v>35</v>
      </c>
      <c r="O24" s="44" t="s">
        <v>2</v>
      </c>
      <c r="P24" s="44" t="s">
        <v>36</v>
      </c>
      <c r="Q24" s="44" t="s">
        <v>37</v>
      </c>
      <c r="R24" s="51" t="s">
        <v>39</v>
      </c>
      <c r="S24" s="45" t="s">
        <v>38</v>
      </c>
      <c r="U24" s="44" t="s">
        <v>23</v>
      </c>
      <c r="V24" s="44" t="s">
        <v>24</v>
      </c>
      <c r="W24" s="44" t="s">
        <v>26</v>
      </c>
      <c r="X24" s="44" t="s">
        <v>28</v>
      </c>
      <c r="Y24" s="44" t="s">
        <v>1</v>
      </c>
      <c r="Z24" s="44" t="s">
        <v>31</v>
      </c>
      <c r="AA24" s="44" t="s">
        <v>33</v>
      </c>
      <c r="AB24" s="44" t="s">
        <v>34</v>
      </c>
      <c r="AC24" s="44" t="s">
        <v>35</v>
      </c>
      <c r="AD24" s="44" t="s">
        <v>2</v>
      </c>
      <c r="AE24" s="44" t="s">
        <v>36</v>
      </c>
      <c r="AF24" s="44" t="s">
        <v>37</v>
      </c>
      <c r="AG24" s="51" t="s">
        <v>18</v>
      </c>
      <c r="AH24" s="45" t="s">
        <v>38</v>
      </c>
    </row>
    <row r="25" spans="1:34" ht="20.100000000000001" customHeight="1">
      <c r="A25" s="52"/>
      <c r="B25" s="51"/>
      <c r="C25" s="53"/>
      <c r="D25" s="51"/>
      <c r="E25" s="43"/>
      <c r="F25" s="44" t="s">
        <v>20</v>
      </c>
      <c r="G25" s="44" t="s">
        <v>20</v>
      </c>
      <c r="H25" s="44" t="s">
        <v>20</v>
      </c>
      <c r="I25" s="44" t="s">
        <v>20</v>
      </c>
      <c r="J25" s="44" t="s">
        <v>20</v>
      </c>
      <c r="K25" s="44" t="s">
        <v>20</v>
      </c>
      <c r="L25" s="44" t="s">
        <v>20</v>
      </c>
      <c r="M25" s="44" t="s">
        <v>20</v>
      </c>
      <c r="N25" s="44" t="s">
        <v>20</v>
      </c>
      <c r="O25" s="44" t="s">
        <v>20</v>
      </c>
      <c r="P25" s="44" t="s">
        <v>20</v>
      </c>
      <c r="Q25" s="44" t="s">
        <v>20</v>
      </c>
      <c r="R25" s="51"/>
      <c r="S25" s="45" t="s">
        <v>20</v>
      </c>
      <c r="U25" s="44" t="s">
        <v>18</v>
      </c>
      <c r="V25" s="44" t="s">
        <v>18</v>
      </c>
      <c r="W25" s="44" t="s">
        <v>18</v>
      </c>
      <c r="X25" s="44" t="s">
        <v>18</v>
      </c>
      <c r="Y25" s="44" t="s">
        <v>18</v>
      </c>
      <c r="Z25" s="44" t="s">
        <v>18</v>
      </c>
      <c r="AA25" s="44" t="s">
        <v>18</v>
      </c>
      <c r="AB25" s="44" t="s">
        <v>18</v>
      </c>
      <c r="AC25" s="44" t="s">
        <v>18</v>
      </c>
      <c r="AD25" s="44" t="s">
        <v>18</v>
      </c>
      <c r="AE25" s="44" t="s">
        <v>18</v>
      </c>
      <c r="AF25" s="44" t="s">
        <v>18</v>
      </c>
      <c r="AG25" s="51"/>
      <c r="AH25" s="45" t="s">
        <v>18</v>
      </c>
    </row>
    <row r="26" spans="1:34" ht="20.100000000000001" customHeight="1">
      <c r="A26" s="24" t="s">
        <v>72</v>
      </c>
      <c r="B26" s="20"/>
      <c r="C26" s="20"/>
      <c r="D26" s="20"/>
      <c r="E26" s="47">
        <f t="shared" ref="E26:E45" si="9">SUM(B26:D26)</f>
        <v>0</v>
      </c>
      <c r="F26" s="48">
        <f>B!AI4</f>
        <v>0</v>
      </c>
      <c r="G26" s="48">
        <f>B!AI28</f>
        <v>0</v>
      </c>
      <c r="H26" s="48">
        <f>B!AI52</f>
        <v>0</v>
      </c>
      <c r="I26" s="48">
        <f>B!AI76</f>
        <v>0</v>
      </c>
      <c r="J26" s="48">
        <f>B!AI100</f>
        <v>0</v>
      </c>
      <c r="K26" s="48">
        <f>B!AI124</f>
        <v>0</v>
      </c>
      <c r="L26" s="48">
        <f>B!AI148</f>
        <v>0</v>
      </c>
      <c r="M26" s="48">
        <f>B!AI172</f>
        <v>0</v>
      </c>
      <c r="N26" s="48">
        <f>B!AI196</f>
        <v>0</v>
      </c>
      <c r="O26" s="48">
        <f>B!AI220</f>
        <v>0</v>
      </c>
      <c r="P26" s="48">
        <f>B!AI244</f>
        <v>0</v>
      </c>
      <c r="Q26" s="48">
        <f>B!AI268</f>
        <v>0</v>
      </c>
      <c r="R26" s="44">
        <f t="shared" ref="R26" si="10">SUM(F26+G26+H26+I26+J26+K26+L26+M26+N26+O26+P26+Q26)</f>
        <v>0</v>
      </c>
      <c r="S26" s="49">
        <f t="shared" ref="S26" si="11">SUM(E26-R26)</f>
        <v>0</v>
      </c>
      <c r="U26" s="48">
        <f>B!AH4</f>
        <v>0</v>
      </c>
      <c r="V26" s="48">
        <f>B!AH28</f>
        <v>0</v>
      </c>
      <c r="W26" s="48">
        <f>B!AH52</f>
        <v>0</v>
      </c>
      <c r="X26" s="48">
        <f>B!AH76</f>
        <v>0</v>
      </c>
      <c r="Y26" s="48">
        <f>B!AH100</f>
        <v>0</v>
      </c>
      <c r="Z26" s="48">
        <f>B!AH124</f>
        <v>0</v>
      </c>
      <c r="AA26" s="48">
        <f>B!AH148</f>
        <v>0</v>
      </c>
      <c r="AB26" s="48">
        <f>B!AH172</f>
        <v>0</v>
      </c>
      <c r="AC26" s="48">
        <f>B!AH196</f>
        <v>0</v>
      </c>
      <c r="AD26" s="48">
        <f>B!AH220</f>
        <v>0</v>
      </c>
      <c r="AE26" s="48">
        <f>B!AH244</f>
        <v>0</v>
      </c>
      <c r="AF26" s="48">
        <f>B!AH268</f>
        <v>0</v>
      </c>
      <c r="AG26" s="20">
        <f t="shared" ref="AG26" si="12">SUM(U26+V26+W26+X26+Y26+Z26+AA26+AB26+AC26+AD26+AE26+AF26)</f>
        <v>0</v>
      </c>
      <c r="AH26" s="49">
        <f t="shared" ref="AH26:AH45" si="13">SUM(16-AG26)</f>
        <v>16</v>
      </c>
    </row>
    <row r="27" spans="1:34" ht="20.100000000000001" customHeight="1">
      <c r="A27" s="24" t="s">
        <v>90</v>
      </c>
      <c r="B27" s="20"/>
      <c r="C27" s="20"/>
      <c r="D27" s="20"/>
      <c r="E27" s="47">
        <f t="shared" si="9"/>
        <v>0</v>
      </c>
      <c r="F27" s="48">
        <f>B!AI5</f>
        <v>0</v>
      </c>
      <c r="G27" s="48">
        <f>B!AI29</f>
        <v>0</v>
      </c>
      <c r="H27" s="48">
        <f>B!AI53</f>
        <v>0</v>
      </c>
      <c r="I27" s="48">
        <f>B!AI77</f>
        <v>0</v>
      </c>
      <c r="J27" s="48">
        <f>B!AI101</f>
        <v>0</v>
      </c>
      <c r="K27" s="48">
        <f>B!AI125</f>
        <v>0</v>
      </c>
      <c r="L27" s="48">
        <f>B!AI149</f>
        <v>0</v>
      </c>
      <c r="M27" s="48">
        <f>B!AI173</f>
        <v>0</v>
      </c>
      <c r="N27" s="48">
        <f>B!AI197</f>
        <v>0</v>
      </c>
      <c r="O27" s="48">
        <f>B!AI221</f>
        <v>0</v>
      </c>
      <c r="P27" s="48">
        <f>B!AI245</f>
        <v>0</v>
      </c>
      <c r="Q27" s="48">
        <f>B!AI269</f>
        <v>0</v>
      </c>
      <c r="R27" s="44">
        <f t="shared" ref="R27:R45" si="14">SUM(F27+G27+H27+I27+J27+K27+L27+M27+N27+O27+P27+Q27)</f>
        <v>0</v>
      </c>
      <c r="S27" s="49">
        <f t="shared" ref="S27:S45" si="15">SUM(E27-R27)</f>
        <v>0</v>
      </c>
      <c r="U27" s="48">
        <f>B!AH5</f>
        <v>0</v>
      </c>
      <c r="V27" s="48">
        <f>B!AH29</f>
        <v>0</v>
      </c>
      <c r="W27" s="48">
        <f>B!AH53</f>
        <v>0</v>
      </c>
      <c r="X27" s="48">
        <f>B!AH77</f>
        <v>0</v>
      </c>
      <c r="Y27" s="48">
        <f>B!AH101</f>
        <v>0</v>
      </c>
      <c r="Z27" s="48">
        <f>B!AH125</f>
        <v>0</v>
      </c>
      <c r="AA27" s="48">
        <f>B!AH149</f>
        <v>0</v>
      </c>
      <c r="AB27" s="48">
        <f>B!AH173</f>
        <v>0</v>
      </c>
      <c r="AC27" s="48">
        <f>B!AH197</f>
        <v>0</v>
      </c>
      <c r="AD27" s="48">
        <f>B!AH221</f>
        <v>0</v>
      </c>
      <c r="AE27" s="48">
        <f>B!AH245</f>
        <v>0</v>
      </c>
      <c r="AF27" s="48">
        <f>B!AH269</f>
        <v>0</v>
      </c>
      <c r="AG27" s="20">
        <f t="shared" ref="AG27:AG45" si="16">SUM(U27+V27+W27+X27+Y27+Z27+AA27+AB27+AC27+AD27+AE27+AF27)</f>
        <v>0</v>
      </c>
      <c r="AH27" s="49">
        <f t="shared" si="13"/>
        <v>16</v>
      </c>
    </row>
    <row r="28" spans="1:34" ht="20.100000000000001" customHeight="1">
      <c r="A28" s="24" t="s">
        <v>73</v>
      </c>
      <c r="B28" s="20"/>
      <c r="C28" s="20"/>
      <c r="D28" s="20"/>
      <c r="E28" s="47">
        <f t="shared" si="9"/>
        <v>0</v>
      </c>
      <c r="F28" s="48">
        <f>B!AI6</f>
        <v>0</v>
      </c>
      <c r="G28" s="48">
        <f>B!AI30</f>
        <v>0</v>
      </c>
      <c r="H28" s="48">
        <f>B!AI54</f>
        <v>0</v>
      </c>
      <c r="I28" s="48">
        <f>B!AI78</f>
        <v>0</v>
      </c>
      <c r="J28" s="48">
        <f>B!AI102</f>
        <v>0</v>
      </c>
      <c r="K28" s="48">
        <f>B!AI126</f>
        <v>0</v>
      </c>
      <c r="L28" s="48">
        <f>B!AI150</f>
        <v>0</v>
      </c>
      <c r="M28" s="48">
        <f>B!AI174</f>
        <v>0</v>
      </c>
      <c r="N28" s="48">
        <f>B!AI198</f>
        <v>0</v>
      </c>
      <c r="O28" s="48">
        <f>B!AI222</f>
        <v>0</v>
      </c>
      <c r="P28" s="48">
        <f>B!AI246</f>
        <v>0</v>
      </c>
      <c r="Q28" s="48">
        <f>B!AI270</f>
        <v>0</v>
      </c>
      <c r="R28" s="44">
        <f t="shared" si="14"/>
        <v>0</v>
      </c>
      <c r="S28" s="49">
        <f t="shared" si="15"/>
        <v>0</v>
      </c>
      <c r="U28" s="48">
        <f>B!AH6</f>
        <v>0</v>
      </c>
      <c r="V28" s="48">
        <f>B!AH30</f>
        <v>0</v>
      </c>
      <c r="W28" s="48">
        <f>B!AH54</f>
        <v>0</v>
      </c>
      <c r="X28" s="48">
        <f>B!AH78</f>
        <v>0</v>
      </c>
      <c r="Y28" s="48">
        <f>B!AH102</f>
        <v>0</v>
      </c>
      <c r="Z28" s="48">
        <f>B!AH126</f>
        <v>0</v>
      </c>
      <c r="AA28" s="48">
        <f>B!AH150</f>
        <v>0</v>
      </c>
      <c r="AB28" s="48">
        <f>B!AH174</f>
        <v>0</v>
      </c>
      <c r="AC28" s="48">
        <f>B!AH198</f>
        <v>0</v>
      </c>
      <c r="AD28" s="48">
        <f>B!AH222</f>
        <v>0</v>
      </c>
      <c r="AE28" s="48">
        <f>B!AH246</f>
        <v>0</v>
      </c>
      <c r="AF28" s="48">
        <f>B!AH270</f>
        <v>0</v>
      </c>
      <c r="AG28" s="20">
        <f t="shared" si="16"/>
        <v>0</v>
      </c>
      <c r="AH28" s="49">
        <f t="shared" si="13"/>
        <v>16</v>
      </c>
    </row>
    <row r="29" spans="1:34" ht="20.100000000000001" customHeight="1">
      <c r="A29" s="24" t="s">
        <v>74</v>
      </c>
      <c r="B29" s="20"/>
      <c r="C29" s="20"/>
      <c r="D29" s="20">
        <v>30</v>
      </c>
      <c r="E29" s="47">
        <f t="shared" si="9"/>
        <v>30</v>
      </c>
      <c r="F29" s="48">
        <f>B!AI7</f>
        <v>0</v>
      </c>
      <c r="G29" s="48">
        <f>B!AI31</f>
        <v>0</v>
      </c>
      <c r="H29" s="48">
        <f>B!AI55</f>
        <v>0</v>
      </c>
      <c r="I29" s="48">
        <f>B!AI79</f>
        <v>0</v>
      </c>
      <c r="J29" s="48">
        <f>B!AI103</f>
        <v>0</v>
      </c>
      <c r="K29" s="48">
        <f>B!AI127</f>
        <v>0</v>
      </c>
      <c r="L29" s="48">
        <f>B!AI151</f>
        <v>0</v>
      </c>
      <c r="M29" s="48">
        <f>B!AI175</f>
        <v>0</v>
      </c>
      <c r="N29" s="48">
        <f>B!AI199</f>
        <v>0</v>
      </c>
      <c r="O29" s="48">
        <f>B!AI223</f>
        <v>0</v>
      </c>
      <c r="P29" s="48">
        <f>B!AI247</f>
        <v>0</v>
      </c>
      <c r="Q29" s="48">
        <f>B!AI271</f>
        <v>0</v>
      </c>
      <c r="R29" s="44">
        <f t="shared" si="14"/>
        <v>0</v>
      </c>
      <c r="S29" s="49">
        <f t="shared" si="15"/>
        <v>30</v>
      </c>
      <c r="U29" s="48">
        <f>B!AH7</f>
        <v>0</v>
      </c>
      <c r="V29" s="48">
        <f>B!AH31</f>
        <v>0</v>
      </c>
      <c r="W29" s="48">
        <f>B!AH55</f>
        <v>0</v>
      </c>
      <c r="X29" s="48">
        <f>B!AH79</f>
        <v>0</v>
      </c>
      <c r="Y29" s="48">
        <f>B!AH103</f>
        <v>0</v>
      </c>
      <c r="Z29" s="48">
        <f>B!AH127</f>
        <v>0</v>
      </c>
      <c r="AA29" s="48">
        <f>B!AH151</f>
        <v>0</v>
      </c>
      <c r="AB29" s="48">
        <f>B!AH175</f>
        <v>0</v>
      </c>
      <c r="AC29" s="48">
        <f>B!AH199</f>
        <v>0</v>
      </c>
      <c r="AD29" s="48">
        <f>B!AH223</f>
        <v>0</v>
      </c>
      <c r="AE29" s="48">
        <f>B!AH247</f>
        <v>0</v>
      </c>
      <c r="AF29" s="48">
        <f>B!AH271</f>
        <v>0</v>
      </c>
      <c r="AG29" s="20">
        <f t="shared" si="16"/>
        <v>0</v>
      </c>
      <c r="AH29" s="49">
        <f t="shared" si="13"/>
        <v>16</v>
      </c>
    </row>
    <row r="30" spans="1:34" ht="20.100000000000001" customHeight="1">
      <c r="A30" s="24" t="s">
        <v>75</v>
      </c>
      <c r="B30" s="20"/>
      <c r="C30" s="20"/>
      <c r="D30" s="20"/>
      <c r="E30" s="47">
        <f t="shared" si="9"/>
        <v>0</v>
      </c>
      <c r="F30" s="48">
        <f>B!AI8</f>
        <v>0</v>
      </c>
      <c r="G30" s="48">
        <f>B!AI32</f>
        <v>0</v>
      </c>
      <c r="H30" s="48">
        <f>B!AI56</f>
        <v>0</v>
      </c>
      <c r="I30" s="48">
        <f>B!AI80</f>
        <v>0</v>
      </c>
      <c r="J30" s="48">
        <f>B!AI104</f>
        <v>0</v>
      </c>
      <c r="K30" s="48">
        <f>B!AI128</f>
        <v>0</v>
      </c>
      <c r="L30" s="48">
        <f>B!AI152</f>
        <v>0</v>
      </c>
      <c r="M30" s="48">
        <f>B!AI176</f>
        <v>0</v>
      </c>
      <c r="N30" s="48">
        <f>B!AI200</f>
        <v>0</v>
      </c>
      <c r="O30" s="48">
        <f>B!AI224</f>
        <v>0</v>
      </c>
      <c r="P30" s="48">
        <f>B!AI248</f>
        <v>0</v>
      </c>
      <c r="Q30" s="48">
        <f>B!AI272</f>
        <v>0</v>
      </c>
      <c r="R30" s="44">
        <f t="shared" si="14"/>
        <v>0</v>
      </c>
      <c r="S30" s="49">
        <f t="shared" si="15"/>
        <v>0</v>
      </c>
      <c r="U30" s="48">
        <f>B!AH8</f>
        <v>0</v>
      </c>
      <c r="V30" s="48">
        <f>B!AH32</f>
        <v>0</v>
      </c>
      <c r="W30" s="48">
        <f>B!AH56</f>
        <v>0</v>
      </c>
      <c r="X30" s="48">
        <f>B!AH80</f>
        <v>0</v>
      </c>
      <c r="Y30" s="48">
        <f>B!AH104</f>
        <v>0</v>
      </c>
      <c r="Z30" s="48">
        <f>B!AH128</f>
        <v>0</v>
      </c>
      <c r="AA30" s="48">
        <f>B!AH152</f>
        <v>0</v>
      </c>
      <c r="AB30" s="48">
        <f>B!AH176</f>
        <v>0</v>
      </c>
      <c r="AC30" s="48">
        <f>B!AH200</f>
        <v>0</v>
      </c>
      <c r="AD30" s="48">
        <f>B!AH224</f>
        <v>0</v>
      </c>
      <c r="AE30" s="48">
        <f>B!AH248</f>
        <v>0</v>
      </c>
      <c r="AF30" s="48">
        <f>B!AH272</f>
        <v>0</v>
      </c>
      <c r="AG30" s="20">
        <f t="shared" si="16"/>
        <v>0</v>
      </c>
      <c r="AH30" s="49">
        <f t="shared" si="13"/>
        <v>16</v>
      </c>
    </row>
    <row r="31" spans="1:34" ht="20.100000000000001" customHeight="1">
      <c r="A31" s="24" t="s">
        <v>70</v>
      </c>
      <c r="B31" s="20"/>
      <c r="C31" s="20"/>
      <c r="D31" s="20">
        <v>30</v>
      </c>
      <c r="E31" s="47">
        <f t="shared" si="9"/>
        <v>30</v>
      </c>
      <c r="F31" s="48">
        <f>B!AI9</f>
        <v>0</v>
      </c>
      <c r="G31" s="48">
        <f>B!AI33</f>
        <v>0</v>
      </c>
      <c r="H31" s="48">
        <f>B!AI57</f>
        <v>0</v>
      </c>
      <c r="I31" s="48">
        <f>B!AI81</f>
        <v>0</v>
      </c>
      <c r="J31" s="48">
        <f>B!AI105</f>
        <v>0</v>
      </c>
      <c r="K31" s="48">
        <f>B!AI129</f>
        <v>0</v>
      </c>
      <c r="L31" s="48">
        <f>B!AI153</f>
        <v>0</v>
      </c>
      <c r="M31" s="48">
        <f>B!AI177</f>
        <v>0</v>
      </c>
      <c r="N31" s="48">
        <f>B!AI201</f>
        <v>0</v>
      </c>
      <c r="O31" s="48">
        <f>B!AI225</f>
        <v>0</v>
      </c>
      <c r="P31" s="48">
        <f>B!AI249</f>
        <v>0</v>
      </c>
      <c r="Q31" s="48">
        <f>B!AI273</f>
        <v>0</v>
      </c>
      <c r="R31" s="44">
        <f t="shared" si="14"/>
        <v>0</v>
      </c>
      <c r="S31" s="49">
        <f t="shared" si="15"/>
        <v>30</v>
      </c>
      <c r="U31" s="48">
        <f>B!AH9</f>
        <v>0</v>
      </c>
      <c r="V31" s="48">
        <f>B!AH33</f>
        <v>0</v>
      </c>
      <c r="W31" s="48">
        <f>B!AH57</f>
        <v>0</v>
      </c>
      <c r="X31" s="48">
        <f>B!AH81</f>
        <v>0</v>
      </c>
      <c r="Y31" s="48">
        <f>B!AH105</f>
        <v>0</v>
      </c>
      <c r="Z31" s="48">
        <f>B!AH129</f>
        <v>0</v>
      </c>
      <c r="AA31" s="48">
        <f>B!AH153</f>
        <v>0</v>
      </c>
      <c r="AB31" s="48">
        <f>B!AH177</f>
        <v>0</v>
      </c>
      <c r="AC31" s="48">
        <f>B!AH201</f>
        <v>0</v>
      </c>
      <c r="AD31" s="48">
        <f>B!AH225</f>
        <v>0</v>
      </c>
      <c r="AE31" s="48">
        <f>B!AH249</f>
        <v>0</v>
      </c>
      <c r="AF31" s="48">
        <f>B!AH273</f>
        <v>0</v>
      </c>
      <c r="AG31" s="20">
        <f t="shared" si="16"/>
        <v>0</v>
      </c>
      <c r="AH31" s="49">
        <f t="shared" si="13"/>
        <v>16</v>
      </c>
    </row>
    <row r="32" spans="1:34" ht="20.100000000000001" customHeight="1">
      <c r="A32" s="24" t="s">
        <v>76</v>
      </c>
      <c r="B32" s="20"/>
      <c r="C32" s="20"/>
      <c r="D32" s="20">
        <v>30</v>
      </c>
      <c r="E32" s="47">
        <f t="shared" si="9"/>
        <v>30</v>
      </c>
      <c r="F32" s="48">
        <f>B!AI10</f>
        <v>0</v>
      </c>
      <c r="G32" s="48">
        <f>B!AI34</f>
        <v>0</v>
      </c>
      <c r="H32" s="48">
        <f>B!AI58</f>
        <v>0</v>
      </c>
      <c r="I32" s="48">
        <f>B!AI82</f>
        <v>0</v>
      </c>
      <c r="J32" s="48">
        <f>B!AI106</f>
        <v>0</v>
      </c>
      <c r="K32" s="48">
        <f>B!AI130</f>
        <v>0</v>
      </c>
      <c r="L32" s="48">
        <f>B!AI154</f>
        <v>0</v>
      </c>
      <c r="M32" s="48">
        <f>B!AI178</f>
        <v>0</v>
      </c>
      <c r="N32" s="48">
        <f>B!AI202</f>
        <v>0</v>
      </c>
      <c r="O32" s="48">
        <f>B!AI226</f>
        <v>0</v>
      </c>
      <c r="P32" s="48">
        <f>B!AI250</f>
        <v>0</v>
      </c>
      <c r="Q32" s="48">
        <f>B!AI274</f>
        <v>0</v>
      </c>
      <c r="R32" s="44">
        <f t="shared" si="14"/>
        <v>0</v>
      </c>
      <c r="S32" s="49">
        <f t="shared" si="15"/>
        <v>30</v>
      </c>
      <c r="U32" s="48">
        <f>B!AH10</f>
        <v>0</v>
      </c>
      <c r="V32" s="48">
        <f>B!AH34</f>
        <v>0</v>
      </c>
      <c r="W32" s="48">
        <f>B!AH58</f>
        <v>0</v>
      </c>
      <c r="X32" s="48">
        <f>B!AH82</f>
        <v>0</v>
      </c>
      <c r="Y32" s="48">
        <f>B!AH106</f>
        <v>0</v>
      </c>
      <c r="Z32" s="48">
        <f>B!AH130</f>
        <v>0</v>
      </c>
      <c r="AA32" s="48">
        <f>B!AH154</f>
        <v>0</v>
      </c>
      <c r="AB32" s="48">
        <f>B!AH178</f>
        <v>0</v>
      </c>
      <c r="AC32" s="48">
        <f>B!AH202</f>
        <v>0</v>
      </c>
      <c r="AD32" s="48">
        <f>B!AH226</f>
        <v>0</v>
      </c>
      <c r="AE32" s="48">
        <f>B!AH250</f>
        <v>0</v>
      </c>
      <c r="AF32" s="48">
        <f>B!AH274</f>
        <v>0</v>
      </c>
      <c r="AG32" s="20">
        <f t="shared" si="16"/>
        <v>0</v>
      </c>
      <c r="AH32" s="49">
        <f t="shared" si="13"/>
        <v>16</v>
      </c>
    </row>
    <row r="33" spans="1:34" ht="20.100000000000001" hidden="1" customHeight="1">
      <c r="A33" s="24" t="s">
        <v>49</v>
      </c>
      <c r="B33" s="20"/>
      <c r="C33" s="20"/>
      <c r="D33" s="20"/>
      <c r="E33" s="47">
        <f t="shared" si="9"/>
        <v>0</v>
      </c>
      <c r="F33" s="48">
        <f>B!AI11</f>
        <v>0</v>
      </c>
      <c r="G33" s="48">
        <f>B!AI35</f>
        <v>0</v>
      </c>
      <c r="H33" s="48">
        <f>B!AI59</f>
        <v>0</v>
      </c>
      <c r="I33" s="48">
        <f>B!AI83</f>
        <v>0</v>
      </c>
      <c r="J33" s="48">
        <f>B!AI107</f>
        <v>0</v>
      </c>
      <c r="K33" s="48">
        <f>B!AI131</f>
        <v>0</v>
      </c>
      <c r="L33" s="48">
        <f>B!AI155</f>
        <v>0</v>
      </c>
      <c r="M33" s="48">
        <f>B!AI179</f>
        <v>0</v>
      </c>
      <c r="N33" s="48">
        <f>B!AI203</f>
        <v>0</v>
      </c>
      <c r="O33" s="48">
        <f>B!AI227</f>
        <v>0</v>
      </c>
      <c r="P33" s="48">
        <f>B!AI251</f>
        <v>0</v>
      </c>
      <c r="Q33" s="48">
        <f>B!AI275</f>
        <v>0</v>
      </c>
      <c r="R33" s="44">
        <f t="shared" si="14"/>
        <v>0</v>
      </c>
      <c r="S33" s="49">
        <f t="shared" si="15"/>
        <v>0</v>
      </c>
      <c r="U33" s="48">
        <f>B!AH11</f>
        <v>0</v>
      </c>
      <c r="V33" s="48">
        <f>B!AH35</f>
        <v>0</v>
      </c>
      <c r="W33" s="48">
        <f>B!AH59</f>
        <v>0</v>
      </c>
      <c r="X33" s="48">
        <f>B!AH83</f>
        <v>0</v>
      </c>
      <c r="Y33" s="48">
        <f>B!AH107</f>
        <v>0</v>
      </c>
      <c r="Z33" s="48">
        <f>B!AH131</f>
        <v>0</v>
      </c>
      <c r="AA33" s="48">
        <f>B!AH155</f>
        <v>0</v>
      </c>
      <c r="AB33" s="48">
        <f>B!AH179</f>
        <v>0</v>
      </c>
      <c r="AC33" s="48">
        <f>B!AH203</f>
        <v>0</v>
      </c>
      <c r="AD33" s="48">
        <f>B!AH227</f>
        <v>0</v>
      </c>
      <c r="AE33" s="48">
        <f>B!AH251</f>
        <v>0</v>
      </c>
      <c r="AF33" s="48">
        <f>B!AH275</f>
        <v>0</v>
      </c>
      <c r="AG33" s="20">
        <f t="shared" si="16"/>
        <v>0</v>
      </c>
      <c r="AH33" s="49">
        <f t="shared" si="13"/>
        <v>16</v>
      </c>
    </row>
    <row r="34" spans="1:34" ht="20.100000000000001" hidden="1" customHeight="1">
      <c r="A34" s="24" t="s">
        <v>50</v>
      </c>
      <c r="B34" s="20"/>
      <c r="C34" s="20"/>
      <c r="D34" s="20"/>
      <c r="E34" s="47">
        <f t="shared" ref="E34:E44" si="17">SUM(B34:D34)</f>
        <v>0</v>
      </c>
      <c r="F34" s="48">
        <f>B!AI12</f>
        <v>0</v>
      </c>
      <c r="G34" s="48">
        <f>B!AI36</f>
        <v>0</v>
      </c>
      <c r="H34" s="48">
        <f>B!AI60</f>
        <v>0</v>
      </c>
      <c r="I34" s="48">
        <f>B!AI84</f>
        <v>0</v>
      </c>
      <c r="J34" s="48">
        <f>B!AI108</f>
        <v>0</v>
      </c>
      <c r="K34" s="48">
        <f>B!AI132</f>
        <v>0</v>
      </c>
      <c r="L34" s="48">
        <f>B!AI156</f>
        <v>0</v>
      </c>
      <c r="M34" s="48">
        <f>B!AI180</f>
        <v>0</v>
      </c>
      <c r="N34" s="48">
        <f>B!AI204</f>
        <v>0</v>
      </c>
      <c r="O34" s="48">
        <f>B!AI228</f>
        <v>0</v>
      </c>
      <c r="P34" s="48">
        <f>B!AI252</f>
        <v>0</v>
      </c>
      <c r="Q34" s="48">
        <f>B!AI276</f>
        <v>0</v>
      </c>
      <c r="R34" s="44">
        <f t="shared" si="14"/>
        <v>0</v>
      </c>
      <c r="S34" s="49">
        <f t="shared" si="15"/>
        <v>0</v>
      </c>
      <c r="U34" s="48">
        <f>B!AH12</f>
        <v>0</v>
      </c>
      <c r="V34" s="48">
        <f>B!AH36</f>
        <v>0</v>
      </c>
      <c r="W34" s="48">
        <f>B!AH60</f>
        <v>0</v>
      </c>
      <c r="X34" s="48">
        <f>B!AH84</f>
        <v>0</v>
      </c>
      <c r="Y34" s="48">
        <f>B!AH108</f>
        <v>0</v>
      </c>
      <c r="Z34" s="48">
        <f>B!AH132</f>
        <v>0</v>
      </c>
      <c r="AA34" s="48">
        <f>B!AH156</f>
        <v>0</v>
      </c>
      <c r="AB34" s="48">
        <f>B!AH180</f>
        <v>0</v>
      </c>
      <c r="AC34" s="48">
        <f>B!AH204</f>
        <v>0</v>
      </c>
      <c r="AD34" s="48">
        <f>B!AH228</f>
        <v>0</v>
      </c>
      <c r="AE34" s="48">
        <f>B!AH252</f>
        <v>0</v>
      </c>
      <c r="AF34" s="48">
        <f>B!AH276</f>
        <v>0</v>
      </c>
      <c r="AG34" s="20">
        <f t="shared" si="16"/>
        <v>0</v>
      </c>
      <c r="AH34" s="49">
        <f t="shared" si="13"/>
        <v>16</v>
      </c>
    </row>
    <row r="35" spans="1:34" ht="20.100000000000001" hidden="1" customHeight="1">
      <c r="A35" s="24" t="s">
        <v>44</v>
      </c>
      <c r="B35" s="20"/>
      <c r="C35" s="20"/>
      <c r="D35" s="20"/>
      <c r="E35" s="47">
        <f t="shared" si="17"/>
        <v>0</v>
      </c>
      <c r="F35" s="48">
        <f>B!AI13</f>
        <v>0</v>
      </c>
      <c r="G35" s="48">
        <f>B!AI37</f>
        <v>0</v>
      </c>
      <c r="H35" s="48">
        <f>B!AI61</f>
        <v>0</v>
      </c>
      <c r="I35" s="48">
        <f>B!AI85</f>
        <v>0</v>
      </c>
      <c r="J35" s="48">
        <f>B!AI109</f>
        <v>0</v>
      </c>
      <c r="K35" s="48">
        <f>B!AI133</f>
        <v>0</v>
      </c>
      <c r="L35" s="48">
        <f>B!AI157</f>
        <v>0</v>
      </c>
      <c r="M35" s="48">
        <f>B!AI181</f>
        <v>0</v>
      </c>
      <c r="N35" s="48">
        <f>B!AI205</f>
        <v>0</v>
      </c>
      <c r="O35" s="48">
        <f>B!AI229</f>
        <v>0</v>
      </c>
      <c r="P35" s="48">
        <f>B!AI253</f>
        <v>0</v>
      </c>
      <c r="Q35" s="48">
        <f>B!AI277</f>
        <v>0</v>
      </c>
      <c r="R35" s="44">
        <f t="shared" si="14"/>
        <v>0</v>
      </c>
      <c r="S35" s="49">
        <f t="shared" si="15"/>
        <v>0</v>
      </c>
      <c r="U35" s="48">
        <f>B!AH13</f>
        <v>0</v>
      </c>
      <c r="V35" s="48">
        <f>B!AH37</f>
        <v>0</v>
      </c>
      <c r="W35" s="48">
        <f>B!AH61</f>
        <v>0</v>
      </c>
      <c r="X35" s="48">
        <f>B!AH85</f>
        <v>0</v>
      </c>
      <c r="Y35" s="48">
        <f>B!AH109</f>
        <v>0</v>
      </c>
      <c r="Z35" s="48">
        <f>B!AH133</f>
        <v>0</v>
      </c>
      <c r="AA35" s="48">
        <f>B!AH157</f>
        <v>0</v>
      </c>
      <c r="AB35" s="48">
        <f>B!AH181</f>
        <v>0</v>
      </c>
      <c r="AC35" s="48">
        <f>B!AH205</f>
        <v>0</v>
      </c>
      <c r="AD35" s="48">
        <f>B!AH229</f>
        <v>0</v>
      </c>
      <c r="AE35" s="48">
        <f>B!AH253</f>
        <v>0</v>
      </c>
      <c r="AF35" s="48">
        <f>B!AH277</f>
        <v>0</v>
      </c>
      <c r="AG35" s="20">
        <f t="shared" si="16"/>
        <v>0</v>
      </c>
      <c r="AH35" s="49">
        <f t="shared" si="13"/>
        <v>16</v>
      </c>
    </row>
    <row r="36" spans="1:34" ht="20.100000000000001" hidden="1" customHeight="1">
      <c r="A36" s="24" t="s">
        <v>45</v>
      </c>
      <c r="B36" s="20"/>
      <c r="C36" s="20"/>
      <c r="D36" s="20"/>
      <c r="E36" s="47">
        <f t="shared" si="17"/>
        <v>0</v>
      </c>
      <c r="F36" s="48">
        <f>B!AI14</f>
        <v>0</v>
      </c>
      <c r="G36" s="48">
        <f>B!AI38</f>
        <v>0</v>
      </c>
      <c r="H36" s="48">
        <f>B!AI62</f>
        <v>0</v>
      </c>
      <c r="I36" s="48">
        <f>B!AI86</f>
        <v>0</v>
      </c>
      <c r="J36" s="48">
        <f>B!AI110</f>
        <v>0</v>
      </c>
      <c r="K36" s="48">
        <f>B!AI134</f>
        <v>0</v>
      </c>
      <c r="L36" s="48">
        <f>B!AI158</f>
        <v>0</v>
      </c>
      <c r="M36" s="48">
        <f>B!AI182</f>
        <v>0</v>
      </c>
      <c r="N36" s="48">
        <f>B!AI206</f>
        <v>0</v>
      </c>
      <c r="O36" s="48">
        <f>B!AI230</f>
        <v>0</v>
      </c>
      <c r="P36" s="48">
        <f>B!AI254</f>
        <v>0</v>
      </c>
      <c r="Q36" s="48">
        <f>B!AI278</f>
        <v>0</v>
      </c>
      <c r="R36" s="44">
        <f t="shared" si="14"/>
        <v>0</v>
      </c>
      <c r="S36" s="49">
        <f t="shared" si="15"/>
        <v>0</v>
      </c>
      <c r="U36" s="48">
        <f>B!AH14</f>
        <v>0</v>
      </c>
      <c r="V36" s="48">
        <f>B!AH38</f>
        <v>0</v>
      </c>
      <c r="W36" s="48">
        <f>B!AH62</f>
        <v>0</v>
      </c>
      <c r="X36" s="48">
        <f>B!AH86</f>
        <v>0</v>
      </c>
      <c r="Y36" s="48">
        <f>B!AH110</f>
        <v>0</v>
      </c>
      <c r="Z36" s="48">
        <f>B!AH134</f>
        <v>0</v>
      </c>
      <c r="AA36" s="48">
        <f>B!AH158</f>
        <v>0</v>
      </c>
      <c r="AB36" s="48">
        <f>B!AH182</f>
        <v>0</v>
      </c>
      <c r="AC36" s="48">
        <f>B!AH206</f>
        <v>0</v>
      </c>
      <c r="AD36" s="48">
        <f>B!AH230</f>
        <v>0</v>
      </c>
      <c r="AE36" s="48">
        <f>B!AH254</f>
        <v>0</v>
      </c>
      <c r="AF36" s="48">
        <f>B!AH278</f>
        <v>0</v>
      </c>
      <c r="AG36" s="20">
        <f t="shared" si="16"/>
        <v>0</v>
      </c>
      <c r="AH36" s="49">
        <f t="shared" si="13"/>
        <v>16</v>
      </c>
    </row>
    <row r="37" spans="1:34" ht="20.100000000000001" hidden="1" customHeight="1">
      <c r="A37" s="24" t="s">
        <v>46</v>
      </c>
      <c r="B37" s="20"/>
      <c r="C37" s="20"/>
      <c r="D37" s="20"/>
      <c r="E37" s="47">
        <f t="shared" si="17"/>
        <v>0</v>
      </c>
      <c r="F37" s="48">
        <f>B!AI15</f>
        <v>0</v>
      </c>
      <c r="G37" s="48">
        <f>B!AI39</f>
        <v>0</v>
      </c>
      <c r="H37" s="48">
        <f>B!AI63</f>
        <v>0</v>
      </c>
      <c r="I37" s="48">
        <f>B!AI87</f>
        <v>0</v>
      </c>
      <c r="J37" s="48">
        <f>B!AI111</f>
        <v>0</v>
      </c>
      <c r="K37" s="48">
        <f>B!AI135</f>
        <v>0</v>
      </c>
      <c r="L37" s="48">
        <f>B!AI159</f>
        <v>0</v>
      </c>
      <c r="M37" s="48">
        <f>B!AI183</f>
        <v>0</v>
      </c>
      <c r="N37" s="48">
        <f>B!AI207</f>
        <v>0</v>
      </c>
      <c r="O37" s="48">
        <f>B!AI231</f>
        <v>0</v>
      </c>
      <c r="P37" s="48">
        <f>B!AI255</f>
        <v>0</v>
      </c>
      <c r="Q37" s="48">
        <f>B!AI279</f>
        <v>0</v>
      </c>
      <c r="R37" s="44">
        <f t="shared" si="14"/>
        <v>0</v>
      </c>
      <c r="S37" s="49">
        <f t="shared" si="15"/>
        <v>0</v>
      </c>
      <c r="U37" s="48">
        <f>B!AH15</f>
        <v>0</v>
      </c>
      <c r="V37" s="48">
        <f>B!AH39</f>
        <v>0</v>
      </c>
      <c r="W37" s="48">
        <f>B!AH63</f>
        <v>0</v>
      </c>
      <c r="X37" s="48">
        <f>B!AH87</f>
        <v>0</v>
      </c>
      <c r="Y37" s="48">
        <f>B!AH111</f>
        <v>0</v>
      </c>
      <c r="Z37" s="48">
        <f>B!AH135</f>
        <v>0</v>
      </c>
      <c r="AA37" s="48">
        <f>B!AH159</f>
        <v>0</v>
      </c>
      <c r="AB37" s="48">
        <f>B!AH183</f>
        <v>0</v>
      </c>
      <c r="AC37" s="48">
        <f>B!AH207</f>
        <v>0</v>
      </c>
      <c r="AD37" s="48">
        <f>B!AH231</f>
        <v>0</v>
      </c>
      <c r="AE37" s="48">
        <f>B!AH255</f>
        <v>0</v>
      </c>
      <c r="AF37" s="48">
        <f>B!AH279</f>
        <v>0</v>
      </c>
      <c r="AG37" s="20">
        <f t="shared" si="16"/>
        <v>0</v>
      </c>
      <c r="AH37" s="49">
        <f t="shared" si="13"/>
        <v>16</v>
      </c>
    </row>
    <row r="38" spans="1:34" ht="20.100000000000001" hidden="1" customHeight="1">
      <c r="A38" s="24" t="s">
        <v>47</v>
      </c>
      <c r="B38" s="20"/>
      <c r="C38" s="20"/>
      <c r="D38" s="20"/>
      <c r="E38" s="47">
        <f t="shared" si="17"/>
        <v>0</v>
      </c>
      <c r="F38" s="48">
        <f>B!AI16</f>
        <v>0</v>
      </c>
      <c r="G38" s="48">
        <f>B!AI40</f>
        <v>0</v>
      </c>
      <c r="H38" s="48">
        <f>B!AI64</f>
        <v>0</v>
      </c>
      <c r="I38" s="48">
        <f>B!AI88</f>
        <v>0</v>
      </c>
      <c r="J38" s="48">
        <f>B!AI112</f>
        <v>0</v>
      </c>
      <c r="K38" s="48">
        <f>B!AI136</f>
        <v>0</v>
      </c>
      <c r="L38" s="48">
        <f>B!AI160</f>
        <v>0</v>
      </c>
      <c r="M38" s="48">
        <f>B!AI184</f>
        <v>0</v>
      </c>
      <c r="N38" s="48">
        <f>B!AI208</f>
        <v>0</v>
      </c>
      <c r="O38" s="48">
        <f>B!AI232</f>
        <v>0</v>
      </c>
      <c r="P38" s="48">
        <f>B!AI256</f>
        <v>0</v>
      </c>
      <c r="Q38" s="48">
        <f>B!AI280</f>
        <v>0</v>
      </c>
      <c r="R38" s="44">
        <f t="shared" si="14"/>
        <v>0</v>
      </c>
      <c r="S38" s="49">
        <f t="shared" si="15"/>
        <v>0</v>
      </c>
      <c r="U38" s="48">
        <f>B!AH16</f>
        <v>0</v>
      </c>
      <c r="V38" s="48">
        <f>B!AH40</f>
        <v>0</v>
      </c>
      <c r="W38" s="48">
        <f>B!AH64</f>
        <v>0</v>
      </c>
      <c r="X38" s="48">
        <f>B!AH88</f>
        <v>0</v>
      </c>
      <c r="Y38" s="48">
        <f>B!AH112</f>
        <v>0</v>
      </c>
      <c r="Z38" s="48">
        <f>B!AH136</f>
        <v>0</v>
      </c>
      <c r="AA38" s="48">
        <f>B!AH160</f>
        <v>0</v>
      </c>
      <c r="AB38" s="48">
        <f>B!AH184</f>
        <v>0</v>
      </c>
      <c r="AC38" s="48">
        <f>B!AH208</f>
        <v>0</v>
      </c>
      <c r="AD38" s="48">
        <f>B!AH232</f>
        <v>0</v>
      </c>
      <c r="AE38" s="48">
        <f>B!AH256</f>
        <v>0</v>
      </c>
      <c r="AF38" s="48">
        <f>B!AH280</f>
        <v>0</v>
      </c>
      <c r="AG38" s="20">
        <f t="shared" si="16"/>
        <v>0</v>
      </c>
      <c r="AH38" s="49">
        <f t="shared" si="13"/>
        <v>16</v>
      </c>
    </row>
    <row r="39" spans="1:34" ht="20.100000000000001" hidden="1" customHeight="1">
      <c r="A39" s="24" t="s">
        <v>48</v>
      </c>
      <c r="B39" s="20"/>
      <c r="C39" s="20"/>
      <c r="D39" s="20"/>
      <c r="E39" s="47">
        <f t="shared" si="17"/>
        <v>0</v>
      </c>
      <c r="F39" s="48">
        <f>B!AI17</f>
        <v>0</v>
      </c>
      <c r="G39" s="48">
        <f>B!AI41</f>
        <v>0</v>
      </c>
      <c r="H39" s="48">
        <f>B!AI65</f>
        <v>0</v>
      </c>
      <c r="I39" s="48">
        <f>B!AI89</f>
        <v>0</v>
      </c>
      <c r="J39" s="48">
        <f>B!AI113</f>
        <v>0</v>
      </c>
      <c r="K39" s="48">
        <f>B!AI137</f>
        <v>0</v>
      </c>
      <c r="L39" s="48">
        <f>B!AI161</f>
        <v>0</v>
      </c>
      <c r="M39" s="48">
        <f>B!AI185</f>
        <v>0</v>
      </c>
      <c r="N39" s="48">
        <f>B!AI209</f>
        <v>0</v>
      </c>
      <c r="O39" s="48">
        <f>B!AI233</f>
        <v>0</v>
      </c>
      <c r="P39" s="48">
        <f>B!AI257</f>
        <v>0</v>
      </c>
      <c r="Q39" s="48">
        <f>B!AI281</f>
        <v>0</v>
      </c>
      <c r="R39" s="44">
        <f t="shared" si="14"/>
        <v>0</v>
      </c>
      <c r="S39" s="49">
        <f t="shared" si="15"/>
        <v>0</v>
      </c>
      <c r="U39" s="48">
        <f>B!AH17</f>
        <v>0</v>
      </c>
      <c r="V39" s="48">
        <f>B!AH41</f>
        <v>0</v>
      </c>
      <c r="W39" s="48">
        <f>B!AH65</f>
        <v>0</v>
      </c>
      <c r="X39" s="48">
        <f>B!AH89</f>
        <v>0</v>
      </c>
      <c r="Y39" s="48">
        <f>B!AH113</f>
        <v>0</v>
      </c>
      <c r="Z39" s="48">
        <f>B!AH137</f>
        <v>0</v>
      </c>
      <c r="AA39" s="48">
        <f>B!AH161</f>
        <v>0</v>
      </c>
      <c r="AB39" s="48">
        <f>B!AH185</f>
        <v>0</v>
      </c>
      <c r="AC39" s="48">
        <f>B!AH209</f>
        <v>0</v>
      </c>
      <c r="AD39" s="48">
        <f>B!AH233</f>
        <v>0</v>
      </c>
      <c r="AE39" s="48">
        <f>B!AH257</f>
        <v>0</v>
      </c>
      <c r="AF39" s="48">
        <f>B!AH281</f>
        <v>0</v>
      </c>
      <c r="AG39" s="20">
        <f t="shared" si="16"/>
        <v>0</v>
      </c>
      <c r="AH39" s="49">
        <f t="shared" si="13"/>
        <v>16</v>
      </c>
    </row>
    <row r="40" spans="1:34" ht="20.100000000000001" hidden="1" customHeight="1">
      <c r="A40" s="24" t="s">
        <v>43</v>
      </c>
      <c r="B40" s="20"/>
      <c r="C40" s="20"/>
      <c r="D40" s="20"/>
      <c r="E40" s="47">
        <f t="shared" si="17"/>
        <v>0</v>
      </c>
      <c r="F40" s="48">
        <f>B!AI18</f>
        <v>0</v>
      </c>
      <c r="G40" s="48">
        <f>B!AI42</f>
        <v>0</v>
      </c>
      <c r="H40" s="48">
        <f>B!AI66</f>
        <v>0</v>
      </c>
      <c r="I40" s="48">
        <f>B!AI90</f>
        <v>0</v>
      </c>
      <c r="J40" s="48">
        <f>B!AI114</f>
        <v>0</v>
      </c>
      <c r="K40" s="48">
        <f>B!AI138</f>
        <v>0</v>
      </c>
      <c r="L40" s="48">
        <f>B!AI162</f>
        <v>0</v>
      </c>
      <c r="M40" s="48">
        <f>B!AI186</f>
        <v>0</v>
      </c>
      <c r="N40" s="48">
        <f>B!AI210</f>
        <v>0</v>
      </c>
      <c r="O40" s="48">
        <f>B!AI234</f>
        <v>0</v>
      </c>
      <c r="P40" s="48">
        <f>B!AI258</f>
        <v>0</v>
      </c>
      <c r="Q40" s="48">
        <f>B!AI282</f>
        <v>0</v>
      </c>
      <c r="R40" s="44">
        <f t="shared" si="14"/>
        <v>0</v>
      </c>
      <c r="S40" s="49">
        <f t="shared" si="15"/>
        <v>0</v>
      </c>
      <c r="U40" s="48">
        <f>B!AH18</f>
        <v>0</v>
      </c>
      <c r="V40" s="48">
        <f>B!AH42</f>
        <v>0</v>
      </c>
      <c r="W40" s="48">
        <f>B!AH66</f>
        <v>0</v>
      </c>
      <c r="X40" s="48">
        <f>B!AH90</f>
        <v>0</v>
      </c>
      <c r="Y40" s="48">
        <f>B!AH114</f>
        <v>0</v>
      </c>
      <c r="Z40" s="48">
        <f>B!AH138</f>
        <v>0</v>
      </c>
      <c r="AA40" s="48">
        <f>B!AH162</f>
        <v>0</v>
      </c>
      <c r="AB40" s="48">
        <f>B!AH186</f>
        <v>0</v>
      </c>
      <c r="AC40" s="48">
        <f>B!AH210</f>
        <v>0</v>
      </c>
      <c r="AD40" s="48">
        <f>B!AH234</f>
        <v>0</v>
      </c>
      <c r="AE40" s="48">
        <f>B!AH258</f>
        <v>0</v>
      </c>
      <c r="AF40" s="48">
        <f>B!AH282</f>
        <v>0</v>
      </c>
      <c r="AG40" s="20">
        <f t="shared" si="16"/>
        <v>0</v>
      </c>
      <c r="AH40" s="49">
        <f t="shared" si="13"/>
        <v>16</v>
      </c>
    </row>
    <row r="41" spans="1:34" ht="20.100000000000001" hidden="1" customHeight="1">
      <c r="A41" s="24" t="s">
        <v>57</v>
      </c>
      <c r="B41" s="20"/>
      <c r="C41" s="20"/>
      <c r="D41" s="20"/>
      <c r="E41" s="47">
        <f t="shared" si="17"/>
        <v>0</v>
      </c>
      <c r="F41" s="48">
        <f>B!AI19</f>
        <v>0</v>
      </c>
      <c r="G41" s="48">
        <f>B!AI43</f>
        <v>0</v>
      </c>
      <c r="H41" s="48">
        <f>B!AI67</f>
        <v>0</v>
      </c>
      <c r="I41" s="48">
        <f>B!AI91</f>
        <v>0</v>
      </c>
      <c r="J41" s="48">
        <f>B!AI115</f>
        <v>0</v>
      </c>
      <c r="K41" s="48">
        <f>B!AI139</f>
        <v>0</v>
      </c>
      <c r="L41" s="48">
        <f>B!AI163</f>
        <v>0</v>
      </c>
      <c r="M41" s="48">
        <f>B!AI187</f>
        <v>0</v>
      </c>
      <c r="N41" s="48">
        <f>B!AI211</f>
        <v>0</v>
      </c>
      <c r="O41" s="48">
        <f>B!AI235</f>
        <v>0</v>
      </c>
      <c r="P41" s="48">
        <f>B!AI259</f>
        <v>0</v>
      </c>
      <c r="Q41" s="48">
        <f>B!AI283</f>
        <v>0</v>
      </c>
      <c r="R41" s="44">
        <f t="shared" si="14"/>
        <v>0</v>
      </c>
      <c r="S41" s="49">
        <f t="shared" si="15"/>
        <v>0</v>
      </c>
      <c r="U41" s="48">
        <f>B!AH19</f>
        <v>0</v>
      </c>
      <c r="V41" s="48">
        <f>B!AH43</f>
        <v>0</v>
      </c>
      <c r="W41" s="48">
        <f>B!AH67</f>
        <v>0</v>
      </c>
      <c r="X41" s="48">
        <f>B!AH91</f>
        <v>0</v>
      </c>
      <c r="Y41" s="48">
        <f>B!AH115</f>
        <v>0</v>
      </c>
      <c r="Z41" s="48">
        <f>B!AH139</f>
        <v>0</v>
      </c>
      <c r="AA41" s="48">
        <f>B!AH163</f>
        <v>0</v>
      </c>
      <c r="AB41" s="48">
        <f>B!AH187</f>
        <v>0</v>
      </c>
      <c r="AC41" s="48">
        <f>B!AH211</f>
        <v>0</v>
      </c>
      <c r="AD41" s="48">
        <f>B!AH235</f>
        <v>0</v>
      </c>
      <c r="AE41" s="48">
        <f>B!AH259</f>
        <v>0</v>
      </c>
      <c r="AF41" s="48">
        <f>B!AH283</f>
        <v>0</v>
      </c>
      <c r="AG41" s="20">
        <f t="shared" si="16"/>
        <v>0</v>
      </c>
      <c r="AH41" s="49">
        <f t="shared" si="13"/>
        <v>16</v>
      </c>
    </row>
    <row r="42" spans="1:34" ht="20.100000000000001" hidden="1" customHeight="1">
      <c r="A42" s="24" t="s">
        <v>58</v>
      </c>
      <c r="B42" s="20"/>
      <c r="C42" s="20"/>
      <c r="D42" s="20"/>
      <c r="E42" s="47">
        <f t="shared" si="17"/>
        <v>0</v>
      </c>
      <c r="F42" s="48">
        <f>B!AI20</f>
        <v>0</v>
      </c>
      <c r="G42" s="48">
        <f>B!AI44</f>
        <v>0</v>
      </c>
      <c r="H42" s="48">
        <f>B!AI68</f>
        <v>0</v>
      </c>
      <c r="I42" s="48">
        <f>B!AI92</f>
        <v>0</v>
      </c>
      <c r="J42" s="48">
        <f>B!AI116</f>
        <v>0</v>
      </c>
      <c r="K42" s="48">
        <f>B!AI140</f>
        <v>0</v>
      </c>
      <c r="L42" s="48">
        <f>B!AI164</f>
        <v>0</v>
      </c>
      <c r="M42" s="48">
        <f>B!AI188</f>
        <v>0</v>
      </c>
      <c r="N42" s="48">
        <f>B!AI212</f>
        <v>0</v>
      </c>
      <c r="O42" s="48">
        <f>B!AI236</f>
        <v>0</v>
      </c>
      <c r="P42" s="48">
        <f>B!AI260</f>
        <v>0</v>
      </c>
      <c r="Q42" s="48">
        <f>B!AI284</f>
        <v>0</v>
      </c>
      <c r="R42" s="44">
        <f t="shared" si="14"/>
        <v>0</v>
      </c>
      <c r="S42" s="49">
        <f t="shared" si="15"/>
        <v>0</v>
      </c>
      <c r="U42" s="48">
        <f>B!AH20</f>
        <v>0</v>
      </c>
      <c r="V42" s="48">
        <f>B!AH44</f>
        <v>0</v>
      </c>
      <c r="W42" s="48">
        <f>B!AH68</f>
        <v>0</v>
      </c>
      <c r="X42" s="48">
        <f>B!AH92</f>
        <v>0</v>
      </c>
      <c r="Y42" s="48">
        <f>B!AH116</f>
        <v>0</v>
      </c>
      <c r="Z42" s="48">
        <f>B!AH140</f>
        <v>0</v>
      </c>
      <c r="AA42" s="48">
        <f>B!AH164</f>
        <v>0</v>
      </c>
      <c r="AB42" s="48">
        <f>B!AH188</f>
        <v>0</v>
      </c>
      <c r="AC42" s="48">
        <f>B!AH212</f>
        <v>0</v>
      </c>
      <c r="AD42" s="48">
        <f>B!AH236</f>
        <v>0</v>
      </c>
      <c r="AE42" s="48">
        <f>B!AH260</f>
        <v>0</v>
      </c>
      <c r="AF42" s="48">
        <f>B!AH284</f>
        <v>0</v>
      </c>
      <c r="AG42" s="20">
        <f t="shared" si="16"/>
        <v>0</v>
      </c>
      <c r="AH42" s="49">
        <f t="shared" si="13"/>
        <v>16</v>
      </c>
    </row>
    <row r="43" spans="1:34" ht="20.100000000000001" hidden="1" customHeight="1">
      <c r="A43" s="24" t="s">
        <v>59</v>
      </c>
      <c r="B43" s="20"/>
      <c r="C43" s="20"/>
      <c r="D43" s="20"/>
      <c r="E43" s="47">
        <f t="shared" si="17"/>
        <v>0</v>
      </c>
      <c r="F43" s="48">
        <f>B!AI21</f>
        <v>0</v>
      </c>
      <c r="G43" s="48">
        <f>B!AI45</f>
        <v>0</v>
      </c>
      <c r="H43" s="48">
        <f>B!AI69</f>
        <v>0</v>
      </c>
      <c r="I43" s="48">
        <f>B!AI93</f>
        <v>0</v>
      </c>
      <c r="J43" s="48">
        <f>B!AI117</f>
        <v>0</v>
      </c>
      <c r="K43" s="48">
        <f>B!AI141</f>
        <v>0</v>
      </c>
      <c r="L43" s="48">
        <f>B!AI165</f>
        <v>0</v>
      </c>
      <c r="M43" s="48">
        <f>B!AI189</f>
        <v>0</v>
      </c>
      <c r="N43" s="48">
        <f>B!AI213</f>
        <v>0</v>
      </c>
      <c r="O43" s="48">
        <f>B!AI237</f>
        <v>0</v>
      </c>
      <c r="P43" s="48">
        <f>B!AI261</f>
        <v>0</v>
      </c>
      <c r="Q43" s="48">
        <f>B!AI285</f>
        <v>0</v>
      </c>
      <c r="R43" s="44">
        <f t="shared" si="14"/>
        <v>0</v>
      </c>
      <c r="S43" s="49">
        <f t="shared" si="15"/>
        <v>0</v>
      </c>
      <c r="U43" s="48">
        <f>B!AH21</f>
        <v>0</v>
      </c>
      <c r="V43" s="48">
        <f>B!AH45</f>
        <v>0</v>
      </c>
      <c r="W43" s="48">
        <f>B!AH69</f>
        <v>0</v>
      </c>
      <c r="X43" s="48">
        <f>B!AH93</f>
        <v>0</v>
      </c>
      <c r="Y43" s="48">
        <f>B!AH117</f>
        <v>0</v>
      </c>
      <c r="Z43" s="48">
        <f>B!AH141</f>
        <v>0</v>
      </c>
      <c r="AA43" s="48">
        <f>B!AH165</f>
        <v>0</v>
      </c>
      <c r="AB43" s="48">
        <f>B!AH189</f>
        <v>0</v>
      </c>
      <c r="AC43" s="48">
        <f>B!AH213</f>
        <v>0</v>
      </c>
      <c r="AD43" s="48">
        <f>B!AH237</f>
        <v>0</v>
      </c>
      <c r="AE43" s="48">
        <f>B!AH261</f>
        <v>0</v>
      </c>
      <c r="AF43" s="48">
        <f>B!AH285</f>
        <v>0</v>
      </c>
      <c r="AG43" s="20">
        <f t="shared" si="16"/>
        <v>0</v>
      </c>
      <c r="AH43" s="49">
        <f t="shared" si="13"/>
        <v>16</v>
      </c>
    </row>
    <row r="44" spans="1:34" ht="20.100000000000001" hidden="1" customHeight="1">
      <c r="A44" s="24" t="s">
        <v>60</v>
      </c>
      <c r="B44" s="20"/>
      <c r="C44" s="20"/>
      <c r="D44" s="20"/>
      <c r="E44" s="47">
        <f t="shared" si="17"/>
        <v>0</v>
      </c>
      <c r="F44" s="48">
        <f>B!AI22</f>
        <v>0</v>
      </c>
      <c r="G44" s="48">
        <f>B!AI46</f>
        <v>0</v>
      </c>
      <c r="H44" s="48">
        <f>B!AI70</f>
        <v>0</v>
      </c>
      <c r="I44" s="48">
        <f>B!AI94</f>
        <v>0</v>
      </c>
      <c r="J44" s="48">
        <f>B!AI118</f>
        <v>0</v>
      </c>
      <c r="K44" s="48">
        <f>B!AI142</f>
        <v>0</v>
      </c>
      <c r="L44" s="48">
        <f>B!AI166</f>
        <v>0</v>
      </c>
      <c r="M44" s="48">
        <f>B!AI190</f>
        <v>0</v>
      </c>
      <c r="N44" s="48">
        <f>B!AI214</f>
        <v>0</v>
      </c>
      <c r="O44" s="48">
        <f>B!AI238</f>
        <v>0</v>
      </c>
      <c r="P44" s="48">
        <f>B!AI262</f>
        <v>0</v>
      </c>
      <c r="Q44" s="48">
        <f>B!AI286</f>
        <v>0</v>
      </c>
      <c r="R44" s="44">
        <f t="shared" si="14"/>
        <v>0</v>
      </c>
      <c r="S44" s="49">
        <f t="shared" si="15"/>
        <v>0</v>
      </c>
      <c r="U44" s="48">
        <f>B!AH22</f>
        <v>0</v>
      </c>
      <c r="V44" s="48">
        <f>B!AH46</f>
        <v>0</v>
      </c>
      <c r="W44" s="48">
        <f>B!AH70</f>
        <v>0</v>
      </c>
      <c r="X44" s="48">
        <f>B!AH94</f>
        <v>0</v>
      </c>
      <c r="Y44" s="48">
        <f>B!AH118</f>
        <v>0</v>
      </c>
      <c r="Z44" s="48">
        <f>B!AH142</f>
        <v>0</v>
      </c>
      <c r="AA44" s="48">
        <f>B!AH166</f>
        <v>0</v>
      </c>
      <c r="AB44" s="48">
        <f>B!AH190</f>
        <v>0</v>
      </c>
      <c r="AC44" s="48">
        <f>B!AH214</f>
        <v>0</v>
      </c>
      <c r="AD44" s="48">
        <f>B!AH238</f>
        <v>0</v>
      </c>
      <c r="AE44" s="48">
        <f>B!AH262</f>
        <v>0</v>
      </c>
      <c r="AF44" s="48">
        <f>B!AH286</f>
        <v>0</v>
      </c>
      <c r="AG44" s="20">
        <f t="shared" si="16"/>
        <v>0</v>
      </c>
      <c r="AH44" s="49">
        <f t="shared" si="13"/>
        <v>16</v>
      </c>
    </row>
    <row r="45" spans="1:34" ht="20.100000000000001" hidden="1" customHeight="1">
      <c r="A45" s="24" t="s">
        <v>61</v>
      </c>
      <c r="B45" s="20"/>
      <c r="C45" s="20"/>
      <c r="D45" s="20"/>
      <c r="E45" s="47">
        <f t="shared" si="9"/>
        <v>0</v>
      </c>
      <c r="F45" s="48">
        <f>B!AI23</f>
        <v>0</v>
      </c>
      <c r="G45" s="48">
        <f>B!AI47</f>
        <v>0</v>
      </c>
      <c r="H45" s="48">
        <f>B!AI71</f>
        <v>0</v>
      </c>
      <c r="I45" s="48">
        <f>B!AI95</f>
        <v>0</v>
      </c>
      <c r="J45" s="48">
        <f>B!AI119</f>
        <v>0</v>
      </c>
      <c r="K45" s="48">
        <f>B!AI143</f>
        <v>0</v>
      </c>
      <c r="L45" s="48">
        <f>B!AI167</f>
        <v>0</v>
      </c>
      <c r="M45" s="48">
        <f>B!AI191</f>
        <v>0</v>
      </c>
      <c r="N45" s="48">
        <f>B!AI215</f>
        <v>0</v>
      </c>
      <c r="O45" s="48">
        <f>B!AI239</f>
        <v>0</v>
      </c>
      <c r="P45" s="48">
        <f>B!AI263</f>
        <v>0</v>
      </c>
      <c r="Q45" s="48">
        <f>B!AI287</f>
        <v>0</v>
      </c>
      <c r="R45" s="44">
        <f t="shared" si="14"/>
        <v>0</v>
      </c>
      <c r="S45" s="49">
        <f t="shared" si="15"/>
        <v>0</v>
      </c>
      <c r="U45" s="48">
        <f>B!AH23</f>
        <v>0</v>
      </c>
      <c r="V45" s="48">
        <f>B!AH47</f>
        <v>0</v>
      </c>
      <c r="W45" s="48">
        <f>B!AH71</f>
        <v>0</v>
      </c>
      <c r="X45" s="48">
        <f>B!AH95</f>
        <v>0</v>
      </c>
      <c r="Y45" s="48">
        <f>B!AH119</f>
        <v>0</v>
      </c>
      <c r="Z45" s="48">
        <f>B!AH143</f>
        <v>0</v>
      </c>
      <c r="AA45" s="48">
        <f>B!AH167</f>
        <v>0</v>
      </c>
      <c r="AB45" s="48">
        <f>B!AH191</f>
        <v>0</v>
      </c>
      <c r="AC45" s="48">
        <f>B!AH215</f>
        <v>0</v>
      </c>
      <c r="AD45" s="48">
        <f>B!AH239</f>
        <v>0</v>
      </c>
      <c r="AE45" s="48">
        <f>B!AH263</f>
        <v>0</v>
      </c>
      <c r="AF45" s="48">
        <f>B!AH287</f>
        <v>0</v>
      </c>
      <c r="AG45" s="20">
        <f t="shared" si="16"/>
        <v>0</v>
      </c>
      <c r="AH45" s="49">
        <f t="shared" si="13"/>
        <v>16</v>
      </c>
    </row>
    <row r="46" spans="1:34" ht="20.100000000000001" customHeight="1"/>
    <row r="47" spans="1:34" ht="20.100000000000001" customHeight="1">
      <c r="A47" s="52" t="s">
        <v>40</v>
      </c>
      <c r="B47" s="51" t="s">
        <v>21</v>
      </c>
      <c r="C47" s="53" t="s">
        <v>41</v>
      </c>
      <c r="D47" s="51">
        <v>2021</v>
      </c>
      <c r="E47" s="43" t="s">
        <v>22</v>
      </c>
      <c r="F47" s="44" t="s">
        <v>23</v>
      </c>
      <c r="G47" s="44" t="s">
        <v>25</v>
      </c>
      <c r="H47" s="44" t="s">
        <v>27</v>
      </c>
      <c r="I47" s="44" t="s">
        <v>29</v>
      </c>
      <c r="J47" s="44" t="s">
        <v>30</v>
      </c>
      <c r="K47" s="44" t="s">
        <v>32</v>
      </c>
      <c r="L47" s="44" t="s">
        <v>33</v>
      </c>
      <c r="M47" s="44" t="s">
        <v>34</v>
      </c>
      <c r="N47" s="44" t="s">
        <v>35</v>
      </c>
      <c r="O47" s="44" t="s">
        <v>2</v>
      </c>
      <c r="P47" s="44" t="s">
        <v>36</v>
      </c>
      <c r="Q47" s="44" t="s">
        <v>37</v>
      </c>
      <c r="R47" s="51" t="s">
        <v>39</v>
      </c>
      <c r="S47" s="45" t="s">
        <v>38</v>
      </c>
      <c r="U47" s="44" t="s">
        <v>23</v>
      </c>
      <c r="V47" s="44" t="s">
        <v>24</v>
      </c>
      <c r="W47" s="44" t="s">
        <v>26</v>
      </c>
      <c r="X47" s="44" t="s">
        <v>28</v>
      </c>
      <c r="Y47" s="44" t="s">
        <v>1</v>
      </c>
      <c r="Z47" s="44" t="s">
        <v>31</v>
      </c>
      <c r="AA47" s="44" t="s">
        <v>33</v>
      </c>
      <c r="AB47" s="44" t="s">
        <v>34</v>
      </c>
      <c r="AC47" s="44" t="s">
        <v>35</v>
      </c>
      <c r="AD47" s="44" t="s">
        <v>2</v>
      </c>
      <c r="AE47" s="44" t="s">
        <v>36</v>
      </c>
      <c r="AF47" s="44" t="s">
        <v>37</v>
      </c>
      <c r="AG47" s="51" t="s">
        <v>18</v>
      </c>
      <c r="AH47" s="45" t="s">
        <v>38</v>
      </c>
    </row>
    <row r="48" spans="1:34" ht="20.100000000000001" customHeight="1">
      <c r="A48" s="52"/>
      <c r="B48" s="51"/>
      <c r="C48" s="53"/>
      <c r="D48" s="51"/>
      <c r="E48" s="43"/>
      <c r="F48" s="44" t="s">
        <v>20</v>
      </c>
      <c r="G48" s="44" t="s">
        <v>20</v>
      </c>
      <c r="H48" s="44" t="s">
        <v>20</v>
      </c>
      <c r="I48" s="44" t="s">
        <v>20</v>
      </c>
      <c r="J48" s="44" t="s">
        <v>20</v>
      </c>
      <c r="K48" s="44" t="s">
        <v>20</v>
      </c>
      <c r="L48" s="44" t="s">
        <v>20</v>
      </c>
      <c r="M48" s="44" t="s">
        <v>20</v>
      </c>
      <c r="N48" s="44" t="s">
        <v>20</v>
      </c>
      <c r="O48" s="44" t="s">
        <v>20</v>
      </c>
      <c r="P48" s="44" t="s">
        <v>20</v>
      </c>
      <c r="Q48" s="44" t="s">
        <v>20</v>
      </c>
      <c r="R48" s="51"/>
      <c r="S48" s="45" t="s">
        <v>20</v>
      </c>
      <c r="U48" s="44" t="s">
        <v>18</v>
      </c>
      <c r="V48" s="44" t="s">
        <v>18</v>
      </c>
      <c r="W48" s="44" t="s">
        <v>18</v>
      </c>
      <c r="X48" s="44" t="s">
        <v>18</v>
      </c>
      <c r="Y48" s="44" t="s">
        <v>18</v>
      </c>
      <c r="Z48" s="44" t="s">
        <v>18</v>
      </c>
      <c r="AA48" s="44" t="s">
        <v>18</v>
      </c>
      <c r="AB48" s="44" t="s">
        <v>18</v>
      </c>
      <c r="AC48" s="44" t="s">
        <v>18</v>
      </c>
      <c r="AD48" s="44" t="s">
        <v>18</v>
      </c>
      <c r="AE48" s="44" t="s">
        <v>18</v>
      </c>
      <c r="AF48" s="44" t="s">
        <v>18</v>
      </c>
      <c r="AG48" s="51"/>
      <c r="AH48" s="45" t="s">
        <v>18</v>
      </c>
    </row>
    <row r="49" spans="1:34" ht="20.100000000000001" customHeight="1">
      <c r="A49" s="24" t="s">
        <v>77</v>
      </c>
      <c r="B49" s="20"/>
      <c r="C49" s="20"/>
      <c r="D49" s="20"/>
      <c r="E49" s="47">
        <f t="shared" ref="E49:E68" si="18">SUM(B49:D49)</f>
        <v>0</v>
      </c>
      <c r="F49" s="48">
        <f>'C'!AI4</f>
        <v>0</v>
      </c>
      <c r="G49" s="48">
        <f>'C'!AI28</f>
        <v>0</v>
      </c>
      <c r="H49" s="48">
        <f>'C'!AI52</f>
        <v>0</v>
      </c>
      <c r="I49" s="48">
        <f>'C'!AI76</f>
        <v>0</v>
      </c>
      <c r="J49" s="48">
        <f>'C'!AI100</f>
        <v>0</v>
      </c>
      <c r="K49" s="48">
        <f>'C'!AI124</f>
        <v>0</v>
      </c>
      <c r="L49" s="48">
        <f>'C'!AI148</f>
        <v>0</v>
      </c>
      <c r="M49" s="48">
        <f>'C'!AI172</f>
        <v>0</v>
      </c>
      <c r="N49" s="48">
        <f>'C'!AI196</f>
        <v>0</v>
      </c>
      <c r="O49" s="48">
        <f>'C'!AI220</f>
        <v>0</v>
      </c>
      <c r="P49" s="48">
        <f>'C'!AI244</f>
        <v>0</v>
      </c>
      <c r="Q49" s="48">
        <f>'C'!AI268</f>
        <v>0</v>
      </c>
      <c r="R49" s="44">
        <f t="shared" ref="R49" si="19">SUM(F49+G49+H49+I49+J49+K49+L49+M49+N49+O49+P49+Q49)</f>
        <v>0</v>
      </c>
      <c r="S49" s="49">
        <f t="shared" ref="S49" si="20">SUM(E49-R49)</f>
        <v>0</v>
      </c>
      <c r="U49" s="48">
        <f>'C'!AH4</f>
        <v>0</v>
      </c>
      <c r="V49" s="48">
        <f>'C'!AH28</f>
        <v>0</v>
      </c>
      <c r="W49" s="48">
        <f>'C'!AH52</f>
        <v>0</v>
      </c>
      <c r="X49" s="48">
        <f>'C'!AH76</f>
        <v>0</v>
      </c>
      <c r="Y49" s="48">
        <f>'C'!AH100</f>
        <v>0</v>
      </c>
      <c r="Z49" s="48">
        <f>'C'!AH124</f>
        <v>0</v>
      </c>
      <c r="AA49" s="48">
        <f>'C'!AH148</f>
        <v>0</v>
      </c>
      <c r="AB49" s="48">
        <f>'C'!AH172</f>
        <v>0</v>
      </c>
      <c r="AC49" s="48">
        <f>'C'!AH196</f>
        <v>0</v>
      </c>
      <c r="AD49" s="48">
        <f>'C'!AH220</f>
        <v>0</v>
      </c>
      <c r="AE49" s="48">
        <f>'C'!AH244</f>
        <v>0</v>
      </c>
      <c r="AF49" s="48">
        <f>'C'!AH268</f>
        <v>0</v>
      </c>
      <c r="AG49" s="20">
        <f t="shared" ref="AG49" si="21">SUM(U49+V49+W49+X49+Y49+Z49+AA49+AB49+AC49+AD49+AE49+AF49)</f>
        <v>0</v>
      </c>
      <c r="AH49" s="49">
        <f t="shared" ref="AH49:AH68" si="22">SUM(16-AG49)</f>
        <v>16</v>
      </c>
    </row>
    <row r="50" spans="1:34" ht="20.100000000000001" customHeight="1">
      <c r="A50" s="24" t="s">
        <v>78</v>
      </c>
      <c r="B50" s="20"/>
      <c r="C50" s="20"/>
      <c r="D50" s="20">
        <v>30</v>
      </c>
      <c r="E50" s="47">
        <f t="shared" si="18"/>
        <v>30</v>
      </c>
      <c r="F50" s="48">
        <f>'C'!AI5</f>
        <v>0</v>
      </c>
      <c r="G50" s="48">
        <f>'C'!AI29</f>
        <v>0</v>
      </c>
      <c r="H50" s="48">
        <f>'C'!AI53</f>
        <v>0</v>
      </c>
      <c r="I50" s="48">
        <f>'C'!AI77</f>
        <v>0</v>
      </c>
      <c r="J50" s="48">
        <f>'C'!AI101</f>
        <v>0</v>
      </c>
      <c r="K50" s="48">
        <f>'C'!AI125</f>
        <v>0</v>
      </c>
      <c r="L50" s="48">
        <f>'C'!AI149</f>
        <v>0</v>
      </c>
      <c r="M50" s="48">
        <f>'C'!AI173</f>
        <v>0</v>
      </c>
      <c r="N50" s="48">
        <f>'C'!AI197</f>
        <v>0</v>
      </c>
      <c r="O50" s="48">
        <f>'C'!AI221</f>
        <v>0</v>
      </c>
      <c r="P50" s="48">
        <f>'C'!AI245</f>
        <v>0</v>
      </c>
      <c r="Q50" s="48">
        <f>'C'!AI269</f>
        <v>0</v>
      </c>
      <c r="R50" s="44">
        <f t="shared" ref="R50:R68" si="23">SUM(F50+G50+H50+I50+J50+K50+L50+M50+N50+O50+P50+Q50)</f>
        <v>0</v>
      </c>
      <c r="S50" s="49">
        <f t="shared" ref="S50:S68" si="24">SUM(E50-R50)</f>
        <v>30</v>
      </c>
      <c r="U50" s="48">
        <f>'C'!AH5</f>
        <v>0</v>
      </c>
      <c r="V50" s="48">
        <f>'C'!AH29</f>
        <v>0</v>
      </c>
      <c r="W50" s="48">
        <f>'C'!AH53</f>
        <v>0</v>
      </c>
      <c r="X50" s="48">
        <f>'C'!AH77</f>
        <v>0</v>
      </c>
      <c r="Y50" s="48">
        <f>'C'!AH101</f>
        <v>0</v>
      </c>
      <c r="Z50" s="48">
        <f>'C'!AH125</f>
        <v>0</v>
      </c>
      <c r="AA50" s="48">
        <f>'C'!AH149</f>
        <v>0</v>
      </c>
      <c r="AB50" s="48">
        <f>'C'!AH173</f>
        <v>0</v>
      </c>
      <c r="AC50" s="48">
        <f>'C'!AH197</f>
        <v>0</v>
      </c>
      <c r="AD50" s="48">
        <f>'C'!AH221</f>
        <v>0</v>
      </c>
      <c r="AE50" s="48">
        <f>'C'!AH245</f>
        <v>0</v>
      </c>
      <c r="AF50" s="48">
        <f>'C'!AH269</f>
        <v>0</v>
      </c>
      <c r="AG50" s="20">
        <f t="shared" ref="AG50:AG68" si="25">SUM(U50+V50+W50+X50+Y50+Z50+AA50+AB50+AC50+AD50+AE50+AF50)</f>
        <v>0</v>
      </c>
      <c r="AH50" s="49">
        <f t="shared" si="22"/>
        <v>16</v>
      </c>
    </row>
    <row r="51" spans="1:34" ht="20.100000000000001" customHeight="1">
      <c r="A51" s="24" t="s">
        <v>79</v>
      </c>
      <c r="B51" s="20"/>
      <c r="C51" s="20"/>
      <c r="D51" s="20"/>
      <c r="E51" s="47">
        <f t="shared" si="18"/>
        <v>0</v>
      </c>
      <c r="F51" s="48">
        <f>'C'!AI6</f>
        <v>0</v>
      </c>
      <c r="G51" s="48">
        <f>'C'!AI30</f>
        <v>0</v>
      </c>
      <c r="H51" s="48">
        <f>'C'!AI54</f>
        <v>0</v>
      </c>
      <c r="I51" s="48">
        <f>'C'!AI78</f>
        <v>0</v>
      </c>
      <c r="J51" s="48">
        <f>'C'!AI102</f>
        <v>0</v>
      </c>
      <c r="K51" s="48">
        <f>'C'!AI126</f>
        <v>0</v>
      </c>
      <c r="L51" s="48">
        <f>'C'!AI150</f>
        <v>0</v>
      </c>
      <c r="M51" s="48">
        <f>'C'!AI174</f>
        <v>0</v>
      </c>
      <c r="N51" s="48">
        <f>'C'!AI198</f>
        <v>0</v>
      </c>
      <c r="O51" s="48">
        <f>'C'!AI222</f>
        <v>0</v>
      </c>
      <c r="P51" s="48">
        <f>'C'!AI246</f>
        <v>0</v>
      </c>
      <c r="Q51" s="48">
        <f>'C'!AI270</f>
        <v>0</v>
      </c>
      <c r="R51" s="44">
        <f t="shared" si="23"/>
        <v>0</v>
      </c>
      <c r="S51" s="49">
        <f t="shared" si="24"/>
        <v>0</v>
      </c>
      <c r="U51" s="48">
        <f>'C'!AH6</f>
        <v>0</v>
      </c>
      <c r="V51" s="48">
        <f>'C'!AH30</f>
        <v>0</v>
      </c>
      <c r="W51" s="48">
        <f>'C'!AH54</f>
        <v>0</v>
      </c>
      <c r="X51" s="48">
        <f>'C'!AH78</f>
        <v>0</v>
      </c>
      <c r="Y51" s="48">
        <f>'C'!AH102</f>
        <v>0</v>
      </c>
      <c r="Z51" s="48">
        <f>'C'!AH126</f>
        <v>0</v>
      </c>
      <c r="AA51" s="48">
        <f>'C'!AH150</f>
        <v>0</v>
      </c>
      <c r="AB51" s="48">
        <f>'C'!AH174</f>
        <v>0</v>
      </c>
      <c r="AC51" s="48">
        <f>'C'!AH198</f>
        <v>0</v>
      </c>
      <c r="AD51" s="48">
        <f>'C'!AH222</f>
        <v>0</v>
      </c>
      <c r="AE51" s="48">
        <f>'C'!AH246</f>
        <v>0</v>
      </c>
      <c r="AF51" s="48">
        <f>'C'!AH270</f>
        <v>0</v>
      </c>
      <c r="AG51" s="20">
        <f t="shared" si="25"/>
        <v>0</v>
      </c>
      <c r="AH51" s="49">
        <f t="shared" si="22"/>
        <v>16</v>
      </c>
    </row>
    <row r="52" spans="1:34" ht="20.100000000000001" customHeight="1">
      <c r="A52" s="24" t="s">
        <v>80</v>
      </c>
      <c r="B52" s="20"/>
      <c r="C52" s="20"/>
      <c r="D52" s="20">
        <v>30</v>
      </c>
      <c r="E52" s="47">
        <f t="shared" si="18"/>
        <v>30</v>
      </c>
      <c r="F52" s="48">
        <f>'C'!AI7</f>
        <v>0</v>
      </c>
      <c r="G52" s="48">
        <f>'C'!AI31</f>
        <v>0</v>
      </c>
      <c r="H52" s="48">
        <f>'C'!AI55</f>
        <v>0</v>
      </c>
      <c r="I52" s="48">
        <f>'C'!AI79</f>
        <v>0</v>
      </c>
      <c r="J52" s="48">
        <f>'C'!AI103</f>
        <v>0</v>
      </c>
      <c r="K52" s="48">
        <f>'C'!AI127</f>
        <v>0</v>
      </c>
      <c r="L52" s="48">
        <f>'C'!AI151</f>
        <v>0</v>
      </c>
      <c r="M52" s="48">
        <f>'C'!AI175</f>
        <v>0</v>
      </c>
      <c r="N52" s="48">
        <f>'C'!AI199</f>
        <v>0</v>
      </c>
      <c r="O52" s="48">
        <f>'C'!AI223</f>
        <v>0</v>
      </c>
      <c r="P52" s="48">
        <f>'C'!AI247</f>
        <v>0</v>
      </c>
      <c r="Q52" s="48">
        <f>'C'!AI271</f>
        <v>0</v>
      </c>
      <c r="R52" s="44">
        <f t="shared" si="23"/>
        <v>0</v>
      </c>
      <c r="S52" s="49">
        <f t="shared" si="24"/>
        <v>30</v>
      </c>
      <c r="U52" s="48">
        <f>'C'!AH7</f>
        <v>1</v>
      </c>
      <c r="V52" s="48">
        <f>'C'!AH31</f>
        <v>0</v>
      </c>
      <c r="W52" s="48">
        <f>'C'!AH55</f>
        <v>0</v>
      </c>
      <c r="X52" s="48">
        <f>'C'!AH79</f>
        <v>0</v>
      </c>
      <c r="Y52" s="48">
        <f>'C'!AH103</f>
        <v>0</v>
      </c>
      <c r="Z52" s="48">
        <f>'C'!AH127</f>
        <v>0</v>
      </c>
      <c r="AA52" s="48">
        <f>'C'!AH151</f>
        <v>0</v>
      </c>
      <c r="AB52" s="48">
        <f>'C'!AH175</f>
        <v>0</v>
      </c>
      <c r="AC52" s="48">
        <f>'C'!AH199</f>
        <v>0</v>
      </c>
      <c r="AD52" s="48">
        <f>'C'!AH223</f>
        <v>0</v>
      </c>
      <c r="AE52" s="48">
        <f>'C'!AH247</f>
        <v>0</v>
      </c>
      <c r="AF52" s="48">
        <f>'C'!AH271</f>
        <v>0</v>
      </c>
      <c r="AG52" s="20">
        <f t="shared" si="25"/>
        <v>1</v>
      </c>
      <c r="AH52" s="49">
        <f t="shared" si="22"/>
        <v>15</v>
      </c>
    </row>
    <row r="53" spans="1:34" ht="20.100000000000001" customHeight="1">
      <c r="A53" s="24" t="s">
        <v>81</v>
      </c>
      <c r="B53" s="20"/>
      <c r="C53" s="20"/>
      <c r="D53" s="20"/>
      <c r="E53" s="47">
        <f t="shared" si="18"/>
        <v>0</v>
      </c>
      <c r="F53" s="48">
        <f>'C'!AI8</f>
        <v>0</v>
      </c>
      <c r="G53" s="48">
        <f>'C'!AI32</f>
        <v>0</v>
      </c>
      <c r="H53" s="48">
        <f>'C'!AI56</f>
        <v>0</v>
      </c>
      <c r="I53" s="48">
        <f>'C'!AI80</f>
        <v>0</v>
      </c>
      <c r="J53" s="48">
        <f>'C'!AI104</f>
        <v>0</v>
      </c>
      <c r="K53" s="48">
        <f>'C'!AI128</f>
        <v>0</v>
      </c>
      <c r="L53" s="48">
        <f>'C'!AI152</f>
        <v>0</v>
      </c>
      <c r="M53" s="48">
        <f>'C'!AI176</f>
        <v>0</v>
      </c>
      <c r="N53" s="48">
        <f>'C'!AI200</f>
        <v>0</v>
      </c>
      <c r="O53" s="48">
        <f>'C'!AI224</f>
        <v>0</v>
      </c>
      <c r="P53" s="48">
        <f>'C'!AI248</f>
        <v>0</v>
      </c>
      <c r="Q53" s="48">
        <f>'C'!AI272</f>
        <v>0</v>
      </c>
      <c r="R53" s="44">
        <f t="shared" si="23"/>
        <v>0</v>
      </c>
      <c r="S53" s="49">
        <f t="shared" si="24"/>
        <v>0</v>
      </c>
      <c r="U53" s="48">
        <f>'C'!AH8</f>
        <v>0</v>
      </c>
      <c r="V53" s="48">
        <f>'C'!AH32</f>
        <v>0</v>
      </c>
      <c r="W53" s="48">
        <f>'C'!AH56</f>
        <v>0</v>
      </c>
      <c r="X53" s="48">
        <f>'C'!AH80</f>
        <v>0</v>
      </c>
      <c r="Y53" s="48">
        <f>'C'!AH104</f>
        <v>0</v>
      </c>
      <c r="Z53" s="48">
        <f>'C'!AH128</f>
        <v>0</v>
      </c>
      <c r="AA53" s="48">
        <f>'C'!AH152</f>
        <v>0</v>
      </c>
      <c r="AB53" s="48">
        <f>'C'!AH176</f>
        <v>0</v>
      </c>
      <c r="AC53" s="48">
        <f>'C'!AH200</f>
        <v>0</v>
      </c>
      <c r="AD53" s="48">
        <f>'C'!AH224</f>
        <v>0</v>
      </c>
      <c r="AE53" s="48">
        <f>'C'!AH248</f>
        <v>0</v>
      </c>
      <c r="AF53" s="48">
        <f>'C'!AH272</f>
        <v>0</v>
      </c>
      <c r="AG53" s="20">
        <f t="shared" si="25"/>
        <v>0</v>
      </c>
      <c r="AH53" s="49">
        <f t="shared" si="22"/>
        <v>16</v>
      </c>
    </row>
    <row r="54" spans="1:34" ht="20.100000000000001" customHeight="1">
      <c r="A54" s="24" t="s">
        <v>82</v>
      </c>
      <c r="B54" s="20"/>
      <c r="C54" s="20"/>
      <c r="D54" s="20"/>
      <c r="E54" s="47">
        <f t="shared" si="18"/>
        <v>0</v>
      </c>
      <c r="F54" s="48">
        <f>'C'!AI9</f>
        <v>0</v>
      </c>
      <c r="G54" s="48">
        <f>'C'!AI33</f>
        <v>0</v>
      </c>
      <c r="H54" s="48">
        <f>'C'!AI57</f>
        <v>0</v>
      </c>
      <c r="I54" s="48">
        <f>'C'!AI81</f>
        <v>0</v>
      </c>
      <c r="J54" s="48">
        <f>'C'!AI105</f>
        <v>0</v>
      </c>
      <c r="K54" s="48">
        <f>'C'!AI129</f>
        <v>0</v>
      </c>
      <c r="L54" s="48">
        <f>'C'!AI153</f>
        <v>0</v>
      </c>
      <c r="M54" s="48">
        <f>'C'!AI177</f>
        <v>0</v>
      </c>
      <c r="N54" s="48">
        <f>'C'!AI201</f>
        <v>0</v>
      </c>
      <c r="O54" s="48">
        <f>'C'!AI225</f>
        <v>0</v>
      </c>
      <c r="P54" s="48">
        <f>'C'!AI249</f>
        <v>0</v>
      </c>
      <c r="Q54" s="48">
        <f>'C'!AI273</f>
        <v>0</v>
      </c>
      <c r="R54" s="44">
        <f t="shared" si="23"/>
        <v>0</v>
      </c>
      <c r="S54" s="49">
        <f t="shared" si="24"/>
        <v>0</v>
      </c>
      <c r="U54" s="48">
        <f>'C'!AH9</f>
        <v>0</v>
      </c>
      <c r="V54" s="48">
        <f>'C'!AH33</f>
        <v>0</v>
      </c>
      <c r="W54" s="48">
        <f>'C'!AH57</f>
        <v>0</v>
      </c>
      <c r="X54" s="48">
        <f>'C'!AH81</f>
        <v>0</v>
      </c>
      <c r="Y54" s="48">
        <f>'C'!AH105</f>
        <v>0</v>
      </c>
      <c r="Z54" s="48">
        <f>'C'!AH129</f>
        <v>0</v>
      </c>
      <c r="AA54" s="48">
        <f>'C'!AH153</f>
        <v>0</v>
      </c>
      <c r="AB54" s="48">
        <f>'C'!AH177</f>
        <v>0</v>
      </c>
      <c r="AC54" s="48">
        <f>'C'!AH201</f>
        <v>0</v>
      </c>
      <c r="AD54" s="48">
        <f>'C'!AH225</f>
        <v>0</v>
      </c>
      <c r="AE54" s="48">
        <f>'C'!AH249</f>
        <v>0</v>
      </c>
      <c r="AF54" s="48">
        <f>'C'!AH273</f>
        <v>0</v>
      </c>
      <c r="AG54" s="20">
        <f t="shared" si="25"/>
        <v>0</v>
      </c>
      <c r="AH54" s="49">
        <f t="shared" si="22"/>
        <v>16</v>
      </c>
    </row>
    <row r="55" spans="1:34" ht="20.100000000000001" customHeight="1">
      <c r="A55" s="24" t="s">
        <v>83</v>
      </c>
      <c r="B55" s="20"/>
      <c r="C55" s="20"/>
      <c r="D55" s="20"/>
      <c r="E55" s="47">
        <f t="shared" si="18"/>
        <v>0</v>
      </c>
      <c r="F55" s="48">
        <f>'C'!AI10</f>
        <v>1</v>
      </c>
      <c r="G55" s="48">
        <f>'C'!AI34</f>
        <v>0</v>
      </c>
      <c r="H55" s="48">
        <f>'C'!AI58</f>
        <v>0</v>
      </c>
      <c r="I55" s="48">
        <f>'C'!AI82</f>
        <v>0</v>
      </c>
      <c r="J55" s="48">
        <f>'C'!AI106</f>
        <v>0</v>
      </c>
      <c r="K55" s="48">
        <f>'C'!AI130</f>
        <v>0</v>
      </c>
      <c r="L55" s="48">
        <f>'C'!AI154</f>
        <v>0</v>
      </c>
      <c r="M55" s="48">
        <f>'C'!AI178</f>
        <v>0</v>
      </c>
      <c r="N55" s="48">
        <f>'C'!AI202</f>
        <v>0</v>
      </c>
      <c r="O55" s="48">
        <f>'C'!AI226</f>
        <v>0</v>
      </c>
      <c r="P55" s="48">
        <f>'C'!AI250</f>
        <v>0</v>
      </c>
      <c r="Q55" s="48">
        <f>'C'!AI274</f>
        <v>0</v>
      </c>
      <c r="R55" s="44">
        <f t="shared" si="23"/>
        <v>1</v>
      </c>
      <c r="S55" s="49">
        <f t="shared" si="24"/>
        <v>-1</v>
      </c>
      <c r="U55" s="48">
        <f>'C'!AH10</f>
        <v>1</v>
      </c>
      <c r="V55" s="48">
        <f>'C'!AH34</f>
        <v>0</v>
      </c>
      <c r="W55" s="48">
        <f>'C'!AH58</f>
        <v>0</v>
      </c>
      <c r="X55" s="48">
        <f>'C'!AH82</f>
        <v>0</v>
      </c>
      <c r="Y55" s="48">
        <f>'C'!AH106</f>
        <v>0</v>
      </c>
      <c r="Z55" s="48">
        <f>'C'!AH130</f>
        <v>0</v>
      </c>
      <c r="AA55" s="48">
        <f>'C'!AH154</f>
        <v>0</v>
      </c>
      <c r="AB55" s="48">
        <f>'C'!AH178</f>
        <v>0</v>
      </c>
      <c r="AC55" s="48">
        <f>'C'!AH202</f>
        <v>0</v>
      </c>
      <c r="AD55" s="48">
        <f>'C'!AH226</f>
        <v>0</v>
      </c>
      <c r="AE55" s="48">
        <f>'C'!AH250</f>
        <v>0</v>
      </c>
      <c r="AF55" s="48">
        <f>'C'!AH274</f>
        <v>0</v>
      </c>
      <c r="AG55" s="20">
        <f t="shared" si="25"/>
        <v>1</v>
      </c>
      <c r="AH55" s="49">
        <f t="shared" si="22"/>
        <v>15</v>
      </c>
    </row>
    <row r="56" spans="1:34" ht="20.100000000000001" hidden="1" customHeight="1">
      <c r="A56" s="24" t="s">
        <v>49</v>
      </c>
      <c r="B56" s="20"/>
      <c r="C56" s="20"/>
      <c r="D56" s="20"/>
      <c r="E56" s="47">
        <f t="shared" si="18"/>
        <v>0</v>
      </c>
      <c r="F56" s="48">
        <f>'C'!AI11</f>
        <v>0</v>
      </c>
      <c r="G56" s="48">
        <f>'C'!AI35</f>
        <v>0</v>
      </c>
      <c r="H56" s="48">
        <f>'C'!AI59</f>
        <v>0</v>
      </c>
      <c r="I56" s="48">
        <f>'C'!AI83</f>
        <v>0</v>
      </c>
      <c r="J56" s="48">
        <f>'C'!AI107</f>
        <v>0</v>
      </c>
      <c r="K56" s="48">
        <f>'C'!AI131</f>
        <v>0</v>
      </c>
      <c r="L56" s="48">
        <f>'C'!AI155</f>
        <v>0</v>
      </c>
      <c r="M56" s="48">
        <f>'C'!AI179</f>
        <v>0</v>
      </c>
      <c r="N56" s="48">
        <f>'C'!AI203</f>
        <v>0</v>
      </c>
      <c r="O56" s="48">
        <f>'C'!AI227</f>
        <v>0</v>
      </c>
      <c r="P56" s="48">
        <f>'C'!AI251</f>
        <v>0</v>
      </c>
      <c r="Q56" s="48">
        <f>'C'!AI275</f>
        <v>0</v>
      </c>
      <c r="R56" s="44">
        <f t="shared" si="23"/>
        <v>0</v>
      </c>
      <c r="S56" s="49">
        <f t="shared" si="24"/>
        <v>0</v>
      </c>
      <c r="U56" s="48">
        <f>'C'!AH11</f>
        <v>0</v>
      </c>
      <c r="V56" s="48">
        <f>'C'!AH35</f>
        <v>0</v>
      </c>
      <c r="W56" s="48">
        <f>'C'!AH59</f>
        <v>0</v>
      </c>
      <c r="X56" s="48">
        <f>'C'!AH83</f>
        <v>0</v>
      </c>
      <c r="Y56" s="48">
        <f>'C'!AH107</f>
        <v>0</v>
      </c>
      <c r="Z56" s="48">
        <f>'C'!AH131</f>
        <v>0</v>
      </c>
      <c r="AA56" s="48">
        <f>'C'!AH155</f>
        <v>0</v>
      </c>
      <c r="AB56" s="48">
        <f>'C'!AH179</f>
        <v>0</v>
      </c>
      <c r="AC56" s="48">
        <f>'C'!AH203</f>
        <v>0</v>
      </c>
      <c r="AD56" s="48">
        <f>'C'!AH227</f>
        <v>0</v>
      </c>
      <c r="AE56" s="48">
        <f>'C'!AH251</f>
        <v>0</v>
      </c>
      <c r="AF56" s="48">
        <f>'C'!AH275</f>
        <v>0</v>
      </c>
      <c r="AG56" s="20">
        <f t="shared" si="25"/>
        <v>0</v>
      </c>
      <c r="AH56" s="49">
        <f t="shared" si="22"/>
        <v>16</v>
      </c>
    </row>
    <row r="57" spans="1:34" ht="20.100000000000001" hidden="1" customHeight="1">
      <c r="A57" s="24" t="s">
        <v>50</v>
      </c>
      <c r="B57" s="20"/>
      <c r="C57" s="20"/>
      <c r="D57" s="20"/>
      <c r="E57" s="47">
        <f t="shared" ref="E57:E67" si="26">SUM(B57:D57)</f>
        <v>0</v>
      </c>
      <c r="F57" s="48">
        <f>'C'!AI12</f>
        <v>0</v>
      </c>
      <c r="G57" s="48">
        <f>'C'!AI36</f>
        <v>0</v>
      </c>
      <c r="H57" s="48">
        <f>'C'!AI60</f>
        <v>0</v>
      </c>
      <c r="I57" s="48">
        <f>'C'!AI84</f>
        <v>0</v>
      </c>
      <c r="J57" s="48">
        <f>'C'!AI108</f>
        <v>0</v>
      </c>
      <c r="K57" s="48">
        <f>'C'!AI132</f>
        <v>0</v>
      </c>
      <c r="L57" s="48">
        <f>'C'!AI156</f>
        <v>0</v>
      </c>
      <c r="M57" s="48">
        <f>'C'!AI180</f>
        <v>0</v>
      </c>
      <c r="N57" s="48">
        <f>'C'!AI204</f>
        <v>0</v>
      </c>
      <c r="O57" s="48">
        <f>'C'!AI228</f>
        <v>0</v>
      </c>
      <c r="P57" s="48">
        <f>'C'!AI252</f>
        <v>0</v>
      </c>
      <c r="Q57" s="48">
        <f>'C'!AI276</f>
        <v>0</v>
      </c>
      <c r="R57" s="44">
        <f t="shared" si="23"/>
        <v>0</v>
      </c>
      <c r="S57" s="49">
        <f t="shared" si="24"/>
        <v>0</v>
      </c>
      <c r="U57" s="48">
        <f>'C'!AH12</f>
        <v>0</v>
      </c>
      <c r="V57" s="48">
        <f>'C'!AH36</f>
        <v>0</v>
      </c>
      <c r="W57" s="48">
        <f>'C'!AH60</f>
        <v>0</v>
      </c>
      <c r="X57" s="48">
        <f>'C'!AH84</f>
        <v>0</v>
      </c>
      <c r="Y57" s="48">
        <f>'C'!AH108</f>
        <v>0</v>
      </c>
      <c r="Z57" s="48">
        <f>'C'!AH132</f>
        <v>0</v>
      </c>
      <c r="AA57" s="48">
        <f>'C'!AH156</f>
        <v>0</v>
      </c>
      <c r="AB57" s="48">
        <f>'C'!AH180</f>
        <v>0</v>
      </c>
      <c r="AC57" s="48">
        <f>'C'!AH204</f>
        <v>0</v>
      </c>
      <c r="AD57" s="48">
        <f>'C'!AH228</f>
        <v>0</v>
      </c>
      <c r="AE57" s="48">
        <f>'C'!AH252</f>
        <v>0</v>
      </c>
      <c r="AF57" s="48">
        <f>'C'!AH276</f>
        <v>0</v>
      </c>
      <c r="AG57" s="20">
        <f t="shared" si="25"/>
        <v>0</v>
      </c>
      <c r="AH57" s="49">
        <f t="shared" si="22"/>
        <v>16</v>
      </c>
    </row>
    <row r="58" spans="1:34" ht="20.100000000000001" hidden="1" customHeight="1">
      <c r="A58" s="24" t="s">
        <v>44</v>
      </c>
      <c r="B58" s="20"/>
      <c r="C58" s="20"/>
      <c r="D58" s="20"/>
      <c r="E58" s="47">
        <f t="shared" si="26"/>
        <v>0</v>
      </c>
      <c r="F58" s="48">
        <f>'C'!AI13</f>
        <v>0</v>
      </c>
      <c r="G58" s="48">
        <f>'C'!AI37</f>
        <v>0</v>
      </c>
      <c r="H58" s="48">
        <f>'C'!AI61</f>
        <v>0</v>
      </c>
      <c r="I58" s="48">
        <f>'C'!AI85</f>
        <v>0</v>
      </c>
      <c r="J58" s="48">
        <f>'C'!AI109</f>
        <v>0</v>
      </c>
      <c r="K58" s="48">
        <f>'C'!AI133</f>
        <v>0</v>
      </c>
      <c r="L58" s="48">
        <f>'C'!AI157</f>
        <v>0</v>
      </c>
      <c r="M58" s="48">
        <f>'C'!AI181</f>
        <v>0</v>
      </c>
      <c r="N58" s="48">
        <f>'C'!AI205</f>
        <v>0</v>
      </c>
      <c r="O58" s="48">
        <f>'C'!AI229</f>
        <v>0</v>
      </c>
      <c r="P58" s="48">
        <f>'C'!AI253</f>
        <v>0</v>
      </c>
      <c r="Q58" s="48">
        <f>'C'!AI277</f>
        <v>0</v>
      </c>
      <c r="R58" s="44">
        <f t="shared" si="23"/>
        <v>0</v>
      </c>
      <c r="S58" s="49">
        <f t="shared" si="24"/>
        <v>0</v>
      </c>
      <c r="U58" s="48">
        <f>'C'!AH13</f>
        <v>0</v>
      </c>
      <c r="V58" s="48">
        <f>'C'!AH37</f>
        <v>0</v>
      </c>
      <c r="W58" s="48">
        <f>'C'!AH61</f>
        <v>0</v>
      </c>
      <c r="X58" s="48">
        <f>'C'!AH85</f>
        <v>0</v>
      </c>
      <c r="Y58" s="48">
        <f>'C'!AH109</f>
        <v>0</v>
      </c>
      <c r="Z58" s="48">
        <f>'C'!AH133</f>
        <v>0</v>
      </c>
      <c r="AA58" s="48">
        <f>'C'!AH157</f>
        <v>0</v>
      </c>
      <c r="AB58" s="48">
        <f>'C'!AH181</f>
        <v>0</v>
      </c>
      <c r="AC58" s="48">
        <f>'C'!AH205</f>
        <v>0</v>
      </c>
      <c r="AD58" s="48">
        <f>'C'!AH229</f>
        <v>0</v>
      </c>
      <c r="AE58" s="48">
        <f>'C'!AH253</f>
        <v>0</v>
      </c>
      <c r="AF58" s="48">
        <f>'C'!AH277</f>
        <v>0</v>
      </c>
      <c r="AG58" s="20">
        <f t="shared" si="25"/>
        <v>0</v>
      </c>
      <c r="AH58" s="49">
        <f t="shared" si="22"/>
        <v>16</v>
      </c>
    </row>
    <row r="59" spans="1:34" ht="20.100000000000001" hidden="1" customHeight="1">
      <c r="A59" s="24" t="s">
        <v>45</v>
      </c>
      <c r="B59" s="20"/>
      <c r="C59" s="20"/>
      <c r="D59" s="20"/>
      <c r="E59" s="47">
        <f t="shared" si="26"/>
        <v>0</v>
      </c>
      <c r="F59" s="48"/>
      <c r="G59" s="48">
        <f>'C'!AI38</f>
        <v>0</v>
      </c>
      <c r="H59" s="48">
        <f>'C'!AI62</f>
        <v>0</v>
      </c>
      <c r="I59" s="48">
        <f>'C'!AI86</f>
        <v>0</v>
      </c>
      <c r="J59" s="48">
        <f>'C'!AI110</f>
        <v>0</v>
      </c>
      <c r="K59" s="48">
        <f>'C'!AI134</f>
        <v>0</v>
      </c>
      <c r="L59" s="48">
        <f>'C'!AI158</f>
        <v>0</v>
      </c>
      <c r="M59" s="48">
        <f>'C'!AI182</f>
        <v>0</v>
      </c>
      <c r="N59" s="48">
        <f>'C'!AI206</f>
        <v>0</v>
      </c>
      <c r="O59" s="48">
        <f>'C'!AI230</f>
        <v>0</v>
      </c>
      <c r="P59" s="48">
        <f>'C'!AI254</f>
        <v>0</v>
      </c>
      <c r="Q59" s="48">
        <f>'C'!AI278</f>
        <v>0</v>
      </c>
      <c r="R59" s="44">
        <f t="shared" si="23"/>
        <v>0</v>
      </c>
      <c r="S59" s="49">
        <f t="shared" si="24"/>
        <v>0</v>
      </c>
      <c r="U59" s="48">
        <f>'C'!AH14</f>
        <v>0</v>
      </c>
      <c r="V59" s="48">
        <f>'C'!AH38</f>
        <v>0</v>
      </c>
      <c r="W59" s="48">
        <f>'C'!AH62</f>
        <v>0</v>
      </c>
      <c r="X59" s="48">
        <f>'C'!AH86</f>
        <v>0</v>
      </c>
      <c r="Y59" s="48">
        <f>'C'!AH110</f>
        <v>0</v>
      </c>
      <c r="Z59" s="48">
        <f>'C'!AH134</f>
        <v>0</v>
      </c>
      <c r="AA59" s="48">
        <f>'C'!AH158</f>
        <v>0</v>
      </c>
      <c r="AB59" s="48">
        <f>'C'!AH182</f>
        <v>0</v>
      </c>
      <c r="AC59" s="48">
        <f>'C'!AH206</f>
        <v>0</v>
      </c>
      <c r="AD59" s="48">
        <f>'C'!AH230</f>
        <v>0</v>
      </c>
      <c r="AE59" s="48">
        <f>'C'!AH254</f>
        <v>0</v>
      </c>
      <c r="AF59" s="48">
        <f>'C'!AH278</f>
        <v>0</v>
      </c>
      <c r="AG59" s="20">
        <f t="shared" si="25"/>
        <v>0</v>
      </c>
      <c r="AH59" s="49">
        <f t="shared" si="22"/>
        <v>16</v>
      </c>
    </row>
    <row r="60" spans="1:34" ht="20.100000000000001" hidden="1" customHeight="1">
      <c r="A60" s="24" t="s">
        <v>46</v>
      </c>
      <c r="B60" s="20"/>
      <c r="C60" s="20"/>
      <c r="D60" s="20"/>
      <c r="E60" s="47">
        <f t="shared" si="26"/>
        <v>0</v>
      </c>
      <c r="F60" s="48"/>
      <c r="G60" s="48">
        <f>'C'!AI39</f>
        <v>0</v>
      </c>
      <c r="H60" s="48">
        <f>'C'!AI63</f>
        <v>0</v>
      </c>
      <c r="I60" s="48">
        <f>'C'!AI87</f>
        <v>0</v>
      </c>
      <c r="J60" s="48">
        <f>'C'!AI111</f>
        <v>0</v>
      </c>
      <c r="K60" s="48">
        <f>'C'!AI135</f>
        <v>0</v>
      </c>
      <c r="L60" s="48">
        <f>'C'!AI159</f>
        <v>0</v>
      </c>
      <c r="M60" s="48">
        <f>'C'!AI183</f>
        <v>0</v>
      </c>
      <c r="N60" s="48">
        <f>'C'!AI207</f>
        <v>0</v>
      </c>
      <c r="O60" s="48">
        <f>'C'!AI231</f>
        <v>0</v>
      </c>
      <c r="P60" s="48">
        <f>'C'!AI255</f>
        <v>0</v>
      </c>
      <c r="Q60" s="48">
        <f>'C'!AI279</f>
        <v>0</v>
      </c>
      <c r="R60" s="44">
        <f t="shared" si="23"/>
        <v>0</v>
      </c>
      <c r="S60" s="49">
        <f t="shared" si="24"/>
        <v>0</v>
      </c>
      <c r="U60" s="48">
        <f>'C'!AH15</f>
        <v>0</v>
      </c>
      <c r="V60" s="48">
        <f>'C'!AH39</f>
        <v>0</v>
      </c>
      <c r="W60" s="48">
        <f>'C'!AH63</f>
        <v>0</v>
      </c>
      <c r="X60" s="48">
        <f>'C'!AH87</f>
        <v>0</v>
      </c>
      <c r="Y60" s="48">
        <f>'C'!AH111</f>
        <v>0</v>
      </c>
      <c r="Z60" s="48">
        <f>'C'!AH135</f>
        <v>0</v>
      </c>
      <c r="AA60" s="48">
        <f>'C'!AH159</f>
        <v>0</v>
      </c>
      <c r="AB60" s="48">
        <f>'C'!AH183</f>
        <v>0</v>
      </c>
      <c r="AC60" s="48">
        <f>'C'!AH207</f>
        <v>0</v>
      </c>
      <c r="AD60" s="48">
        <f>'C'!AH231</f>
        <v>0</v>
      </c>
      <c r="AE60" s="48">
        <f>'C'!AH255</f>
        <v>0</v>
      </c>
      <c r="AF60" s="48">
        <f>'C'!AH279</f>
        <v>0</v>
      </c>
      <c r="AG60" s="20">
        <f t="shared" si="25"/>
        <v>0</v>
      </c>
      <c r="AH60" s="49">
        <f t="shared" si="22"/>
        <v>16</v>
      </c>
    </row>
    <row r="61" spans="1:34" ht="20.100000000000001" hidden="1" customHeight="1">
      <c r="A61" s="24" t="s">
        <v>47</v>
      </c>
      <c r="B61" s="20"/>
      <c r="C61" s="20"/>
      <c r="D61" s="20"/>
      <c r="E61" s="47">
        <f t="shared" si="26"/>
        <v>0</v>
      </c>
      <c r="F61" s="48"/>
      <c r="G61" s="48">
        <f>'C'!AI40</f>
        <v>0</v>
      </c>
      <c r="H61" s="48">
        <f>'C'!AI64</f>
        <v>0</v>
      </c>
      <c r="I61" s="48">
        <f>'C'!AI88</f>
        <v>0</v>
      </c>
      <c r="J61" s="48">
        <f>'C'!AI112</f>
        <v>0</v>
      </c>
      <c r="K61" s="48">
        <f>'C'!AI136</f>
        <v>0</v>
      </c>
      <c r="L61" s="48">
        <f>'C'!AI160</f>
        <v>0</v>
      </c>
      <c r="M61" s="48">
        <f>'C'!AI184</f>
        <v>0</v>
      </c>
      <c r="N61" s="48">
        <f>'C'!AI208</f>
        <v>0</v>
      </c>
      <c r="O61" s="48">
        <f>'C'!AI232</f>
        <v>0</v>
      </c>
      <c r="P61" s="48">
        <f>'C'!AI256</f>
        <v>0</v>
      </c>
      <c r="Q61" s="48">
        <f>'C'!AI280</f>
        <v>0</v>
      </c>
      <c r="R61" s="44">
        <f t="shared" si="23"/>
        <v>0</v>
      </c>
      <c r="S61" s="49">
        <f t="shared" si="24"/>
        <v>0</v>
      </c>
      <c r="U61" s="48">
        <f>'C'!AH16</f>
        <v>0</v>
      </c>
      <c r="V61" s="48">
        <f>'C'!AH40</f>
        <v>0</v>
      </c>
      <c r="W61" s="48">
        <f>'C'!AH64</f>
        <v>0</v>
      </c>
      <c r="X61" s="48">
        <f>'C'!AH88</f>
        <v>0</v>
      </c>
      <c r="Y61" s="48">
        <f>'C'!AH112</f>
        <v>0</v>
      </c>
      <c r="Z61" s="48">
        <f>'C'!AH136</f>
        <v>0</v>
      </c>
      <c r="AA61" s="48">
        <f>'C'!AH160</f>
        <v>0</v>
      </c>
      <c r="AB61" s="48">
        <f>'C'!AH184</f>
        <v>0</v>
      </c>
      <c r="AC61" s="48">
        <f>'C'!AH208</f>
        <v>0</v>
      </c>
      <c r="AD61" s="48">
        <f>'C'!AH232</f>
        <v>0</v>
      </c>
      <c r="AE61" s="48">
        <f>'C'!AH256</f>
        <v>0</v>
      </c>
      <c r="AF61" s="48">
        <f>'C'!AH280</f>
        <v>0</v>
      </c>
      <c r="AG61" s="20">
        <f t="shared" si="25"/>
        <v>0</v>
      </c>
      <c r="AH61" s="49">
        <f t="shared" si="22"/>
        <v>16</v>
      </c>
    </row>
    <row r="62" spans="1:34" ht="20.100000000000001" hidden="1" customHeight="1">
      <c r="A62" s="24" t="s">
        <v>48</v>
      </c>
      <c r="B62" s="20"/>
      <c r="C62" s="20"/>
      <c r="D62" s="20"/>
      <c r="E62" s="47">
        <f t="shared" si="26"/>
        <v>0</v>
      </c>
      <c r="F62" s="48"/>
      <c r="G62" s="48">
        <f>'C'!AI41</f>
        <v>0</v>
      </c>
      <c r="H62" s="48">
        <f>'C'!AI65</f>
        <v>0</v>
      </c>
      <c r="I62" s="48">
        <f>'C'!AI89</f>
        <v>0</v>
      </c>
      <c r="J62" s="48">
        <f>'C'!AI113</f>
        <v>0</v>
      </c>
      <c r="K62" s="48">
        <f>'C'!AI137</f>
        <v>0</v>
      </c>
      <c r="L62" s="48">
        <f>'C'!AI161</f>
        <v>0</v>
      </c>
      <c r="M62" s="48">
        <f>'C'!AI185</f>
        <v>0</v>
      </c>
      <c r="N62" s="48">
        <f>'C'!AI209</f>
        <v>0</v>
      </c>
      <c r="O62" s="48">
        <f>'C'!AI233</f>
        <v>0</v>
      </c>
      <c r="P62" s="48">
        <f>'C'!AI257</f>
        <v>0</v>
      </c>
      <c r="Q62" s="48">
        <f>'C'!AI281</f>
        <v>0</v>
      </c>
      <c r="R62" s="44">
        <f t="shared" si="23"/>
        <v>0</v>
      </c>
      <c r="S62" s="49">
        <f t="shared" si="24"/>
        <v>0</v>
      </c>
      <c r="U62" s="48">
        <f>'C'!AH17</f>
        <v>0</v>
      </c>
      <c r="V62" s="48">
        <f>'C'!AH41</f>
        <v>0</v>
      </c>
      <c r="W62" s="48">
        <f>'C'!AH65</f>
        <v>0</v>
      </c>
      <c r="X62" s="48">
        <f>'C'!AH89</f>
        <v>0</v>
      </c>
      <c r="Y62" s="48">
        <f>'C'!AH113</f>
        <v>0</v>
      </c>
      <c r="Z62" s="48">
        <f>'C'!AH137</f>
        <v>0</v>
      </c>
      <c r="AA62" s="48">
        <f>'C'!AH161</f>
        <v>0</v>
      </c>
      <c r="AB62" s="48">
        <f>'C'!AH185</f>
        <v>0</v>
      </c>
      <c r="AC62" s="48">
        <f>'C'!AH209</f>
        <v>0</v>
      </c>
      <c r="AD62" s="48">
        <f>'C'!AH233</f>
        <v>0</v>
      </c>
      <c r="AE62" s="48">
        <f>'C'!AH257</f>
        <v>0</v>
      </c>
      <c r="AF62" s="48">
        <f>'C'!AH281</f>
        <v>0</v>
      </c>
      <c r="AG62" s="20">
        <f t="shared" si="25"/>
        <v>0</v>
      </c>
      <c r="AH62" s="49">
        <f t="shared" si="22"/>
        <v>16</v>
      </c>
    </row>
    <row r="63" spans="1:34" ht="20.100000000000001" hidden="1" customHeight="1">
      <c r="A63" s="24" t="s">
        <v>43</v>
      </c>
      <c r="B63" s="20"/>
      <c r="C63" s="20"/>
      <c r="D63" s="20"/>
      <c r="E63" s="47">
        <f t="shared" si="26"/>
        <v>0</v>
      </c>
      <c r="F63" s="48"/>
      <c r="G63" s="48">
        <f>'C'!AI42</f>
        <v>0</v>
      </c>
      <c r="H63" s="48">
        <f>'C'!AI66</f>
        <v>0</v>
      </c>
      <c r="I63" s="48">
        <f>'C'!AI90</f>
        <v>0</v>
      </c>
      <c r="J63" s="48">
        <f>'C'!AI114</f>
        <v>0</v>
      </c>
      <c r="K63" s="48">
        <f>'C'!AI138</f>
        <v>0</v>
      </c>
      <c r="L63" s="48">
        <f>'C'!AI162</f>
        <v>0</v>
      </c>
      <c r="M63" s="48">
        <f>'C'!AI186</f>
        <v>0</v>
      </c>
      <c r="N63" s="48">
        <f>'C'!AI210</f>
        <v>0</v>
      </c>
      <c r="O63" s="48">
        <f>'C'!AI234</f>
        <v>0</v>
      </c>
      <c r="P63" s="48">
        <f>'C'!AI258</f>
        <v>0</v>
      </c>
      <c r="Q63" s="48">
        <f>'C'!AI282</f>
        <v>0</v>
      </c>
      <c r="R63" s="44">
        <f t="shared" si="23"/>
        <v>0</v>
      </c>
      <c r="S63" s="49">
        <f t="shared" si="24"/>
        <v>0</v>
      </c>
      <c r="U63" s="48">
        <f>'C'!AH18</f>
        <v>0</v>
      </c>
      <c r="V63" s="48">
        <f>'C'!AH42</f>
        <v>0</v>
      </c>
      <c r="W63" s="48">
        <f>'C'!AH66</f>
        <v>0</v>
      </c>
      <c r="X63" s="48">
        <f>'C'!AH90</f>
        <v>0</v>
      </c>
      <c r="Y63" s="48">
        <f>'C'!AH114</f>
        <v>0</v>
      </c>
      <c r="Z63" s="48">
        <f>'C'!AH138</f>
        <v>0</v>
      </c>
      <c r="AA63" s="48">
        <f>'C'!AH162</f>
        <v>0</v>
      </c>
      <c r="AB63" s="48">
        <f>'C'!AH186</f>
        <v>0</v>
      </c>
      <c r="AC63" s="48">
        <f>'C'!AH210</f>
        <v>0</v>
      </c>
      <c r="AD63" s="48">
        <f>'C'!AH234</f>
        <v>0</v>
      </c>
      <c r="AE63" s="48">
        <f>'C'!AH258</f>
        <v>0</v>
      </c>
      <c r="AF63" s="48">
        <f>'C'!AH282</f>
        <v>0</v>
      </c>
      <c r="AG63" s="20">
        <f t="shared" si="25"/>
        <v>0</v>
      </c>
      <c r="AH63" s="49">
        <f t="shared" si="22"/>
        <v>16</v>
      </c>
    </row>
    <row r="64" spans="1:34" ht="20.100000000000001" hidden="1" customHeight="1">
      <c r="A64" s="24" t="s">
        <v>57</v>
      </c>
      <c r="B64" s="20"/>
      <c r="C64" s="20"/>
      <c r="D64" s="20"/>
      <c r="E64" s="47">
        <f t="shared" si="26"/>
        <v>0</v>
      </c>
      <c r="F64" s="48">
        <f>'C'!AI14</f>
        <v>0</v>
      </c>
      <c r="G64" s="48">
        <f>'C'!AI43</f>
        <v>0</v>
      </c>
      <c r="H64" s="48">
        <f>'C'!AI67</f>
        <v>0</v>
      </c>
      <c r="I64" s="48">
        <f>'C'!AI91</f>
        <v>0</v>
      </c>
      <c r="J64" s="48">
        <f>'C'!AI115</f>
        <v>0</v>
      </c>
      <c r="K64" s="48">
        <f>'C'!AI139</f>
        <v>0</v>
      </c>
      <c r="L64" s="48">
        <f>'C'!AI163</f>
        <v>0</v>
      </c>
      <c r="M64" s="48">
        <f>'C'!AI187</f>
        <v>0</v>
      </c>
      <c r="N64" s="48">
        <f>'C'!AI211</f>
        <v>0</v>
      </c>
      <c r="O64" s="48">
        <f>'C'!AI235</f>
        <v>0</v>
      </c>
      <c r="P64" s="48">
        <f>'C'!AI259</f>
        <v>0</v>
      </c>
      <c r="Q64" s="48">
        <f>'C'!AI283</f>
        <v>0</v>
      </c>
      <c r="R64" s="44">
        <f t="shared" si="23"/>
        <v>0</v>
      </c>
      <c r="S64" s="49">
        <f t="shared" si="24"/>
        <v>0</v>
      </c>
      <c r="U64" s="48">
        <f>'C'!AH19</f>
        <v>0</v>
      </c>
      <c r="V64" s="48">
        <f>'C'!AH43</f>
        <v>0</v>
      </c>
      <c r="W64" s="48">
        <f>'C'!AH67</f>
        <v>0</v>
      </c>
      <c r="X64" s="48">
        <f>'C'!AH91</f>
        <v>0</v>
      </c>
      <c r="Y64" s="48">
        <f>'C'!AH115</f>
        <v>0</v>
      </c>
      <c r="Z64" s="48">
        <f>'C'!AH139</f>
        <v>0</v>
      </c>
      <c r="AA64" s="48">
        <f>'C'!AH163</f>
        <v>0</v>
      </c>
      <c r="AB64" s="48">
        <f>'C'!AH187</f>
        <v>0</v>
      </c>
      <c r="AC64" s="48">
        <f>'C'!AH211</f>
        <v>0</v>
      </c>
      <c r="AD64" s="48">
        <f>'C'!AH235</f>
        <v>0</v>
      </c>
      <c r="AE64" s="48">
        <f>'C'!AH259</f>
        <v>0</v>
      </c>
      <c r="AF64" s="48">
        <f>'C'!AH283</f>
        <v>0</v>
      </c>
      <c r="AG64" s="20">
        <f t="shared" si="25"/>
        <v>0</v>
      </c>
      <c r="AH64" s="49">
        <f t="shared" si="22"/>
        <v>16</v>
      </c>
    </row>
    <row r="65" spans="1:34" ht="20.100000000000001" hidden="1" customHeight="1">
      <c r="A65" s="24" t="s">
        <v>58</v>
      </c>
      <c r="B65" s="20"/>
      <c r="C65" s="20"/>
      <c r="D65" s="20"/>
      <c r="E65" s="47">
        <f t="shared" si="26"/>
        <v>0</v>
      </c>
      <c r="F65" s="48">
        <f>'C'!AI15</f>
        <v>0</v>
      </c>
      <c r="G65" s="48">
        <f>'C'!AI44</f>
        <v>0</v>
      </c>
      <c r="H65" s="48">
        <f>'C'!AI68</f>
        <v>0</v>
      </c>
      <c r="I65" s="48">
        <f>'C'!AI92</f>
        <v>0</v>
      </c>
      <c r="J65" s="48">
        <f>'C'!AI116</f>
        <v>0</v>
      </c>
      <c r="K65" s="48">
        <f>'C'!AI140</f>
        <v>0</v>
      </c>
      <c r="L65" s="48">
        <f>'C'!AI164</f>
        <v>0</v>
      </c>
      <c r="M65" s="48">
        <f>'C'!AI188</f>
        <v>0</v>
      </c>
      <c r="N65" s="48">
        <f>'C'!AI212</f>
        <v>0</v>
      </c>
      <c r="O65" s="48">
        <f>'C'!AI236</f>
        <v>0</v>
      </c>
      <c r="P65" s="48">
        <f>'C'!AI260</f>
        <v>0</v>
      </c>
      <c r="Q65" s="48">
        <f>'C'!AI284</f>
        <v>0</v>
      </c>
      <c r="R65" s="44">
        <f t="shared" si="23"/>
        <v>0</v>
      </c>
      <c r="S65" s="49">
        <f t="shared" si="24"/>
        <v>0</v>
      </c>
      <c r="U65" s="48">
        <f>'C'!AH20</f>
        <v>0</v>
      </c>
      <c r="V65" s="48">
        <f>'C'!AH44</f>
        <v>0</v>
      </c>
      <c r="W65" s="48">
        <f>'C'!AH68</f>
        <v>0</v>
      </c>
      <c r="X65" s="48">
        <f>'C'!AH92</f>
        <v>0</v>
      </c>
      <c r="Y65" s="48">
        <f>'C'!AH116</f>
        <v>0</v>
      </c>
      <c r="Z65" s="48">
        <f>'C'!AH140</f>
        <v>0</v>
      </c>
      <c r="AA65" s="48">
        <f>'C'!AH164</f>
        <v>0</v>
      </c>
      <c r="AB65" s="48">
        <f>'C'!AH188</f>
        <v>0</v>
      </c>
      <c r="AC65" s="48">
        <f>'C'!AH212</f>
        <v>0</v>
      </c>
      <c r="AD65" s="48">
        <f>'C'!AH236</f>
        <v>0</v>
      </c>
      <c r="AE65" s="48">
        <f>'C'!AH260</f>
        <v>0</v>
      </c>
      <c r="AF65" s="48">
        <f>'C'!AH284</f>
        <v>0</v>
      </c>
      <c r="AG65" s="20">
        <f t="shared" si="25"/>
        <v>0</v>
      </c>
      <c r="AH65" s="49">
        <f t="shared" si="22"/>
        <v>16</v>
      </c>
    </row>
    <row r="66" spans="1:34" ht="20.100000000000001" hidden="1" customHeight="1">
      <c r="A66" s="24" t="s">
        <v>59</v>
      </c>
      <c r="B66" s="20"/>
      <c r="C66" s="20"/>
      <c r="D66" s="20"/>
      <c r="E66" s="47">
        <f t="shared" si="26"/>
        <v>0</v>
      </c>
      <c r="F66" s="48">
        <f>'C'!AI16</f>
        <v>0</v>
      </c>
      <c r="G66" s="48">
        <f>'C'!AI45</f>
        <v>0</v>
      </c>
      <c r="H66" s="48">
        <f>'C'!AI69</f>
        <v>0</v>
      </c>
      <c r="I66" s="48">
        <f>'C'!AI93</f>
        <v>0</v>
      </c>
      <c r="J66" s="48">
        <f>'C'!AI117</f>
        <v>0</v>
      </c>
      <c r="K66" s="48">
        <f>'C'!AI141</f>
        <v>0</v>
      </c>
      <c r="L66" s="48">
        <f>'C'!AI165</f>
        <v>0</v>
      </c>
      <c r="M66" s="48">
        <f>'C'!AI189</f>
        <v>0</v>
      </c>
      <c r="N66" s="48">
        <f>'C'!AI213</f>
        <v>0</v>
      </c>
      <c r="O66" s="48">
        <f>'C'!AI237</f>
        <v>0</v>
      </c>
      <c r="P66" s="48">
        <f>'C'!AI261</f>
        <v>0</v>
      </c>
      <c r="Q66" s="48">
        <f>'C'!AI285</f>
        <v>0</v>
      </c>
      <c r="R66" s="44">
        <f t="shared" si="23"/>
        <v>0</v>
      </c>
      <c r="S66" s="49">
        <f t="shared" si="24"/>
        <v>0</v>
      </c>
      <c r="U66" s="48">
        <f>'C'!AH21</f>
        <v>0</v>
      </c>
      <c r="V66" s="48">
        <f>'C'!AH45</f>
        <v>0</v>
      </c>
      <c r="W66" s="48">
        <f>'C'!AH69</f>
        <v>0</v>
      </c>
      <c r="X66" s="48">
        <f>'C'!AH93</f>
        <v>0</v>
      </c>
      <c r="Y66" s="48">
        <f>'C'!AH117</f>
        <v>0</v>
      </c>
      <c r="Z66" s="48">
        <f>'C'!AH141</f>
        <v>0</v>
      </c>
      <c r="AA66" s="48">
        <f>'C'!AH165</f>
        <v>0</v>
      </c>
      <c r="AB66" s="48">
        <f>'C'!AH189</f>
        <v>0</v>
      </c>
      <c r="AC66" s="48">
        <f>'C'!AH213</f>
        <v>0</v>
      </c>
      <c r="AD66" s="48">
        <f>'C'!AH237</f>
        <v>0</v>
      </c>
      <c r="AE66" s="48">
        <f>'C'!AH261</f>
        <v>0</v>
      </c>
      <c r="AF66" s="48">
        <f>'C'!AH285</f>
        <v>0</v>
      </c>
      <c r="AG66" s="20">
        <f t="shared" si="25"/>
        <v>0</v>
      </c>
      <c r="AH66" s="49">
        <f t="shared" si="22"/>
        <v>16</v>
      </c>
    </row>
    <row r="67" spans="1:34" ht="20.100000000000001" hidden="1" customHeight="1">
      <c r="A67" s="24" t="s">
        <v>60</v>
      </c>
      <c r="B67" s="20"/>
      <c r="C67" s="20"/>
      <c r="D67" s="20"/>
      <c r="E67" s="47">
        <f t="shared" si="26"/>
        <v>0</v>
      </c>
      <c r="F67" s="48">
        <f>'C'!AI17</f>
        <v>0</v>
      </c>
      <c r="G67" s="48">
        <f>'C'!AI46</f>
        <v>0</v>
      </c>
      <c r="H67" s="48">
        <f>'C'!AI70</f>
        <v>0</v>
      </c>
      <c r="I67" s="48">
        <f>'C'!AI94</f>
        <v>0</v>
      </c>
      <c r="J67" s="48">
        <f>'C'!AI118</f>
        <v>0</v>
      </c>
      <c r="K67" s="48">
        <f>'C'!AI142</f>
        <v>0</v>
      </c>
      <c r="L67" s="48">
        <f>'C'!AI166</f>
        <v>0</v>
      </c>
      <c r="M67" s="48">
        <f>'C'!AI190</f>
        <v>0</v>
      </c>
      <c r="N67" s="48">
        <f>'C'!AI214</f>
        <v>0</v>
      </c>
      <c r="O67" s="48">
        <f>'C'!AI238</f>
        <v>0</v>
      </c>
      <c r="P67" s="48">
        <f>'C'!AI262</f>
        <v>0</v>
      </c>
      <c r="Q67" s="48">
        <f>'C'!AI286</f>
        <v>0</v>
      </c>
      <c r="R67" s="44">
        <f t="shared" si="23"/>
        <v>0</v>
      </c>
      <c r="S67" s="49">
        <f t="shared" si="24"/>
        <v>0</v>
      </c>
      <c r="U67" s="48">
        <f>'C'!AH22</f>
        <v>0</v>
      </c>
      <c r="V67" s="48">
        <f>'C'!AH46</f>
        <v>0</v>
      </c>
      <c r="W67" s="48">
        <f>'C'!AH70</f>
        <v>0</v>
      </c>
      <c r="X67" s="48">
        <f>'C'!AH94</f>
        <v>0</v>
      </c>
      <c r="Y67" s="48">
        <f>'C'!AH118</f>
        <v>0</v>
      </c>
      <c r="Z67" s="48">
        <f>'C'!AH142</f>
        <v>0</v>
      </c>
      <c r="AA67" s="48">
        <f>'C'!AH166</f>
        <v>0</v>
      </c>
      <c r="AB67" s="48">
        <f>'C'!AH190</f>
        <v>0</v>
      </c>
      <c r="AC67" s="48">
        <f>'C'!AH214</f>
        <v>0</v>
      </c>
      <c r="AD67" s="48">
        <f>'C'!AH238</f>
        <v>0</v>
      </c>
      <c r="AE67" s="48">
        <f>'C'!AH262</f>
        <v>0</v>
      </c>
      <c r="AF67" s="48">
        <f>'C'!AH286</f>
        <v>0</v>
      </c>
      <c r="AG67" s="20">
        <f t="shared" si="25"/>
        <v>0</v>
      </c>
      <c r="AH67" s="49">
        <f t="shared" si="22"/>
        <v>16</v>
      </c>
    </row>
    <row r="68" spans="1:34" ht="20.100000000000001" hidden="1" customHeight="1">
      <c r="A68" s="24" t="s">
        <v>61</v>
      </c>
      <c r="B68" s="20"/>
      <c r="C68" s="20"/>
      <c r="D68" s="20"/>
      <c r="E68" s="47">
        <f t="shared" si="18"/>
        <v>0</v>
      </c>
      <c r="F68" s="48">
        <f>'C'!AI18</f>
        <v>0</v>
      </c>
      <c r="G68" s="48">
        <f>'C'!AI47</f>
        <v>0</v>
      </c>
      <c r="H68" s="48">
        <f>'C'!AI71</f>
        <v>0</v>
      </c>
      <c r="I68" s="48">
        <f>'C'!AI95</f>
        <v>0</v>
      </c>
      <c r="J68" s="48">
        <f>'C'!AI119</f>
        <v>0</v>
      </c>
      <c r="K68" s="48">
        <f>'C'!AI143</f>
        <v>0</v>
      </c>
      <c r="L68" s="48">
        <f>'C'!AI167</f>
        <v>0</v>
      </c>
      <c r="M68" s="48">
        <f>'C'!AI191</f>
        <v>0</v>
      </c>
      <c r="N68" s="48">
        <f>'C'!AI215</f>
        <v>0</v>
      </c>
      <c r="O68" s="48">
        <f>'C'!AI239</f>
        <v>0</v>
      </c>
      <c r="P68" s="48">
        <f>'C'!AI263</f>
        <v>0</v>
      </c>
      <c r="Q68" s="48">
        <f>'C'!AI287</f>
        <v>0</v>
      </c>
      <c r="R68" s="44">
        <f t="shared" si="23"/>
        <v>0</v>
      </c>
      <c r="S68" s="49">
        <f t="shared" si="24"/>
        <v>0</v>
      </c>
      <c r="U68" s="48">
        <f>'C'!AH23</f>
        <v>0</v>
      </c>
      <c r="V68" s="48">
        <f>'C'!AH47</f>
        <v>0</v>
      </c>
      <c r="W68" s="48">
        <f>'C'!AH71</f>
        <v>0</v>
      </c>
      <c r="X68" s="48">
        <f>'C'!AH95</f>
        <v>0</v>
      </c>
      <c r="Y68" s="48">
        <f>'C'!AH119</f>
        <v>0</v>
      </c>
      <c r="Z68" s="48">
        <f>'C'!AH143</f>
        <v>0</v>
      </c>
      <c r="AA68" s="48">
        <f>'C'!AH167</f>
        <v>0</v>
      </c>
      <c r="AB68" s="48">
        <f>'C'!AH191</f>
        <v>0</v>
      </c>
      <c r="AC68" s="48">
        <f>'C'!AH215</f>
        <v>0</v>
      </c>
      <c r="AD68" s="48">
        <f>'C'!AH239</f>
        <v>0</v>
      </c>
      <c r="AE68" s="48">
        <f>'C'!AH263</f>
        <v>0</v>
      </c>
      <c r="AF68" s="48">
        <f>'C'!AH287</f>
        <v>0</v>
      </c>
      <c r="AG68" s="20">
        <f t="shared" si="25"/>
        <v>0</v>
      </c>
      <c r="AH68" s="49">
        <f t="shared" si="22"/>
        <v>16</v>
      </c>
    </row>
    <row r="69" spans="1:34" ht="20.100000000000001" customHeight="1"/>
    <row r="70" spans="1:34" ht="20.100000000000001" customHeight="1">
      <c r="A70" s="52" t="s">
        <v>40</v>
      </c>
      <c r="B70" s="51" t="s">
        <v>21</v>
      </c>
      <c r="C70" s="53" t="s">
        <v>41</v>
      </c>
      <c r="D70" s="51">
        <v>2021</v>
      </c>
      <c r="E70" s="43" t="s">
        <v>22</v>
      </c>
      <c r="F70" s="44" t="s">
        <v>23</v>
      </c>
      <c r="G70" s="44" t="s">
        <v>25</v>
      </c>
      <c r="H70" s="44" t="s">
        <v>27</v>
      </c>
      <c r="I70" s="44" t="s">
        <v>29</v>
      </c>
      <c r="J70" s="44" t="s">
        <v>30</v>
      </c>
      <c r="K70" s="44" t="s">
        <v>32</v>
      </c>
      <c r="L70" s="44" t="s">
        <v>33</v>
      </c>
      <c r="M70" s="44" t="s">
        <v>34</v>
      </c>
      <c r="N70" s="44" t="s">
        <v>35</v>
      </c>
      <c r="O70" s="44" t="s">
        <v>2</v>
      </c>
      <c r="P70" s="44" t="s">
        <v>36</v>
      </c>
      <c r="Q70" s="44" t="s">
        <v>37</v>
      </c>
      <c r="R70" s="51" t="s">
        <v>39</v>
      </c>
      <c r="S70" s="45" t="s">
        <v>38</v>
      </c>
      <c r="U70" s="44" t="s">
        <v>23</v>
      </c>
      <c r="V70" s="44" t="s">
        <v>24</v>
      </c>
      <c r="W70" s="44" t="s">
        <v>26</v>
      </c>
      <c r="X70" s="44" t="s">
        <v>28</v>
      </c>
      <c r="Y70" s="44" t="s">
        <v>1</v>
      </c>
      <c r="Z70" s="44" t="s">
        <v>31</v>
      </c>
      <c r="AA70" s="44" t="s">
        <v>33</v>
      </c>
      <c r="AB70" s="44" t="s">
        <v>34</v>
      </c>
      <c r="AC70" s="44" t="s">
        <v>35</v>
      </c>
      <c r="AD70" s="44" t="s">
        <v>2</v>
      </c>
      <c r="AE70" s="44" t="s">
        <v>36</v>
      </c>
      <c r="AF70" s="44" t="s">
        <v>37</v>
      </c>
      <c r="AG70" s="51" t="s">
        <v>18</v>
      </c>
      <c r="AH70" s="45" t="s">
        <v>38</v>
      </c>
    </row>
    <row r="71" spans="1:34" ht="20.100000000000001" customHeight="1">
      <c r="A71" s="52"/>
      <c r="B71" s="51"/>
      <c r="C71" s="53"/>
      <c r="D71" s="51"/>
      <c r="E71" s="43"/>
      <c r="F71" s="44" t="s">
        <v>20</v>
      </c>
      <c r="G71" s="44" t="s">
        <v>20</v>
      </c>
      <c r="H71" s="44" t="s">
        <v>20</v>
      </c>
      <c r="I71" s="44" t="s">
        <v>20</v>
      </c>
      <c r="J71" s="44" t="s">
        <v>20</v>
      </c>
      <c r="K71" s="44" t="s">
        <v>20</v>
      </c>
      <c r="L71" s="44" t="s">
        <v>20</v>
      </c>
      <c r="M71" s="44" t="s">
        <v>20</v>
      </c>
      <c r="N71" s="44" t="s">
        <v>20</v>
      </c>
      <c r="O71" s="44" t="s">
        <v>20</v>
      </c>
      <c r="P71" s="44" t="s">
        <v>20</v>
      </c>
      <c r="Q71" s="44" t="s">
        <v>20</v>
      </c>
      <c r="R71" s="51"/>
      <c r="S71" s="45" t="s">
        <v>20</v>
      </c>
      <c r="U71" s="44" t="s">
        <v>18</v>
      </c>
      <c r="V71" s="44" t="s">
        <v>18</v>
      </c>
      <c r="W71" s="44" t="s">
        <v>18</v>
      </c>
      <c r="X71" s="44" t="s">
        <v>18</v>
      </c>
      <c r="Y71" s="44" t="s">
        <v>18</v>
      </c>
      <c r="Z71" s="44" t="s">
        <v>18</v>
      </c>
      <c r="AA71" s="44" t="s">
        <v>18</v>
      </c>
      <c r="AB71" s="44" t="s">
        <v>18</v>
      </c>
      <c r="AC71" s="44" t="s">
        <v>18</v>
      </c>
      <c r="AD71" s="44" t="s">
        <v>18</v>
      </c>
      <c r="AE71" s="44" t="s">
        <v>18</v>
      </c>
      <c r="AF71" s="44" t="s">
        <v>18</v>
      </c>
      <c r="AG71" s="51"/>
      <c r="AH71" s="45" t="s">
        <v>18</v>
      </c>
    </row>
    <row r="72" spans="1:34" ht="20.100000000000001" customHeight="1">
      <c r="A72" s="24" t="s">
        <v>66</v>
      </c>
      <c r="B72" s="20"/>
      <c r="C72" s="20"/>
      <c r="D72" s="20"/>
      <c r="E72" s="47">
        <f t="shared" ref="E72:E91" si="27">SUM(B72:D72)</f>
        <v>0</v>
      </c>
      <c r="F72" s="48">
        <f>D!AI4</f>
        <v>0</v>
      </c>
      <c r="G72" s="48">
        <f>D!AI28</f>
        <v>0</v>
      </c>
      <c r="H72" s="48">
        <f>D!AI52</f>
        <v>0</v>
      </c>
      <c r="I72" s="48">
        <f>D!AI76</f>
        <v>0</v>
      </c>
      <c r="J72" s="48">
        <f>D!AI100</f>
        <v>0</v>
      </c>
      <c r="K72" s="48">
        <f>D!AI124</f>
        <v>0</v>
      </c>
      <c r="L72" s="48">
        <f>D!AI148</f>
        <v>0</v>
      </c>
      <c r="M72" s="48">
        <f>D!AI172</f>
        <v>0</v>
      </c>
      <c r="N72" s="48">
        <f>D!AI196</f>
        <v>0</v>
      </c>
      <c r="O72" s="48">
        <f>D!AI220</f>
        <v>0</v>
      </c>
      <c r="P72" s="48">
        <f>D!AI244</f>
        <v>0</v>
      </c>
      <c r="Q72" s="48">
        <f>D!AI268</f>
        <v>0</v>
      </c>
      <c r="R72" s="44">
        <f t="shared" ref="R72" si="28">SUM(F72+G72+H72+I72+J72+K72+L72+M72+N72+O72+P72+Q72)</f>
        <v>0</v>
      </c>
      <c r="S72" s="49">
        <f t="shared" ref="S72" si="29">SUM(E72-R72)</f>
        <v>0</v>
      </c>
      <c r="U72" s="48">
        <f>D!AH4</f>
        <v>1</v>
      </c>
      <c r="V72" s="48">
        <f>D!AH28</f>
        <v>0</v>
      </c>
      <c r="W72" s="48">
        <f>D!AH52</f>
        <v>0</v>
      </c>
      <c r="X72" s="48">
        <f>D!AH76</f>
        <v>0</v>
      </c>
      <c r="Y72" s="48">
        <f>D!AH100</f>
        <v>0</v>
      </c>
      <c r="Z72" s="48">
        <f>D!AH124</f>
        <v>0</v>
      </c>
      <c r="AA72" s="48">
        <f>D!AH148</f>
        <v>0</v>
      </c>
      <c r="AB72" s="48">
        <f>D!AH172</f>
        <v>0</v>
      </c>
      <c r="AC72" s="48">
        <f>D!AH196</f>
        <v>0</v>
      </c>
      <c r="AD72" s="48">
        <f>D!AH220</f>
        <v>0</v>
      </c>
      <c r="AE72" s="48">
        <f>D!AH244</f>
        <v>0</v>
      </c>
      <c r="AF72" s="48">
        <f>D!AH268</f>
        <v>0</v>
      </c>
      <c r="AG72" s="20">
        <f t="shared" ref="AG72" si="30">SUM(U72+V72+W72+X72+Y72+Z72+AA72+AB72+AC72+AD72+AE72+AF72)</f>
        <v>1</v>
      </c>
      <c r="AH72" s="49">
        <f t="shared" ref="AH72:AH91" si="31">SUM(16-AG72)</f>
        <v>15</v>
      </c>
    </row>
    <row r="73" spans="1:34" ht="20.100000000000001" customHeight="1">
      <c r="A73" s="24" t="s">
        <v>84</v>
      </c>
      <c r="B73" s="20"/>
      <c r="C73" s="20"/>
      <c r="D73" s="20"/>
      <c r="E73" s="47">
        <f t="shared" si="27"/>
        <v>0</v>
      </c>
      <c r="F73" s="48">
        <f>D!AI5</f>
        <v>0</v>
      </c>
      <c r="G73" s="48">
        <f>D!AI29</f>
        <v>0</v>
      </c>
      <c r="H73" s="48">
        <f>D!AI53</f>
        <v>0</v>
      </c>
      <c r="I73" s="48">
        <f>D!AI77</f>
        <v>0</v>
      </c>
      <c r="J73" s="48">
        <f>D!AI101</f>
        <v>0</v>
      </c>
      <c r="K73" s="48">
        <f>D!AI125</f>
        <v>0</v>
      </c>
      <c r="L73" s="48">
        <f>D!AI149</f>
        <v>0</v>
      </c>
      <c r="M73" s="48">
        <f>D!AI173</f>
        <v>0</v>
      </c>
      <c r="N73" s="48">
        <f>D!AI197</f>
        <v>0</v>
      </c>
      <c r="O73" s="48">
        <f>D!AI221</f>
        <v>0</v>
      </c>
      <c r="P73" s="48">
        <f>D!AI245</f>
        <v>0</v>
      </c>
      <c r="Q73" s="48">
        <f>D!AI269</f>
        <v>0</v>
      </c>
      <c r="R73" s="44">
        <f t="shared" ref="R73:R91" si="32">SUM(F73+G73+H73+I73+J73+K73+L73+M73+N73+O73+P73+Q73)</f>
        <v>0</v>
      </c>
      <c r="S73" s="49">
        <f t="shared" ref="S73:S91" si="33">SUM(E73-R73)</f>
        <v>0</v>
      </c>
      <c r="U73" s="48">
        <f>D!AH5</f>
        <v>1</v>
      </c>
      <c r="V73" s="48">
        <f>D!AH29</f>
        <v>0</v>
      </c>
      <c r="W73" s="48">
        <f>D!AH53</f>
        <v>0</v>
      </c>
      <c r="X73" s="48">
        <f>D!AH77</f>
        <v>0</v>
      </c>
      <c r="Y73" s="48">
        <f>D!AH101</f>
        <v>0</v>
      </c>
      <c r="Z73" s="48">
        <f>D!AH125</f>
        <v>0</v>
      </c>
      <c r="AA73" s="48">
        <f>D!AH149</f>
        <v>0</v>
      </c>
      <c r="AB73" s="48">
        <f>D!AH173</f>
        <v>0</v>
      </c>
      <c r="AC73" s="48">
        <f>D!AH197</f>
        <v>0</v>
      </c>
      <c r="AD73" s="48">
        <f>D!AH221</f>
        <v>0</v>
      </c>
      <c r="AE73" s="48">
        <f>D!AH245</f>
        <v>0</v>
      </c>
      <c r="AF73" s="48">
        <f>D!AH269</f>
        <v>0</v>
      </c>
      <c r="AG73" s="20">
        <f t="shared" ref="AG73:AG91" si="34">SUM(U73+V73+W73+X73+Y73+Z73+AA73+AB73+AC73+AD73+AE73+AF73)</f>
        <v>1</v>
      </c>
      <c r="AH73" s="49">
        <f t="shared" si="31"/>
        <v>15</v>
      </c>
    </row>
    <row r="74" spans="1:34" ht="20.100000000000001" customHeight="1">
      <c r="A74" s="24" t="s">
        <v>85</v>
      </c>
      <c r="B74" s="20"/>
      <c r="C74" s="20"/>
      <c r="D74" s="20">
        <v>30</v>
      </c>
      <c r="E74" s="47">
        <f t="shared" si="27"/>
        <v>30</v>
      </c>
      <c r="F74" s="48">
        <f>D!AI6</f>
        <v>0</v>
      </c>
      <c r="G74" s="48">
        <f>D!AI30</f>
        <v>0</v>
      </c>
      <c r="H74" s="48">
        <f>D!AI54</f>
        <v>0</v>
      </c>
      <c r="I74" s="48">
        <f>D!AI78</f>
        <v>0</v>
      </c>
      <c r="J74" s="48">
        <f>D!AI102</f>
        <v>0</v>
      </c>
      <c r="K74" s="48">
        <f>D!AI126</f>
        <v>0</v>
      </c>
      <c r="L74" s="48">
        <f>D!AI150</f>
        <v>0</v>
      </c>
      <c r="M74" s="48">
        <f>D!AI174</f>
        <v>0</v>
      </c>
      <c r="N74" s="48">
        <f>D!AI198</f>
        <v>0</v>
      </c>
      <c r="O74" s="48">
        <f>D!AI222</f>
        <v>0</v>
      </c>
      <c r="P74" s="48">
        <f>D!AI246</f>
        <v>0</v>
      </c>
      <c r="Q74" s="48">
        <f>D!AI270</f>
        <v>0</v>
      </c>
      <c r="R74" s="44">
        <f t="shared" si="32"/>
        <v>0</v>
      </c>
      <c r="S74" s="49">
        <f t="shared" si="33"/>
        <v>30</v>
      </c>
      <c r="U74" s="48">
        <f>D!AH6</f>
        <v>0</v>
      </c>
      <c r="V74" s="48">
        <f>D!AH30</f>
        <v>0</v>
      </c>
      <c r="W74" s="48">
        <f>D!AH54</f>
        <v>0</v>
      </c>
      <c r="X74" s="48">
        <f>D!AH78</f>
        <v>0</v>
      </c>
      <c r="Y74" s="48">
        <f>D!AH102</f>
        <v>0</v>
      </c>
      <c r="Z74" s="48">
        <f>D!AH126</f>
        <v>0</v>
      </c>
      <c r="AA74" s="48">
        <f>D!AH150</f>
        <v>0</v>
      </c>
      <c r="AB74" s="48">
        <f>D!AH174</f>
        <v>0</v>
      </c>
      <c r="AC74" s="48">
        <f>D!AH198</f>
        <v>0</v>
      </c>
      <c r="AD74" s="48">
        <f>D!AH222</f>
        <v>0</v>
      </c>
      <c r="AE74" s="48">
        <f>D!AH246</f>
        <v>0</v>
      </c>
      <c r="AF74" s="48">
        <f>D!AH270</f>
        <v>0</v>
      </c>
      <c r="AG74" s="20">
        <f t="shared" si="34"/>
        <v>0</v>
      </c>
      <c r="AH74" s="49">
        <f t="shared" si="31"/>
        <v>16</v>
      </c>
    </row>
    <row r="75" spans="1:34" ht="20.100000000000001" customHeight="1">
      <c r="A75" s="24" t="s">
        <v>86</v>
      </c>
      <c r="B75" s="20"/>
      <c r="C75" s="20"/>
      <c r="D75" s="20">
        <v>30</v>
      </c>
      <c r="E75" s="47">
        <f t="shared" si="27"/>
        <v>30</v>
      </c>
      <c r="F75" s="48">
        <f>D!AI7</f>
        <v>0</v>
      </c>
      <c r="G75" s="48">
        <f>D!AI31</f>
        <v>0</v>
      </c>
      <c r="H75" s="48">
        <f>D!AI55</f>
        <v>0</v>
      </c>
      <c r="I75" s="48">
        <f>D!AI79</f>
        <v>0</v>
      </c>
      <c r="J75" s="48">
        <f>D!AI103</f>
        <v>0</v>
      </c>
      <c r="K75" s="48">
        <f>D!AI127</f>
        <v>0</v>
      </c>
      <c r="L75" s="48">
        <f>D!AI151</f>
        <v>0</v>
      </c>
      <c r="M75" s="48">
        <f>D!AI175</f>
        <v>0</v>
      </c>
      <c r="N75" s="48">
        <f>D!AI199</f>
        <v>0</v>
      </c>
      <c r="O75" s="48">
        <f>D!AI223</f>
        <v>0</v>
      </c>
      <c r="P75" s="48">
        <f>D!AI247</f>
        <v>0</v>
      </c>
      <c r="Q75" s="48">
        <f>D!AI271</f>
        <v>0</v>
      </c>
      <c r="R75" s="44">
        <f t="shared" si="32"/>
        <v>0</v>
      </c>
      <c r="S75" s="49">
        <f t="shared" si="33"/>
        <v>30</v>
      </c>
      <c r="U75" s="48">
        <f>D!AH7</f>
        <v>0</v>
      </c>
      <c r="V75" s="48">
        <f>D!AH31</f>
        <v>0</v>
      </c>
      <c r="W75" s="48">
        <f>D!AH55</f>
        <v>0</v>
      </c>
      <c r="X75" s="48">
        <f>D!AH79</f>
        <v>0</v>
      </c>
      <c r="Y75" s="48">
        <f>D!AH103</f>
        <v>0</v>
      </c>
      <c r="Z75" s="48">
        <f>D!AH127</f>
        <v>0</v>
      </c>
      <c r="AA75" s="48">
        <f>D!AH151</f>
        <v>0</v>
      </c>
      <c r="AB75" s="48">
        <f>D!AH175</f>
        <v>0</v>
      </c>
      <c r="AC75" s="48">
        <f>D!AH199</f>
        <v>0</v>
      </c>
      <c r="AD75" s="48">
        <f>D!AH223</f>
        <v>0</v>
      </c>
      <c r="AE75" s="48">
        <f>D!AH247</f>
        <v>0</v>
      </c>
      <c r="AF75" s="48">
        <f>D!AH271</f>
        <v>0</v>
      </c>
      <c r="AG75" s="20">
        <f t="shared" si="34"/>
        <v>0</v>
      </c>
      <c r="AH75" s="49">
        <f t="shared" si="31"/>
        <v>16</v>
      </c>
    </row>
    <row r="76" spans="1:34" ht="20.100000000000001" customHeight="1">
      <c r="A76" s="24" t="s">
        <v>87</v>
      </c>
      <c r="B76" s="20"/>
      <c r="C76" s="20"/>
      <c r="D76" s="20"/>
      <c r="E76" s="47">
        <f t="shared" si="27"/>
        <v>0</v>
      </c>
      <c r="F76" s="48">
        <f>D!AI8</f>
        <v>0</v>
      </c>
      <c r="G76" s="48">
        <f>D!AI32</f>
        <v>0</v>
      </c>
      <c r="H76" s="48">
        <f>D!AI56</f>
        <v>0</v>
      </c>
      <c r="I76" s="48">
        <f>D!AI80</f>
        <v>0</v>
      </c>
      <c r="J76" s="48">
        <f>D!AI104</f>
        <v>0</v>
      </c>
      <c r="K76" s="48">
        <f>D!AI128</f>
        <v>0</v>
      </c>
      <c r="L76" s="48">
        <f>D!AI152</f>
        <v>0</v>
      </c>
      <c r="M76" s="48">
        <f>D!AI176</f>
        <v>0</v>
      </c>
      <c r="N76" s="48">
        <f>D!AI200</f>
        <v>0</v>
      </c>
      <c r="O76" s="48">
        <f>D!AI224</f>
        <v>0</v>
      </c>
      <c r="P76" s="48">
        <f>D!AI248</f>
        <v>0</v>
      </c>
      <c r="Q76" s="48">
        <f>D!AI272</f>
        <v>0</v>
      </c>
      <c r="R76" s="44">
        <f t="shared" si="32"/>
        <v>0</v>
      </c>
      <c r="S76" s="49">
        <f t="shared" si="33"/>
        <v>0</v>
      </c>
      <c r="U76" s="48">
        <f>D!AH8</f>
        <v>0</v>
      </c>
      <c r="V76" s="48">
        <f>D!AH32</f>
        <v>0</v>
      </c>
      <c r="W76" s="48">
        <f>D!AH56</f>
        <v>0</v>
      </c>
      <c r="X76" s="48">
        <f>D!AH80</f>
        <v>0</v>
      </c>
      <c r="Y76" s="48">
        <f>D!AH104</f>
        <v>0</v>
      </c>
      <c r="Z76" s="48">
        <f>D!AH128</f>
        <v>0</v>
      </c>
      <c r="AA76" s="48">
        <f>D!AH152</f>
        <v>0</v>
      </c>
      <c r="AB76" s="48">
        <f>D!AH176</f>
        <v>0</v>
      </c>
      <c r="AC76" s="48">
        <f>D!AH200</f>
        <v>0</v>
      </c>
      <c r="AD76" s="48">
        <f>D!AH224</f>
        <v>0</v>
      </c>
      <c r="AE76" s="48">
        <f>D!AH248</f>
        <v>0</v>
      </c>
      <c r="AF76" s="48">
        <f>D!AH272</f>
        <v>0</v>
      </c>
      <c r="AG76" s="20">
        <f t="shared" si="34"/>
        <v>0</v>
      </c>
      <c r="AH76" s="49">
        <f t="shared" si="31"/>
        <v>16</v>
      </c>
    </row>
    <row r="77" spans="1:34" ht="20.100000000000001" customHeight="1">
      <c r="A77" s="24" t="s">
        <v>88</v>
      </c>
      <c r="B77" s="20"/>
      <c r="C77" s="20"/>
      <c r="D77" s="20"/>
      <c r="E77" s="47">
        <f t="shared" si="27"/>
        <v>0</v>
      </c>
      <c r="F77" s="48">
        <f>D!AI9</f>
        <v>0</v>
      </c>
      <c r="G77" s="48">
        <f>D!AI33</f>
        <v>0</v>
      </c>
      <c r="H77" s="48">
        <f>D!AI57</f>
        <v>0</v>
      </c>
      <c r="I77" s="48">
        <f>D!AI81</f>
        <v>0</v>
      </c>
      <c r="J77" s="48">
        <f>D!AI105</f>
        <v>0</v>
      </c>
      <c r="K77" s="48">
        <f>D!AI129</f>
        <v>0</v>
      </c>
      <c r="L77" s="48">
        <f>D!AI153</f>
        <v>0</v>
      </c>
      <c r="M77" s="48">
        <f>D!AI177</f>
        <v>0</v>
      </c>
      <c r="N77" s="48">
        <f>D!AI201</f>
        <v>0</v>
      </c>
      <c r="O77" s="48">
        <f>D!AI225</f>
        <v>0</v>
      </c>
      <c r="P77" s="48">
        <f>D!AI249</f>
        <v>0</v>
      </c>
      <c r="Q77" s="48">
        <f>D!AI273</f>
        <v>0</v>
      </c>
      <c r="R77" s="44">
        <f t="shared" si="32"/>
        <v>0</v>
      </c>
      <c r="S77" s="49">
        <f t="shared" si="33"/>
        <v>0</v>
      </c>
      <c r="U77" s="48">
        <f>D!AH9</f>
        <v>0</v>
      </c>
      <c r="V77" s="48">
        <f>D!AH33</f>
        <v>0</v>
      </c>
      <c r="W77" s="48">
        <f>D!AH57</f>
        <v>0</v>
      </c>
      <c r="X77" s="48">
        <f>D!AH81</f>
        <v>0</v>
      </c>
      <c r="Y77" s="48">
        <f>D!AH105</f>
        <v>0</v>
      </c>
      <c r="Z77" s="48">
        <f>D!AH129</f>
        <v>0</v>
      </c>
      <c r="AA77" s="48">
        <f>D!AH153</f>
        <v>0</v>
      </c>
      <c r="AB77" s="48">
        <f>D!AH177</f>
        <v>0</v>
      </c>
      <c r="AC77" s="48">
        <f>D!AH201</f>
        <v>0</v>
      </c>
      <c r="AD77" s="48">
        <f>D!AH225</f>
        <v>0</v>
      </c>
      <c r="AE77" s="48">
        <f>D!AH249</f>
        <v>0</v>
      </c>
      <c r="AF77" s="48">
        <f>D!AH273</f>
        <v>0</v>
      </c>
      <c r="AG77" s="20">
        <f t="shared" si="34"/>
        <v>0</v>
      </c>
      <c r="AH77" s="49">
        <f t="shared" si="31"/>
        <v>16</v>
      </c>
    </row>
    <row r="78" spans="1:34" ht="20.100000000000001" customHeight="1">
      <c r="A78" s="24" t="s">
        <v>89</v>
      </c>
      <c r="B78" s="20"/>
      <c r="C78" s="20"/>
      <c r="D78" s="20">
        <v>30</v>
      </c>
      <c r="E78" s="47">
        <f t="shared" si="27"/>
        <v>30</v>
      </c>
      <c r="F78" s="48">
        <f>D!AI10</f>
        <v>0</v>
      </c>
      <c r="G78" s="48">
        <f>D!AI34</f>
        <v>0</v>
      </c>
      <c r="H78" s="48">
        <f>D!AI58</f>
        <v>0</v>
      </c>
      <c r="I78" s="48">
        <f>D!AI82</f>
        <v>0</v>
      </c>
      <c r="J78" s="48">
        <f>D!AI106</f>
        <v>0</v>
      </c>
      <c r="K78" s="48">
        <f>D!AI130</f>
        <v>0</v>
      </c>
      <c r="L78" s="48">
        <f>D!AI154</f>
        <v>0</v>
      </c>
      <c r="M78" s="48">
        <f>D!AI178</f>
        <v>0</v>
      </c>
      <c r="N78" s="48">
        <f>D!AI202</f>
        <v>0</v>
      </c>
      <c r="O78" s="48">
        <f>D!AI226</f>
        <v>0</v>
      </c>
      <c r="P78" s="48">
        <f>D!AI250</f>
        <v>0</v>
      </c>
      <c r="Q78" s="48">
        <f>D!AI274</f>
        <v>0</v>
      </c>
      <c r="R78" s="44">
        <f t="shared" si="32"/>
        <v>0</v>
      </c>
      <c r="S78" s="49">
        <f t="shared" si="33"/>
        <v>30</v>
      </c>
      <c r="U78" s="48">
        <f>D!AH10</f>
        <v>0</v>
      </c>
      <c r="V78" s="48">
        <f>D!AH34</f>
        <v>0</v>
      </c>
      <c r="W78" s="48">
        <f>D!AH58</f>
        <v>0</v>
      </c>
      <c r="X78" s="48">
        <f>D!AH82</f>
        <v>0</v>
      </c>
      <c r="Y78" s="48">
        <f>D!AH106</f>
        <v>0</v>
      </c>
      <c r="Z78" s="48">
        <f>D!AH130</f>
        <v>0</v>
      </c>
      <c r="AA78" s="48">
        <f>D!AH154</f>
        <v>0</v>
      </c>
      <c r="AB78" s="48">
        <f>D!AH178</f>
        <v>0</v>
      </c>
      <c r="AC78" s="48">
        <f>D!AH202</f>
        <v>0</v>
      </c>
      <c r="AD78" s="48">
        <f>D!AH226</f>
        <v>0</v>
      </c>
      <c r="AE78" s="48">
        <f>D!AH250</f>
        <v>0</v>
      </c>
      <c r="AF78" s="48">
        <f>D!AH274</f>
        <v>0</v>
      </c>
      <c r="AG78" s="20">
        <f t="shared" si="34"/>
        <v>0</v>
      </c>
      <c r="AH78" s="49">
        <f t="shared" si="31"/>
        <v>16</v>
      </c>
    </row>
    <row r="79" spans="1:34" ht="20.100000000000001" hidden="1" customHeight="1">
      <c r="A79" s="24" t="s">
        <v>49</v>
      </c>
      <c r="B79" s="20"/>
      <c r="C79" s="20"/>
      <c r="D79" s="20"/>
      <c r="E79" s="47">
        <f t="shared" si="27"/>
        <v>0</v>
      </c>
      <c r="F79" s="48">
        <f>D!AI11</f>
        <v>0</v>
      </c>
      <c r="G79" s="48">
        <f>D!AI35</f>
        <v>0</v>
      </c>
      <c r="H79" s="48">
        <f>D!AI59</f>
        <v>0</v>
      </c>
      <c r="I79" s="48">
        <f>D!AI83</f>
        <v>0</v>
      </c>
      <c r="J79" s="48">
        <f>D!AI107</f>
        <v>0</v>
      </c>
      <c r="K79" s="48">
        <f>D!AI131</f>
        <v>0</v>
      </c>
      <c r="L79" s="48">
        <f>D!AI155</f>
        <v>0</v>
      </c>
      <c r="M79" s="48">
        <f>D!AI179</f>
        <v>0</v>
      </c>
      <c r="N79" s="48">
        <f>D!AI203</f>
        <v>0</v>
      </c>
      <c r="O79" s="48">
        <f>D!AI227</f>
        <v>0</v>
      </c>
      <c r="P79" s="48">
        <f>D!AI251</f>
        <v>0</v>
      </c>
      <c r="Q79" s="48">
        <f>D!AI275</f>
        <v>0</v>
      </c>
      <c r="R79" s="44">
        <f t="shared" si="32"/>
        <v>0</v>
      </c>
      <c r="S79" s="49">
        <f t="shared" si="33"/>
        <v>0</v>
      </c>
      <c r="U79" s="48">
        <f>D!AH11</f>
        <v>0</v>
      </c>
      <c r="V79" s="48">
        <f>D!AH35</f>
        <v>0</v>
      </c>
      <c r="W79" s="48">
        <f>D!AH59</f>
        <v>0</v>
      </c>
      <c r="X79" s="48">
        <f>D!AH83</f>
        <v>0</v>
      </c>
      <c r="Y79" s="48">
        <f>D!AH107</f>
        <v>0</v>
      </c>
      <c r="Z79" s="48">
        <f>D!AH131</f>
        <v>0</v>
      </c>
      <c r="AA79" s="48">
        <f>D!AH155</f>
        <v>0</v>
      </c>
      <c r="AB79" s="48">
        <f>D!AH179</f>
        <v>0</v>
      </c>
      <c r="AC79" s="48">
        <f>D!AH203</f>
        <v>0</v>
      </c>
      <c r="AD79" s="48">
        <f>D!AH227</f>
        <v>0</v>
      </c>
      <c r="AE79" s="48">
        <f>D!AH251</f>
        <v>0</v>
      </c>
      <c r="AF79" s="48">
        <f>D!AH275</f>
        <v>0</v>
      </c>
      <c r="AG79" s="20">
        <f t="shared" si="34"/>
        <v>0</v>
      </c>
      <c r="AH79" s="49">
        <f t="shared" si="31"/>
        <v>16</v>
      </c>
    </row>
    <row r="80" spans="1:34" ht="20.100000000000001" hidden="1" customHeight="1">
      <c r="A80" s="24" t="s">
        <v>50</v>
      </c>
      <c r="B80" s="20"/>
      <c r="C80" s="20"/>
      <c r="D80" s="20"/>
      <c r="E80" s="47">
        <f t="shared" ref="E80:E90" si="35">SUM(B80:D80)</f>
        <v>0</v>
      </c>
      <c r="F80" s="48">
        <f>D!AI12</f>
        <v>0</v>
      </c>
      <c r="G80" s="48">
        <f>D!AI36</f>
        <v>0</v>
      </c>
      <c r="H80" s="48">
        <f>D!AI60</f>
        <v>0</v>
      </c>
      <c r="I80" s="48">
        <f>D!AI84</f>
        <v>0</v>
      </c>
      <c r="J80" s="48">
        <f>D!AI108</f>
        <v>0</v>
      </c>
      <c r="K80" s="48">
        <f>D!AI132</f>
        <v>0</v>
      </c>
      <c r="L80" s="48">
        <f>D!AI156</f>
        <v>0</v>
      </c>
      <c r="M80" s="48">
        <f>D!AI180</f>
        <v>0</v>
      </c>
      <c r="N80" s="48">
        <f>D!AI204</f>
        <v>0</v>
      </c>
      <c r="O80" s="48">
        <f>D!AI228</f>
        <v>0</v>
      </c>
      <c r="P80" s="48">
        <f>D!AI252</f>
        <v>0</v>
      </c>
      <c r="Q80" s="48">
        <f>D!AI276</f>
        <v>0</v>
      </c>
      <c r="R80" s="44">
        <f t="shared" si="32"/>
        <v>0</v>
      </c>
      <c r="S80" s="49">
        <f t="shared" si="33"/>
        <v>0</v>
      </c>
      <c r="U80" s="48">
        <f>D!AH12</f>
        <v>0</v>
      </c>
      <c r="V80" s="48">
        <f>D!AH36</f>
        <v>0</v>
      </c>
      <c r="W80" s="48">
        <f>D!AH60</f>
        <v>0</v>
      </c>
      <c r="X80" s="48">
        <f>D!AH84</f>
        <v>0</v>
      </c>
      <c r="Y80" s="48">
        <f>D!AH108</f>
        <v>0</v>
      </c>
      <c r="Z80" s="48">
        <f>D!AH132</f>
        <v>0</v>
      </c>
      <c r="AA80" s="48">
        <f>D!AH156</f>
        <v>0</v>
      </c>
      <c r="AB80" s="48">
        <f>D!AH180</f>
        <v>0</v>
      </c>
      <c r="AC80" s="48">
        <f>D!AH204</f>
        <v>0</v>
      </c>
      <c r="AD80" s="48">
        <f>D!AH228</f>
        <v>0</v>
      </c>
      <c r="AE80" s="48">
        <f>D!AH252</f>
        <v>0</v>
      </c>
      <c r="AF80" s="48">
        <f>D!AH276</f>
        <v>0</v>
      </c>
      <c r="AG80" s="20">
        <f t="shared" si="34"/>
        <v>0</v>
      </c>
      <c r="AH80" s="49">
        <f t="shared" si="31"/>
        <v>16</v>
      </c>
    </row>
    <row r="81" spans="1:34" ht="20.100000000000001" hidden="1" customHeight="1">
      <c r="A81" s="24" t="s">
        <v>44</v>
      </c>
      <c r="B81" s="20"/>
      <c r="C81" s="20"/>
      <c r="D81" s="20"/>
      <c r="E81" s="47">
        <f t="shared" si="35"/>
        <v>0</v>
      </c>
      <c r="F81" s="48">
        <f>D!AI13</f>
        <v>0</v>
      </c>
      <c r="G81" s="48">
        <f>D!AI37</f>
        <v>0</v>
      </c>
      <c r="H81" s="48">
        <f>D!AI61</f>
        <v>0</v>
      </c>
      <c r="I81" s="48">
        <f>D!AI85</f>
        <v>0</v>
      </c>
      <c r="J81" s="48">
        <f>D!AI109</f>
        <v>0</v>
      </c>
      <c r="K81" s="48">
        <f>D!AI133</f>
        <v>0</v>
      </c>
      <c r="L81" s="48">
        <f>D!AI157</f>
        <v>0</v>
      </c>
      <c r="M81" s="48">
        <f>D!AI181</f>
        <v>0</v>
      </c>
      <c r="N81" s="48">
        <f>D!AI205</f>
        <v>0</v>
      </c>
      <c r="O81" s="48">
        <f>D!AI229</f>
        <v>0</v>
      </c>
      <c r="P81" s="48">
        <f>D!AI253</f>
        <v>0</v>
      </c>
      <c r="Q81" s="48">
        <f>D!AI277</f>
        <v>0</v>
      </c>
      <c r="R81" s="44">
        <f t="shared" si="32"/>
        <v>0</v>
      </c>
      <c r="S81" s="49">
        <f t="shared" si="33"/>
        <v>0</v>
      </c>
      <c r="U81" s="48">
        <f>D!AH13</f>
        <v>0</v>
      </c>
      <c r="V81" s="48">
        <f>D!AH37</f>
        <v>0</v>
      </c>
      <c r="W81" s="48">
        <f>D!AH61</f>
        <v>0</v>
      </c>
      <c r="X81" s="48">
        <f>D!AH85</f>
        <v>0</v>
      </c>
      <c r="Y81" s="48">
        <f>D!AH109</f>
        <v>0</v>
      </c>
      <c r="Z81" s="48">
        <f>D!AH133</f>
        <v>0</v>
      </c>
      <c r="AA81" s="48">
        <f>D!AH157</f>
        <v>0</v>
      </c>
      <c r="AB81" s="48">
        <f>D!AH181</f>
        <v>0</v>
      </c>
      <c r="AC81" s="48">
        <f>D!AH205</f>
        <v>0</v>
      </c>
      <c r="AD81" s="48">
        <f>D!AH229</f>
        <v>0</v>
      </c>
      <c r="AE81" s="48">
        <f>D!AH253</f>
        <v>0</v>
      </c>
      <c r="AF81" s="48">
        <f>D!AH277</f>
        <v>0</v>
      </c>
      <c r="AG81" s="20">
        <f t="shared" si="34"/>
        <v>0</v>
      </c>
      <c r="AH81" s="49">
        <f t="shared" si="31"/>
        <v>16</v>
      </c>
    </row>
    <row r="82" spans="1:34" ht="20.100000000000001" hidden="1" customHeight="1">
      <c r="A82" s="24" t="s">
        <v>45</v>
      </c>
      <c r="B82" s="20"/>
      <c r="C82" s="20"/>
      <c r="D82" s="20"/>
      <c r="E82" s="47">
        <f t="shared" si="35"/>
        <v>0</v>
      </c>
      <c r="F82" s="48">
        <f>D!AI14</f>
        <v>0</v>
      </c>
      <c r="G82" s="48">
        <f>D!AI38</f>
        <v>0</v>
      </c>
      <c r="H82" s="48">
        <f>D!AI62</f>
        <v>0</v>
      </c>
      <c r="I82" s="48">
        <f>D!AI86</f>
        <v>0</v>
      </c>
      <c r="J82" s="48">
        <f>D!AI110</f>
        <v>0</v>
      </c>
      <c r="K82" s="48">
        <f>D!AI134</f>
        <v>0</v>
      </c>
      <c r="L82" s="48">
        <f>D!AI158</f>
        <v>0</v>
      </c>
      <c r="M82" s="48">
        <f>D!AI182</f>
        <v>0</v>
      </c>
      <c r="N82" s="48">
        <f>D!AI206</f>
        <v>0</v>
      </c>
      <c r="O82" s="48">
        <f>D!AI230</f>
        <v>0</v>
      </c>
      <c r="P82" s="48">
        <f>D!AI254</f>
        <v>0</v>
      </c>
      <c r="Q82" s="48">
        <f>D!AI278</f>
        <v>0</v>
      </c>
      <c r="R82" s="44">
        <f t="shared" si="32"/>
        <v>0</v>
      </c>
      <c r="S82" s="49">
        <f t="shared" si="33"/>
        <v>0</v>
      </c>
      <c r="U82" s="48">
        <f>D!AH14</f>
        <v>0</v>
      </c>
      <c r="V82" s="48">
        <f>D!AH38</f>
        <v>0</v>
      </c>
      <c r="W82" s="48">
        <f>D!AH62</f>
        <v>0</v>
      </c>
      <c r="X82" s="48">
        <f>D!AH86</f>
        <v>0</v>
      </c>
      <c r="Y82" s="48">
        <f>D!AH110</f>
        <v>0</v>
      </c>
      <c r="Z82" s="48">
        <f>D!AH134</f>
        <v>0</v>
      </c>
      <c r="AA82" s="48">
        <f>D!AH158</f>
        <v>0</v>
      </c>
      <c r="AB82" s="48">
        <f>D!AH182</f>
        <v>0</v>
      </c>
      <c r="AC82" s="48">
        <f>D!AH206</f>
        <v>0</v>
      </c>
      <c r="AD82" s="48">
        <f>D!AH230</f>
        <v>0</v>
      </c>
      <c r="AE82" s="48">
        <f>D!AH254</f>
        <v>0</v>
      </c>
      <c r="AF82" s="48">
        <f>D!AH278</f>
        <v>0</v>
      </c>
      <c r="AG82" s="20">
        <f t="shared" si="34"/>
        <v>0</v>
      </c>
      <c r="AH82" s="49">
        <f t="shared" si="31"/>
        <v>16</v>
      </c>
    </row>
    <row r="83" spans="1:34" ht="20.100000000000001" hidden="1" customHeight="1">
      <c r="A83" s="24" t="s">
        <v>46</v>
      </c>
      <c r="B83" s="20"/>
      <c r="C83" s="20"/>
      <c r="D83" s="20"/>
      <c r="E83" s="47">
        <f t="shared" si="35"/>
        <v>0</v>
      </c>
      <c r="F83" s="48">
        <f>D!AI15</f>
        <v>0</v>
      </c>
      <c r="G83" s="48">
        <f>D!AI39</f>
        <v>0</v>
      </c>
      <c r="H83" s="48">
        <f>D!AI63</f>
        <v>0</v>
      </c>
      <c r="I83" s="48">
        <f>D!AI87</f>
        <v>0</v>
      </c>
      <c r="J83" s="48">
        <f>D!AI111</f>
        <v>0</v>
      </c>
      <c r="K83" s="48">
        <f>D!AI135</f>
        <v>0</v>
      </c>
      <c r="L83" s="48">
        <f>D!AI159</f>
        <v>0</v>
      </c>
      <c r="M83" s="48">
        <f>D!AI183</f>
        <v>0</v>
      </c>
      <c r="N83" s="48">
        <f>D!AI207</f>
        <v>0</v>
      </c>
      <c r="O83" s="48">
        <f>D!AI231</f>
        <v>0</v>
      </c>
      <c r="P83" s="48">
        <f>D!AI255</f>
        <v>0</v>
      </c>
      <c r="Q83" s="48">
        <f>D!AI279</f>
        <v>0</v>
      </c>
      <c r="R83" s="44">
        <f t="shared" si="32"/>
        <v>0</v>
      </c>
      <c r="S83" s="49">
        <f t="shared" si="33"/>
        <v>0</v>
      </c>
      <c r="U83" s="48">
        <f>D!AH15</f>
        <v>0</v>
      </c>
      <c r="V83" s="48">
        <f>D!AH39</f>
        <v>0</v>
      </c>
      <c r="W83" s="48">
        <f>D!AH63</f>
        <v>0</v>
      </c>
      <c r="X83" s="48">
        <f>D!AH87</f>
        <v>0</v>
      </c>
      <c r="Y83" s="48">
        <f>D!AH111</f>
        <v>0</v>
      </c>
      <c r="Z83" s="48">
        <f>D!AH135</f>
        <v>0</v>
      </c>
      <c r="AA83" s="48">
        <f>D!AH159</f>
        <v>0</v>
      </c>
      <c r="AB83" s="48">
        <f>D!AH183</f>
        <v>0</v>
      </c>
      <c r="AC83" s="48">
        <f>D!AH207</f>
        <v>0</v>
      </c>
      <c r="AD83" s="48">
        <f>D!AH231</f>
        <v>0</v>
      </c>
      <c r="AE83" s="48">
        <f>D!AH255</f>
        <v>0</v>
      </c>
      <c r="AF83" s="48">
        <f>D!AH279</f>
        <v>0</v>
      </c>
      <c r="AG83" s="20">
        <f t="shared" si="34"/>
        <v>0</v>
      </c>
      <c r="AH83" s="49">
        <f t="shared" si="31"/>
        <v>16</v>
      </c>
    </row>
    <row r="84" spans="1:34" ht="20.100000000000001" hidden="1" customHeight="1">
      <c r="A84" s="24" t="s">
        <v>47</v>
      </c>
      <c r="B84" s="20"/>
      <c r="C84" s="20"/>
      <c r="D84" s="20"/>
      <c r="E84" s="47">
        <f t="shared" si="35"/>
        <v>0</v>
      </c>
      <c r="F84" s="48">
        <f>D!AI16</f>
        <v>0</v>
      </c>
      <c r="G84" s="48">
        <f>D!AI40</f>
        <v>0</v>
      </c>
      <c r="H84" s="48">
        <f>D!AI64</f>
        <v>0</v>
      </c>
      <c r="I84" s="48">
        <f>D!AI88</f>
        <v>0</v>
      </c>
      <c r="J84" s="48">
        <f>D!AI112</f>
        <v>0</v>
      </c>
      <c r="K84" s="48">
        <f>D!AI136</f>
        <v>0</v>
      </c>
      <c r="L84" s="48">
        <f>D!AI160</f>
        <v>0</v>
      </c>
      <c r="M84" s="48">
        <f>D!AI184</f>
        <v>0</v>
      </c>
      <c r="N84" s="48">
        <f>D!AI208</f>
        <v>0</v>
      </c>
      <c r="O84" s="48">
        <f>D!AI232</f>
        <v>0</v>
      </c>
      <c r="P84" s="48">
        <f>D!AI256</f>
        <v>0</v>
      </c>
      <c r="Q84" s="48">
        <f>D!AI280</f>
        <v>0</v>
      </c>
      <c r="R84" s="44">
        <f t="shared" si="32"/>
        <v>0</v>
      </c>
      <c r="S84" s="49">
        <f t="shared" si="33"/>
        <v>0</v>
      </c>
      <c r="U84" s="48">
        <f>D!AH16</f>
        <v>0</v>
      </c>
      <c r="V84" s="48">
        <f>D!AH40</f>
        <v>0</v>
      </c>
      <c r="W84" s="48">
        <f>D!AH64</f>
        <v>0</v>
      </c>
      <c r="X84" s="48">
        <f>D!AH88</f>
        <v>0</v>
      </c>
      <c r="Y84" s="48">
        <f>D!AH112</f>
        <v>0</v>
      </c>
      <c r="Z84" s="48">
        <f>D!AH136</f>
        <v>0</v>
      </c>
      <c r="AA84" s="48">
        <f>D!AH160</f>
        <v>0</v>
      </c>
      <c r="AB84" s="48">
        <f>D!AH184</f>
        <v>0</v>
      </c>
      <c r="AC84" s="48">
        <f>D!AH208</f>
        <v>0</v>
      </c>
      <c r="AD84" s="48">
        <f>D!AH232</f>
        <v>0</v>
      </c>
      <c r="AE84" s="48">
        <f>D!AH256</f>
        <v>0</v>
      </c>
      <c r="AF84" s="48">
        <f>D!AH280</f>
        <v>0</v>
      </c>
      <c r="AG84" s="20">
        <f t="shared" si="34"/>
        <v>0</v>
      </c>
      <c r="AH84" s="49">
        <f t="shared" si="31"/>
        <v>16</v>
      </c>
    </row>
    <row r="85" spans="1:34" ht="20.100000000000001" hidden="1" customHeight="1">
      <c r="A85" s="24" t="s">
        <v>48</v>
      </c>
      <c r="B85" s="20"/>
      <c r="C85" s="20"/>
      <c r="D85" s="20"/>
      <c r="E85" s="47">
        <f t="shared" si="35"/>
        <v>0</v>
      </c>
      <c r="F85" s="48">
        <f>D!AI17</f>
        <v>0</v>
      </c>
      <c r="G85" s="48">
        <f>D!AI41</f>
        <v>0</v>
      </c>
      <c r="H85" s="48">
        <f>D!AI65</f>
        <v>0</v>
      </c>
      <c r="I85" s="48">
        <f>D!AI89</f>
        <v>0</v>
      </c>
      <c r="J85" s="48">
        <f>D!AI113</f>
        <v>0</v>
      </c>
      <c r="K85" s="48">
        <f>D!AI137</f>
        <v>0</v>
      </c>
      <c r="L85" s="48">
        <f>D!AI161</f>
        <v>0</v>
      </c>
      <c r="M85" s="48">
        <f>D!AI185</f>
        <v>0</v>
      </c>
      <c r="N85" s="48">
        <f>D!AI209</f>
        <v>0</v>
      </c>
      <c r="O85" s="48">
        <f>D!AI233</f>
        <v>0</v>
      </c>
      <c r="P85" s="48">
        <f>D!AI257</f>
        <v>0</v>
      </c>
      <c r="Q85" s="48">
        <f>D!AI281</f>
        <v>0</v>
      </c>
      <c r="R85" s="44">
        <f t="shared" si="32"/>
        <v>0</v>
      </c>
      <c r="S85" s="49">
        <f t="shared" si="33"/>
        <v>0</v>
      </c>
      <c r="U85" s="48">
        <f>D!AH17</f>
        <v>0</v>
      </c>
      <c r="V85" s="48">
        <f>D!AH41</f>
        <v>0</v>
      </c>
      <c r="W85" s="48">
        <f>D!AH65</f>
        <v>0</v>
      </c>
      <c r="X85" s="48">
        <f>D!AH89</f>
        <v>0</v>
      </c>
      <c r="Y85" s="48">
        <f>D!AH113</f>
        <v>0</v>
      </c>
      <c r="Z85" s="48">
        <f>D!AH137</f>
        <v>0</v>
      </c>
      <c r="AA85" s="48">
        <f>D!AH161</f>
        <v>0</v>
      </c>
      <c r="AB85" s="48">
        <f>D!AH185</f>
        <v>0</v>
      </c>
      <c r="AC85" s="48">
        <f>D!AH209</f>
        <v>0</v>
      </c>
      <c r="AD85" s="48">
        <f>D!AH233</f>
        <v>0</v>
      </c>
      <c r="AE85" s="48">
        <f>D!AH257</f>
        <v>0</v>
      </c>
      <c r="AF85" s="48">
        <f>D!AH281</f>
        <v>0</v>
      </c>
      <c r="AG85" s="20">
        <f t="shared" si="34"/>
        <v>0</v>
      </c>
      <c r="AH85" s="49">
        <f t="shared" si="31"/>
        <v>16</v>
      </c>
    </row>
    <row r="86" spans="1:34" ht="20.100000000000001" hidden="1" customHeight="1">
      <c r="A86" s="24" t="s">
        <v>43</v>
      </c>
      <c r="B86" s="20"/>
      <c r="C86" s="20"/>
      <c r="D86" s="20"/>
      <c r="E86" s="47">
        <f t="shared" si="35"/>
        <v>0</v>
      </c>
      <c r="F86" s="48">
        <f>D!AI18</f>
        <v>0</v>
      </c>
      <c r="G86" s="48">
        <f>D!AI42</f>
        <v>0</v>
      </c>
      <c r="H86" s="48">
        <f>D!AI66</f>
        <v>0</v>
      </c>
      <c r="I86" s="48">
        <f>D!AI90</f>
        <v>0</v>
      </c>
      <c r="J86" s="48">
        <f>D!AI114</f>
        <v>0</v>
      </c>
      <c r="K86" s="48">
        <f>D!AI138</f>
        <v>0</v>
      </c>
      <c r="L86" s="48">
        <f>D!AI162</f>
        <v>0</v>
      </c>
      <c r="M86" s="48">
        <f>D!AI186</f>
        <v>0</v>
      </c>
      <c r="N86" s="48">
        <f>D!AI210</f>
        <v>0</v>
      </c>
      <c r="O86" s="48">
        <f>D!AI234</f>
        <v>0</v>
      </c>
      <c r="P86" s="48">
        <f>D!AI258</f>
        <v>0</v>
      </c>
      <c r="Q86" s="48">
        <f>D!AI282</f>
        <v>0</v>
      </c>
      <c r="R86" s="44">
        <f t="shared" si="32"/>
        <v>0</v>
      </c>
      <c r="S86" s="49">
        <f t="shared" si="33"/>
        <v>0</v>
      </c>
      <c r="U86" s="48">
        <f>D!AH18</f>
        <v>0</v>
      </c>
      <c r="V86" s="48">
        <f>D!AH42</f>
        <v>0</v>
      </c>
      <c r="W86" s="48">
        <f>D!AH66</f>
        <v>0</v>
      </c>
      <c r="X86" s="48">
        <f>D!AH90</f>
        <v>0</v>
      </c>
      <c r="Y86" s="48">
        <f>D!AH114</f>
        <v>0</v>
      </c>
      <c r="Z86" s="48">
        <f>D!AH138</f>
        <v>0</v>
      </c>
      <c r="AA86" s="48">
        <f>D!AH162</f>
        <v>0</v>
      </c>
      <c r="AB86" s="48">
        <f>D!AH186</f>
        <v>0</v>
      </c>
      <c r="AC86" s="48">
        <f>D!AH210</f>
        <v>0</v>
      </c>
      <c r="AD86" s="48">
        <f>D!AH234</f>
        <v>0</v>
      </c>
      <c r="AE86" s="48">
        <f>D!AH258</f>
        <v>0</v>
      </c>
      <c r="AF86" s="48">
        <f>D!AH282</f>
        <v>0</v>
      </c>
      <c r="AG86" s="20">
        <f t="shared" si="34"/>
        <v>0</v>
      </c>
      <c r="AH86" s="49">
        <f t="shared" si="31"/>
        <v>16</v>
      </c>
    </row>
    <row r="87" spans="1:34" ht="20.100000000000001" hidden="1" customHeight="1">
      <c r="A87" s="24" t="s">
        <v>57</v>
      </c>
      <c r="B87" s="20"/>
      <c r="C87" s="20"/>
      <c r="D87" s="20"/>
      <c r="E87" s="47">
        <f t="shared" si="35"/>
        <v>0</v>
      </c>
      <c r="F87" s="48">
        <f>D!AI19</f>
        <v>0</v>
      </c>
      <c r="G87" s="48">
        <f>D!AI43</f>
        <v>0</v>
      </c>
      <c r="H87" s="48">
        <f>D!AI67</f>
        <v>0</v>
      </c>
      <c r="I87" s="48">
        <f>D!AI91</f>
        <v>0</v>
      </c>
      <c r="J87" s="48">
        <f>D!AI115</f>
        <v>0</v>
      </c>
      <c r="K87" s="48">
        <f>D!AI139</f>
        <v>0</v>
      </c>
      <c r="L87" s="48">
        <f>D!AI163</f>
        <v>0</v>
      </c>
      <c r="M87" s="48">
        <f>D!AI187</f>
        <v>0</v>
      </c>
      <c r="N87" s="48">
        <f>D!AI211</f>
        <v>0</v>
      </c>
      <c r="O87" s="48">
        <f>D!AI235</f>
        <v>0</v>
      </c>
      <c r="P87" s="48">
        <f>D!AI259</f>
        <v>0</v>
      </c>
      <c r="Q87" s="48">
        <f>D!AI283</f>
        <v>0</v>
      </c>
      <c r="R87" s="44">
        <f t="shared" si="32"/>
        <v>0</v>
      </c>
      <c r="S87" s="49">
        <f t="shared" si="33"/>
        <v>0</v>
      </c>
      <c r="U87" s="48">
        <f>D!AH19</f>
        <v>0</v>
      </c>
      <c r="V87" s="48">
        <f>D!AH43</f>
        <v>0</v>
      </c>
      <c r="W87" s="48">
        <f>D!AH67</f>
        <v>0</v>
      </c>
      <c r="X87" s="48">
        <f>D!AH91</f>
        <v>0</v>
      </c>
      <c r="Y87" s="48">
        <f>D!AH115</f>
        <v>0</v>
      </c>
      <c r="Z87" s="48">
        <f>D!AH139</f>
        <v>0</v>
      </c>
      <c r="AA87" s="48">
        <f>D!AH163</f>
        <v>0</v>
      </c>
      <c r="AB87" s="48">
        <f>D!AH187</f>
        <v>0</v>
      </c>
      <c r="AC87" s="48">
        <f>D!AH211</f>
        <v>0</v>
      </c>
      <c r="AD87" s="48">
        <f>D!AH235</f>
        <v>0</v>
      </c>
      <c r="AE87" s="48">
        <f>D!AH259</f>
        <v>0</v>
      </c>
      <c r="AF87" s="48">
        <f>D!AH283</f>
        <v>0</v>
      </c>
      <c r="AG87" s="20">
        <f t="shared" si="34"/>
        <v>0</v>
      </c>
      <c r="AH87" s="49">
        <f t="shared" si="31"/>
        <v>16</v>
      </c>
    </row>
    <row r="88" spans="1:34" ht="20.100000000000001" hidden="1" customHeight="1">
      <c r="A88" s="24" t="s">
        <v>58</v>
      </c>
      <c r="B88" s="20"/>
      <c r="C88" s="20"/>
      <c r="D88" s="20"/>
      <c r="E88" s="47">
        <f t="shared" si="35"/>
        <v>0</v>
      </c>
      <c r="F88" s="48">
        <f>D!AI20</f>
        <v>0</v>
      </c>
      <c r="G88" s="48">
        <f>D!AI44</f>
        <v>0</v>
      </c>
      <c r="H88" s="48">
        <f>D!AI68</f>
        <v>0</v>
      </c>
      <c r="I88" s="48">
        <f>D!AI92</f>
        <v>0</v>
      </c>
      <c r="J88" s="48">
        <f>D!AI116</f>
        <v>0</v>
      </c>
      <c r="K88" s="48">
        <f>D!AI140</f>
        <v>0</v>
      </c>
      <c r="L88" s="48">
        <f>D!AI164</f>
        <v>0</v>
      </c>
      <c r="M88" s="48">
        <f>D!AI188</f>
        <v>0</v>
      </c>
      <c r="N88" s="48">
        <f>D!AI212</f>
        <v>0</v>
      </c>
      <c r="O88" s="48">
        <f>D!AI236</f>
        <v>0</v>
      </c>
      <c r="P88" s="48">
        <f>D!AI260</f>
        <v>0</v>
      </c>
      <c r="Q88" s="48">
        <f>D!AI284</f>
        <v>0</v>
      </c>
      <c r="R88" s="44">
        <f t="shared" si="32"/>
        <v>0</v>
      </c>
      <c r="S88" s="49">
        <f t="shared" si="33"/>
        <v>0</v>
      </c>
      <c r="U88" s="48">
        <f>D!AH20</f>
        <v>0</v>
      </c>
      <c r="V88" s="48">
        <f>D!AH44</f>
        <v>0</v>
      </c>
      <c r="W88" s="48">
        <f>D!AH68</f>
        <v>0</v>
      </c>
      <c r="X88" s="48">
        <f>D!AH92</f>
        <v>0</v>
      </c>
      <c r="Y88" s="48">
        <f>D!AH116</f>
        <v>0</v>
      </c>
      <c r="Z88" s="48">
        <f>D!AH140</f>
        <v>0</v>
      </c>
      <c r="AA88" s="48">
        <f>D!AH164</f>
        <v>0</v>
      </c>
      <c r="AB88" s="48">
        <f>D!AH188</f>
        <v>0</v>
      </c>
      <c r="AC88" s="48">
        <f>D!AH212</f>
        <v>0</v>
      </c>
      <c r="AD88" s="48">
        <f>D!AH236</f>
        <v>0</v>
      </c>
      <c r="AE88" s="48">
        <f>D!AH260</f>
        <v>0</v>
      </c>
      <c r="AF88" s="48">
        <f>D!AH284</f>
        <v>0</v>
      </c>
      <c r="AG88" s="20">
        <f t="shared" si="34"/>
        <v>0</v>
      </c>
      <c r="AH88" s="49">
        <f t="shared" si="31"/>
        <v>16</v>
      </c>
    </row>
    <row r="89" spans="1:34" ht="20.100000000000001" hidden="1" customHeight="1">
      <c r="A89" s="24" t="s">
        <v>59</v>
      </c>
      <c r="B89" s="20"/>
      <c r="C89" s="20"/>
      <c r="D89" s="20"/>
      <c r="E89" s="47">
        <f t="shared" si="35"/>
        <v>0</v>
      </c>
      <c r="F89" s="48">
        <f>D!AI21</f>
        <v>0</v>
      </c>
      <c r="G89" s="48">
        <f>D!AI45</f>
        <v>0</v>
      </c>
      <c r="H89" s="48">
        <f>D!AI69</f>
        <v>0</v>
      </c>
      <c r="I89" s="48">
        <f>D!AI93</f>
        <v>0</v>
      </c>
      <c r="J89" s="48">
        <f>D!AI117</f>
        <v>0</v>
      </c>
      <c r="K89" s="48">
        <f>D!AI141</f>
        <v>0</v>
      </c>
      <c r="L89" s="48">
        <f>D!AI165</f>
        <v>0</v>
      </c>
      <c r="M89" s="48">
        <f>D!AI189</f>
        <v>0</v>
      </c>
      <c r="N89" s="48">
        <f>D!AI213</f>
        <v>0</v>
      </c>
      <c r="O89" s="48">
        <f>D!AI237</f>
        <v>0</v>
      </c>
      <c r="P89" s="48">
        <f>D!AI261</f>
        <v>0</v>
      </c>
      <c r="Q89" s="48">
        <f>D!AI285</f>
        <v>0</v>
      </c>
      <c r="R89" s="44">
        <f t="shared" si="32"/>
        <v>0</v>
      </c>
      <c r="S89" s="49">
        <f t="shared" si="33"/>
        <v>0</v>
      </c>
      <c r="U89" s="48">
        <f>D!AH21</f>
        <v>0</v>
      </c>
      <c r="V89" s="48">
        <f>D!AH45</f>
        <v>0</v>
      </c>
      <c r="W89" s="48">
        <f>D!AH69</f>
        <v>0</v>
      </c>
      <c r="X89" s="48">
        <f>D!AH93</f>
        <v>0</v>
      </c>
      <c r="Y89" s="48">
        <f>D!AH117</f>
        <v>0</v>
      </c>
      <c r="Z89" s="48">
        <f>D!AH141</f>
        <v>0</v>
      </c>
      <c r="AA89" s="48">
        <f>D!AH165</f>
        <v>0</v>
      </c>
      <c r="AB89" s="48">
        <f>D!AH189</f>
        <v>0</v>
      </c>
      <c r="AC89" s="48">
        <f>D!AH213</f>
        <v>0</v>
      </c>
      <c r="AD89" s="48">
        <f>D!AH237</f>
        <v>0</v>
      </c>
      <c r="AE89" s="48">
        <f>D!AH261</f>
        <v>0</v>
      </c>
      <c r="AF89" s="48">
        <f>D!AH285</f>
        <v>0</v>
      </c>
      <c r="AG89" s="20">
        <f t="shared" si="34"/>
        <v>0</v>
      </c>
      <c r="AH89" s="49">
        <f t="shared" si="31"/>
        <v>16</v>
      </c>
    </row>
    <row r="90" spans="1:34" ht="20.100000000000001" hidden="1" customHeight="1">
      <c r="A90" s="24" t="s">
        <v>60</v>
      </c>
      <c r="B90" s="20"/>
      <c r="C90" s="20"/>
      <c r="D90" s="20"/>
      <c r="E90" s="47">
        <f t="shared" si="35"/>
        <v>0</v>
      </c>
      <c r="F90" s="48">
        <f>D!AI22</f>
        <v>0</v>
      </c>
      <c r="G90" s="48">
        <f>D!AI46</f>
        <v>0</v>
      </c>
      <c r="H90" s="48">
        <f>D!AI70</f>
        <v>0</v>
      </c>
      <c r="I90" s="48">
        <f>D!AI94</f>
        <v>0</v>
      </c>
      <c r="J90" s="48">
        <f>D!AI118</f>
        <v>0</v>
      </c>
      <c r="K90" s="48">
        <f>D!AI142</f>
        <v>0</v>
      </c>
      <c r="L90" s="48">
        <f>D!AI166</f>
        <v>0</v>
      </c>
      <c r="M90" s="48">
        <f>D!AI190</f>
        <v>0</v>
      </c>
      <c r="N90" s="48">
        <f>D!AI214</f>
        <v>0</v>
      </c>
      <c r="O90" s="48">
        <f>D!AI238</f>
        <v>0</v>
      </c>
      <c r="P90" s="48">
        <f>D!AI262</f>
        <v>0</v>
      </c>
      <c r="Q90" s="48">
        <f>D!AI286</f>
        <v>0</v>
      </c>
      <c r="R90" s="44">
        <f t="shared" si="32"/>
        <v>0</v>
      </c>
      <c r="S90" s="49">
        <f t="shared" si="33"/>
        <v>0</v>
      </c>
      <c r="U90" s="48">
        <f>D!AH22</f>
        <v>0</v>
      </c>
      <c r="V90" s="48">
        <f>D!AH46</f>
        <v>0</v>
      </c>
      <c r="W90" s="48">
        <f>D!AH70</f>
        <v>0</v>
      </c>
      <c r="X90" s="48">
        <f>D!AH94</f>
        <v>0</v>
      </c>
      <c r="Y90" s="48">
        <f>D!AH118</f>
        <v>0</v>
      </c>
      <c r="Z90" s="48">
        <f>D!AH142</f>
        <v>0</v>
      </c>
      <c r="AA90" s="48">
        <f>D!AH166</f>
        <v>0</v>
      </c>
      <c r="AB90" s="48">
        <f>D!AH190</f>
        <v>0</v>
      </c>
      <c r="AC90" s="48">
        <f>D!AH214</f>
        <v>0</v>
      </c>
      <c r="AD90" s="48">
        <f>D!AH238</f>
        <v>0</v>
      </c>
      <c r="AE90" s="48">
        <f>D!AH262</f>
        <v>0</v>
      </c>
      <c r="AF90" s="48">
        <f>D!AH286</f>
        <v>0</v>
      </c>
      <c r="AG90" s="20">
        <f t="shared" si="34"/>
        <v>0</v>
      </c>
      <c r="AH90" s="49">
        <f t="shared" si="31"/>
        <v>16</v>
      </c>
    </row>
    <row r="91" spans="1:34" ht="20.100000000000001" hidden="1" customHeight="1">
      <c r="A91" s="24" t="s">
        <v>61</v>
      </c>
      <c r="B91" s="20"/>
      <c r="C91" s="20"/>
      <c r="D91" s="20"/>
      <c r="E91" s="47">
        <f t="shared" si="27"/>
        <v>0</v>
      </c>
      <c r="F91" s="48">
        <f>D!AI23</f>
        <v>0</v>
      </c>
      <c r="G91" s="48">
        <f>D!AI47</f>
        <v>0</v>
      </c>
      <c r="H91" s="48">
        <f>D!AI71</f>
        <v>0</v>
      </c>
      <c r="I91" s="48">
        <f>D!AI95</f>
        <v>0</v>
      </c>
      <c r="J91" s="48">
        <f>D!AI119</f>
        <v>0</v>
      </c>
      <c r="K91" s="48">
        <f>D!AI143</f>
        <v>0</v>
      </c>
      <c r="L91" s="48">
        <f>D!AI167</f>
        <v>0</v>
      </c>
      <c r="M91" s="48">
        <f>D!AI191</f>
        <v>0</v>
      </c>
      <c r="N91" s="48">
        <f>D!AI215</f>
        <v>0</v>
      </c>
      <c r="O91" s="48">
        <f>D!AI239</f>
        <v>0</v>
      </c>
      <c r="P91" s="48">
        <f>D!AI263</f>
        <v>0</v>
      </c>
      <c r="Q91" s="48">
        <f>D!AI287</f>
        <v>0</v>
      </c>
      <c r="R91" s="44">
        <f t="shared" si="32"/>
        <v>0</v>
      </c>
      <c r="S91" s="49">
        <f t="shared" si="33"/>
        <v>0</v>
      </c>
      <c r="U91" s="48">
        <f>D!AH23</f>
        <v>0</v>
      </c>
      <c r="V91" s="48">
        <f>D!AH47</f>
        <v>0</v>
      </c>
      <c r="W91" s="48">
        <f>D!AH71</f>
        <v>0</v>
      </c>
      <c r="X91" s="48">
        <f>D!AH95</f>
        <v>0</v>
      </c>
      <c r="Y91" s="48">
        <f>D!AH119</f>
        <v>0</v>
      </c>
      <c r="Z91" s="48">
        <f>D!AH143</f>
        <v>0</v>
      </c>
      <c r="AA91" s="48">
        <f>D!AH167</f>
        <v>0</v>
      </c>
      <c r="AB91" s="48">
        <f>D!AH191</f>
        <v>0</v>
      </c>
      <c r="AC91" s="48">
        <f>D!AH215</f>
        <v>0</v>
      </c>
      <c r="AD91" s="48">
        <f>D!AH239</f>
        <v>0</v>
      </c>
      <c r="AE91" s="48">
        <f>D!AH263</f>
        <v>0</v>
      </c>
      <c r="AF91" s="48">
        <f>D!AH287</f>
        <v>0</v>
      </c>
      <c r="AG91" s="20">
        <f t="shared" si="34"/>
        <v>0</v>
      </c>
      <c r="AH91" s="49">
        <f t="shared" si="31"/>
        <v>16</v>
      </c>
    </row>
    <row r="93" spans="1:34" ht="20.100000000000001" customHeight="1">
      <c r="A93" s="52" t="s">
        <v>40</v>
      </c>
      <c r="B93" s="51" t="s">
        <v>21</v>
      </c>
      <c r="C93" s="53" t="s">
        <v>41</v>
      </c>
      <c r="D93" s="51">
        <v>2021</v>
      </c>
      <c r="E93" s="43" t="s">
        <v>22</v>
      </c>
      <c r="F93" s="44" t="s">
        <v>23</v>
      </c>
      <c r="G93" s="44" t="s">
        <v>25</v>
      </c>
      <c r="H93" s="44" t="s">
        <v>27</v>
      </c>
      <c r="I93" s="44" t="s">
        <v>29</v>
      </c>
      <c r="J93" s="44" t="s">
        <v>30</v>
      </c>
      <c r="K93" s="44" t="s">
        <v>32</v>
      </c>
      <c r="L93" s="44" t="s">
        <v>33</v>
      </c>
      <c r="M93" s="44" t="s">
        <v>34</v>
      </c>
      <c r="N93" s="44" t="s">
        <v>35</v>
      </c>
      <c r="O93" s="44" t="s">
        <v>2</v>
      </c>
      <c r="P93" s="44" t="s">
        <v>36</v>
      </c>
      <c r="Q93" s="44" t="s">
        <v>37</v>
      </c>
      <c r="R93" s="51" t="s">
        <v>39</v>
      </c>
      <c r="S93" s="45" t="s">
        <v>38</v>
      </c>
    </row>
    <row r="94" spans="1:34" ht="20.100000000000001" customHeight="1">
      <c r="A94" s="52"/>
      <c r="B94" s="51"/>
      <c r="C94" s="53"/>
      <c r="D94" s="51"/>
      <c r="E94" s="43"/>
      <c r="F94" s="44" t="s">
        <v>20</v>
      </c>
      <c r="G94" s="44" t="s">
        <v>20</v>
      </c>
      <c r="H94" s="44" t="s">
        <v>20</v>
      </c>
      <c r="I94" s="44" t="s">
        <v>20</v>
      </c>
      <c r="J94" s="44" t="s">
        <v>20</v>
      </c>
      <c r="K94" s="44" t="s">
        <v>20</v>
      </c>
      <c r="L94" s="44" t="s">
        <v>20</v>
      </c>
      <c r="M94" s="44" t="s">
        <v>20</v>
      </c>
      <c r="N94" s="44" t="s">
        <v>20</v>
      </c>
      <c r="O94" s="44" t="s">
        <v>20</v>
      </c>
      <c r="P94" s="44" t="s">
        <v>20</v>
      </c>
      <c r="Q94" s="44" t="s">
        <v>20</v>
      </c>
      <c r="R94" s="51"/>
      <c r="S94" s="45" t="s">
        <v>20</v>
      </c>
    </row>
    <row r="95" spans="1:34" ht="20.100000000000001" customHeight="1">
      <c r="A95" s="24" t="s">
        <v>91</v>
      </c>
      <c r="B95" s="20"/>
      <c r="C95" s="20"/>
      <c r="D95" s="20">
        <v>30</v>
      </c>
      <c r="E95" s="47">
        <f t="shared" ref="E95" si="36">SUM(B95:D95)</f>
        <v>30</v>
      </c>
      <c r="F95" s="48">
        <f>N!AI4</f>
        <v>0</v>
      </c>
      <c r="G95" s="48">
        <f>N!AI28</f>
        <v>0</v>
      </c>
      <c r="H95" s="48">
        <f>N!AI52</f>
        <v>0</v>
      </c>
      <c r="I95" s="48">
        <f>N!AI76</f>
        <v>0</v>
      </c>
      <c r="J95" s="48">
        <f>N!AI100</f>
        <v>0</v>
      </c>
      <c r="K95" s="48">
        <f>N!AI124</f>
        <v>0</v>
      </c>
      <c r="L95" s="48">
        <f>N!AI148</f>
        <v>0</v>
      </c>
      <c r="M95" s="48">
        <f>N!AI172</f>
        <v>0</v>
      </c>
      <c r="N95" s="48">
        <f>N!AI196</f>
        <v>0</v>
      </c>
      <c r="O95" s="48">
        <f>N!AI220</f>
        <v>0</v>
      </c>
      <c r="P95" s="48">
        <f>N!AI244</f>
        <v>0</v>
      </c>
      <c r="Q95" s="48">
        <f>N!AI268</f>
        <v>0</v>
      </c>
      <c r="R95" s="44">
        <f t="shared" ref="R95" si="37">SUM(F95+G95+H95+I95+J95+K95+L95+M95+N95+O95+P95+Q95)</f>
        <v>0</v>
      </c>
      <c r="S95" s="49">
        <f t="shared" ref="S95" si="38">SUM(E95-R95)</f>
        <v>30</v>
      </c>
    </row>
    <row r="96" spans="1:34" ht="20.100000000000001" customHeight="1">
      <c r="A96" s="24" t="s">
        <v>92</v>
      </c>
      <c r="B96" s="20"/>
      <c r="C96" s="20"/>
      <c r="D96" s="20">
        <v>30</v>
      </c>
      <c r="E96" s="47">
        <f t="shared" ref="E96:E114" si="39">SUM(B96:D96)</f>
        <v>30</v>
      </c>
      <c r="F96" s="48">
        <f>N!AI5</f>
        <v>0</v>
      </c>
      <c r="G96" s="48">
        <f>N!AI29</f>
        <v>0</v>
      </c>
      <c r="H96" s="48">
        <f>N!AI53</f>
        <v>0</v>
      </c>
      <c r="I96" s="48">
        <f>N!AI77</f>
        <v>0</v>
      </c>
      <c r="J96" s="48">
        <f>N!AI101</f>
        <v>0</v>
      </c>
      <c r="K96" s="48">
        <f>N!AI125</f>
        <v>0</v>
      </c>
      <c r="L96" s="48">
        <f>N!AI149</f>
        <v>0</v>
      </c>
      <c r="M96" s="48">
        <f>N!AI173</f>
        <v>0</v>
      </c>
      <c r="N96" s="48">
        <f>N!AI197</f>
        <v>0</v>
      </c>
      <c r="O96" s="48">
        <f>N!AI221</f>
        <v>0</v>
      </c>
      <c r="P96" s="48">
        <f>N!AI245</f>
        <v>0</v>
      </c>
      <c r="Q96" s="48">
        <f>N!AI269</f>
        <v>0</v>
      </c>
      <c r="R96" s="44">
        <f t="shared" ref="R96:R114" si="40">SUM(F96+G96+H96+I96+J96+K96+L96+M96+N96+O96+P96+Q96)</f>
        <v>0</v>
      </c>
      <c r="S96" s="49">
        <f t="shared" ref="S96:S114" si="41">SUM(E96-R96)</f>
        <v>30</v>
      </c>
    </row>
    <row r="97" spans="1:19" ht="20.100000000000001" customHeight="1">
      <c r="A97" s="24" t="s">
        <v>94</v>
      </c>
      <c r="B97" s="20"/>
      <c r="C97" s="20"/>
      <c r="D97" s="20"/>
      <c r="E97" s="47">
        <f t="shared" si="39"/>
        <v>0</v>
      </c>
      <c r="F97" s="48">
        <f>N!AI6</f>
        <v>5</v>
      </c>
      <c r="G97" s="48">
        <f>N!AI30</f>
        <v>0</v>
      </c>
      <c r="H97" s="48">
        <f>N!AI54</f>
        <v>0</v>
      </c>
      <c r="I97" s="48">
        <f>N!AI78</f>
        <v>0</v>
      </c>
      <c r="J97" s="48">
        <f>N!AI102</f>
        <v>0</v>
      </c>
      <c r="K97" s="48">
        <f>N!AI126</f>
        <v>0</v>
      </c>
      <c r="L97" s="48">
        <f>N!AI150</f>
        <v>0</v>
      </c>
      <c r="M97" s="48">
        <f>N!AI174</f>
        <v>0</v>
      </c>
      <c r="N97" s="48">
        <f>N!AI198</f>
        <v>0</v>
      </c>
      <c r="O97" s="48">
        <f>N!AI222</f>
        <v>0</v>
      </c>
      <c r="P97" s="48">
        <f>N!AI246</f>
        <v>0</v>
      </c>
      <c r="Q97" s="48">
        <f>N!AI270</f>
        <v>0</v>
      </c>
      <c r="R97" s="44">
        <f t="shared" si="40"/>
        <v>5</v>
      </c>
      <c r="S97" s="49">
        <f t="shared" si="41"/>
        <v>-5</v>
      </c>
    </row>
    <row r="98" spans="1:19" ht="20.100000000000001" customHeight="1">
      <c r="A98" s="24" t="s">
        <v>99</v>
      </c>
      <c r="B98" s="20"/>
      <c r="C98" s="20"/>
      <c r="D98" s="20"/>
      <c r="E98" s="47">
        <f t="shared" si="39"/>
        <v>0</v>
      </c>
      <c r="F98" s="48">
        <f>N!AI7</f>
        <v>0</v>
      </c>
      <c r="G98" s="48">
        <f>N!AI31</f>
        <v>0</v>
      </c>
      <c r="H98" s="48">
        <f>N!AI55</f>
        <v>0</v>
      </c>
      <c r="I98" s="48">
        <f>N!AI79</f>
        <v>0</v>
      </c>
      <c r="J98" s="48">
        <f>N!AI103</f>
        <v>0</v>
      </c>
      <c r="K98" s="48">
        <f>N!AI127</f>
        <v>0</v>
      </c>
      <c r="L98" s="48">
        <f>N!AI151</f>
        <v>0</v>
      </c>
      <c r="M98" s="48">
        <f>N!AI175</f>
        <v>0</v>
      </c>
      <c r="N98" s="48">
        <f>N!AI199</f>
        <v>0</v>
      </c>
      <c r="O98" s="48">
        <f>N!AI223</f>
        <v>0</v>
      </c>
      <c r="P98" s="48">
        <f>N!AI247</f>
        <v>0</v>
      </c>
      <c r="Q98" s="48">
        <f>N!AI271</f>
        <v>0</v>
      </c>
      <c r="R98" s="44">
        <f t="shared" si="40"/>
        <v>0</v>
      </c>
      <c r="S98" s="49">
        <f t="shared" si="41"/>
        <v>0</v>
      </c>
    </row>
    <row r="99" spans="1:19" ht="20.100000000000001" customHeight="1">
      <c r="A99" s="24" t="s">
        <v>95</v>
      </c>
      <c r="B99" s="20"/>
      <c r="C99" s="20"/>
      <c r="D99" s="20">
        <v>30</v>
      </c>
      <c r="E99" s="47">
        <f t="shared" si="39"/>
        <v>30</v>
      </c>
      <c r="F99" s="48">
        <f>N!AI8</f>
        <v>0</v>
      </c>
      <c r="G99" s="48">
        <f>N!AI32</f>
        <v>0</v>
      </c>
      <c r="H99" s="48">
        <f>N!AI56</f>
        <v>0</v>
      </c>
      <c r="I99" s="48">
        <f>N!AI80</f>
        <v>0</v>
      </c>
      <c r="J99" s="48">
        <f>N!AI104</f>
        <v>0</v>
      </c>
      <c r="K99" s="48">
        <f>N!AI128</f>
        <v>0</v>
      </c>
      <c r="L99" s="48">
        <f>N!AI152</f>
        <v>0</v>
      </c>
      <c r="M99" s="48">
        <f>N!AI176</f>
        <v>0</v>
      </c>
      <c r="N99" s="48">
        <f>N!AI200</f>
        <v>0</v>
      </c>
      <c r="O99" s="48">
        <f>N!AI224</f>
        <v>0</v>
      </c>
      <c r="P99" s="48">
        <f>N!AI248</f>
        <v>0</v>
      </c>
      <c r="Q99" s="48">
        <f>N!AI272</f>
        <v>0</v>
      </c>
      <c r="R99" s="44">
        <f t="shared" si="40"/>
        <v>0</v>
      </c>
      <c r="S99" s="49">
        <f t="shared" si="41"/>
        <v>30</v>
      </c>
    </row>
    <row r="100" spans="1:19" ht="20.100000000000001" customHeight="1">
      <c r="A100" s="24" t="s">
        <v>100</v>
      </c>
      <c r="B100" s="20"/>
      <c r="C100" s="20"/>
      <c r="D100" s="20"/>
      <c r="E100" s="47">
        <f t="shared" si="39"/>
        <v>0</v>
      </c>
      <c r="F100" s="48">
        <f>N!AI9</f>
        <v>0</v>
      </c>
      <c r="G100" s="48">
        <f>N!AI33</f>
        <v>0</v>
      </c>
      <c r="H100" s="48">
        <f>N!AI57</f>
        <v>0</v>
      </c>
      <c r="I100" s="48">
        <f>N!AI81</f>
        <v>0</v>
      </c>
      <c r="J100" s="48">
        <f>N!AI105</f>
        <v>0</v>
      </c>
      <c r="K100" s="48">
        <f>N!AI129</f>
        <v>0</v>
      </c>
      <c r="L100" s="48">
        <f>N!AI153</f>
        <v>0</v>
      </c>
      <c r="M100" s="48">
        <f>N!AI177</f>
        <v>0</v>
      </c>
      <c r="N100" s="48">
        <f>N!AI201</f>
        <v>0</v>
      </c>
      <c r="O100" s="48">
        <f>N!AI225</f>
        <v>0</v>
      </c>
      <c r="P100" s="48">
        <f>N!AI249</f>
        <v>0</v>
      </c>
      <c r="Q100" s="48">
        <f>N!AI273</f>
        <v>0</v>
      </c>
      <c r="R100" s="44">
        <f t="shared" si="40"/>
        <v>0</v>
      </c>
      <c r="S100" s="49">
        <f t="shared" si="41"/>
        <v>0</v>
      </c>
    </row>
    <row r="101" spans="1:19" ht="20.100000000000001" customHeight="1">
      <c r="A101" s="24" t="s">
        <v>93</v>
      </c>
      <c r="B101" s="20"/>
      <c r="C101" s="20"/>
      <c r="D101" s="20">
        <v>30</v>
      </c>
      <c r="E101" s="47">
        <f t="shared" si="39"/>
        <v>30</v>
      </c>
      <c r="F101" s="48">
        <f>N!AI10</f>
        <v>0</v>
      </c>
      <c r="G101" s="48">
        <f>N!AI34</f>
        <v>0</v>
      </c>
      <c r="H101" s="48">
        <f>N!AI58</f>
        <v>0</v>
      </c>
      <c r="I101" s="48">
        <f>N!AI82</f>
        <v>0</v>
      </c>
      <c r="J101" s="48">
        <f>N!AI106</f>
        <v>0</v>
      </c>
      <c r="K101" s="48">
        <f>N!AI130</f>
        <v>0</v>
      </c>
      <c r="L101" s="48">
        <f>N!AI154</f>
        <v>0</v>
      </c>
      <c r="M101" s="48">
        <f>N!AI178</f>
        <v>0</v>
      </c>
      <c r="N101" s="48">
        <f>N!AI202</f>
        <v>0</v>
      </c>
      <c r="O101" s="48">
        <f>N!AI226</f>
        <v>0</v>
      </c>
      <c r="P101" s="48">
        <f>N!AI250</f>
        <v>0</v>
      </c>
      <c r="Q101" s="48">
        <f>N!AI274</f>
        <v>0</v>
      </c>
      <c r="R101" s="44">
        <f t="shared" si="40"/>
        <v>0</v>
      </c>
      <c r="S101" s="49">
        <f t="shared" si="41"/>
        <v>30</v>
      </c>
    </row>
    <row r="102" spans="1:19" ht="20.100000000000001" customHeight="1">
      <c r="A102" s="24" t="s">
        <v>96</v>
      </c>
      <c r="B102" s="20"/>
      <c r="C102" s="20"/>
      <c r="D102" s="20">
        <v>30</v>
      </c>
      <c r="E102" s="47">
        <f t="shared" si="39"/>
        <v>30</v>
      </c>
      <c r="F102" s="48">
        <f>N!AI11</f>
        <v>0</v>
      </c>
      <c r="G102" s="48">
        <f>N!AI35</f>
        <v>0</v>
      </c>
      <c r="H102" s="48">
        <f>N!AI59</f>
        <v>0</v>
      </c>
      <c r="I102" s="48">
        <f>N!AI83</f>
        <v>0</v>
      </c>
      <c r="J102" s="48">
        <f>N!AI107</f>
        <v>0</v>
      </c>
      <c r="K102" s="48">
        <f>N!AI131</f>
        <v>0</v>
      </c>
      <c r="L102" s="48">
        <f>N!AI155</f>
        <v>0</v>
      </c>
      <c r="M102" s="48">
        <f>N!AI179</f>
        <v>0</v>
      </c>
      <c r="N102" s="48">
        <f>N!AI203</f>
        <v>0</v>
      </c>
      <c r="O102" s="48">
        <f>N!AI227</f>
        <v>0</v>
      </c>
      <c r="P102" s="48">
        <f>N!AI251</f>
        <v>0</v>
      </c>
      <c r="Q102" s="48">
        <f>N!AI275</f>
        <v>0</v>
      </c>
      <c r="R102" s="44">
        <f t="shared" si="40"/>
        <v>0</v>
      </c>
      <c r="S102" s="49">
        <f t="shared" si="41"/>
        <v>30</v>
      </c>
    </row>
    <row r="103" spans="1:19" ht="20.100000000000001" customHeight="1">
      <c r="A103" s="24" t="s">
        <v>97</v>
      </c>
      <c r="B103" s="20"/>
      <c r="C103" s="20"/>
      <c r="D103" s="20"/>
      <c r="E103" s="47">
        <f t="shared" si="39"/>
        <v>0</v>
      </c>
      <c r="F103" s="48">
        <f>N!AI12</f>
        <v>0</v>
      </c>
      <c r="G103" s="48">
        <f>N!AI36</f>
        <v>0</v>
      </c>
      <c r="H103" s="48">
        <f>N!AI60</f>
        <v>0</v>
      </c>
      <c r="I103" s="48">
        <f>N!AI84</f>
        <v>0</v>
      </c>
      <c r="J103" s="48">
        <f>N!AI108</f>
        <v>0</v>
      </c>
      <c r="K103" s="48">
        <f>N!AI132</f>
        <v>0</v>
      </c>
      <c r="L103" s="48">
        <f>N!AI156</f>
        <v>0</v>
      </c>
      <c r="M103" s="48">
        <f>N!AI180</f>
        <v>0</v>
      </c>
      <c r="N103" s="48">
        <f>N!AI204</f>
        <v>0</v>
      </c>
      <c r="O103" s="48">
        <f>N!AI228</f>
        <v>0</v>
      </c>
      <c r="P103" s="48">
        <f>N!AI252</f>
        <v>0</v>
      </c>
      <c r="Q103" s="48">
        <f>N!AI276</f>
        <v>0</v>
      </c>
      <c r="R103" s="44">
        <f t="shared" si="40"/>
        <v>0</v>
      </c>
      <c r="S103" s="49">
        <f t="shared" si="41"/>
        <v>0</v>
      </c>
    </row>
    <row r="104" spans="1:19" ht="20.100000000000001" hidden="1" customHeight="1">
      <c r="A104" s="24" t="s">
        <v>44</v>
      </c>
      <c r="B104" s="20"/>
      <c r="C104" s="20"/>
      <c r="D104" s="20"/>
      <c r="E104" s="47">
        <f t="shared" si="39"/>
        <v>0</v>
      </c>
      <c r="F104" s="48">
        <f>N!AI13</f>
        <v>0</v>
      </c>
      <c r="G104" s="48">
        <f>N!AI37</f>
        <v>0</v>
      </c>
      <c r="H104" s="48">
        <f>N!AI61</f>
        <v>0</v>
      </c>
      <c r="I104" s="48">
        <f>N!AI85</f>
        <v>0</v>
      </c>
      <c r="J104" s="48">
        <f>N!AI109</f>
        <v>0</v>
      </c>
      <c r="K104" s="48">
        <f>N!AI133</f>
        <v>0</v>
      </c>
      <c r="L104" s="48">
        <f>N!AI157</f>
        <v>0</v>
      </c>
      <c r="M104" s="48">
        <f>N!AI181</f>
        <v>0</v>
      </c>
      <c r="N104" s="48">
        <f>N!AI205</f>
        <v>0</v>
      </c>
      <c r="O104" s="48">
        <f>N!AI229</f>
        <v>0</v>
      </c>
      <c r="P104" s="48">
        <f>N!AI253</f>
        <v>0</v>
      </c>
      <c r="Q104" s="48">
        <f>N!AI277</f>
        <v>0</v>
      </c>
      <c r="R104" s="44">
        <f t="shared" si="40"/>
        <v>0</v>
      </c>
      <c r="S104" s="49">
        <f t="shared" si="41"/>
        <v>0</v>
      </c>
    </row>
    <row r="105" spans="1:19" ht="20.100000000000001" hidden="1" customHeight="1">
      <c r="A105" s="24" t="s">
        <v>45</v>
      </c>
      <c r="B105" s="20"/>
      <c r="C105" s="20"/>
      <c r="D105" s="20"/>
      <c r="E105" s="47">
        <f t="shared" si="39"/>
        <v>0</v>
      </c>
      <c r="F105" s="48">
        <f>N!AI14</f>
        <v>0</v>
      </c>
      <c r="G105" s="48">
        <f>N!AI38</f>
        <v>0</v>
      </c>
      <c r="H105" s="48">
        <f>N!AI62</f>
        <v>0</v>
      </c>
      <c r="I105" s="48">
        <f>N!AI86</f>
        <v>0</v>
      </c>
      <c r="J105" s="48">
        <f>N!AI110</f>
        <v>0</v>
      </c>
      <c r="K105" s="48">
        <f>N!AI134</f>
        <v>0</v>
      </c>
      <c r="L105" s="48">
        <f>N!AI158</f>
        <v>0</v>
      </c>
      <c r="M105" s="48">
        <f>N!AI182</f>
        <v>0</v>
      </c>
      <c r="N105" s="48">
        <f>N!AI206</f>
        <v>0</v>
      </c>
      <c r="O105" s="48">
        <f>N!AI230</f>
        <v>0</v>
      </c>
      <c r="P105" s="48">
        <f>N!AI254</f>
        <v>0</v>
      </c>
      <c r="Q105" s="48">
        <f>N!AI278</f>
        <v>0</v>
      </c>
      <c r="R105" s="44">
        <f t="shared" si="40"/>
        <v>0</v>
      </c>
      <c r="S105" s="49">
        <f t="shared" si="41"/>
        <v>0</v>
      </c>
    </row>
    <row r="106" spans="1:19" ht="20.100000000000001" hidden="1" customHeight="1">
      <c r="A106" s="24" t="s">
        <v>46</v>
      </c>
      <c r="B106" s="20"/>
      <c r="C106" s="20"/>
      <c r="D106" s="20"/>
      <c r="E106" s="47">
        <f t="shared" si="39"/>
        <v>0</v>
      </c>
      <c r="F106" s="48">
        <f>N!AI15</f>
        <v>0</v>
      </c>
      <c r="G106" s="48">
        <f>N!AI39</f>
        <v>0</v>
      </c>
      <c r="H106" s="48">
        <f>N!AI63</f>
        <v>0</v>
      </c>
      <c r="I106" s="48">
        <f>N!AI87</f>
        <v>0</v>
      </c>
      <c r="J106" s="48">
        <f>N!AI111</f>
        <v>0</v>
      </c>
      <c r="K106" s="48">
        <f>N!AI135</f>
        <v>0</v>
      </c>
      <c r="L106" s="48">
        <f>N!AI159</f>
        <v>0</v>
      </c>
      <c r="M106" s="48">
        <f>N!AI183</f>
        <v>0</v>
      </c>
      <c r="N106" s="48">
        <f>N!AI207</f>
        <v>0</v>
      </c>
      <c r="O106" s="48">
        <f>N!AI231</f>
        <v>0</v>
      </c>
      <c r="P106" s="48">
        <f>N!AI255</f>
        <v>0</v>
      </c>
      <c r="Q106" s="48">
        <f>N!AI279</f>
        <v>0</v>
      </c>
      <c r="R106" s="44">
        <f t="shared" si="40"/>
        <v>0</v>
      </c>
      <c r="S106" s="49">
        <f t="shared" si="41"/>
        <v>0</v>
      </c>
    </row>
    <row r="107" spans="1:19" ht="20.100000000000001" hidden="1" customHeight="1">
      <c r="A107" s="24" t="s">
        <v>47</v>
      </c>
      <c r="B107" s="20"/>
      <c r="C107" s="20"/>
      <c r="D107" s="20"/>
      <c r="E107" s="47">
        <f t="shared" si="39"/>
        <v>0</v>
      </c>
      <c r="F107" s="48">
        <f>N!AI16</f>
        <v>0</v>
      </c>
      <c r="G107" s="48">
        <f>N!AI40</f>
        <v>0</v>
      </c>
      <c r="H107" s="48">
        <f>N!AI64</f>
        <v>0</v>
      </c>
      <c r="I107" s="48">
        <f>N!AI88</f>
        <v>0</v>
      </c>
      <c r="J107" s="48">
        <f>N!AI112</f>
        <v>0</v>
      </c>
      <c r="K107" s="48">
        <f>N!AI136</f>
        <v>0</v>
      </c>
      <c r="L107" s="48">
        <f>N!AI160</f>
        <v>0</v>
      </c>
      <c r="M107" s="48">
        <f>N!AI184</f>
        <v>0</v>
      </c>
      <c r="N107" s="48">
        <f>N!AI208</f>
        <v>0</v>
      </c>
      <c r="O107" s="48">
        <f>N!AI232</f>
        <v>0</v>
      </c>
      <c r="P107" s="48">
        <f>N!AI256</f>
        <v>0</v>
      </c>
      <c r="Q107" s="48">
        <f>N!AI280</f>
        <v>0</v>
      </c>
      <c r="R107" s="44">
        <f t="shared" si="40"/>
        <v>0</v>
      </c>
      <c r="S107" s="49">
        <f t="shared" si="41"/>
        <v>0</v>
      </c>
    </row>
    <row r="108" spans="1:19" ht="20.100000000000001" hidden="1" customHeight="1">
      <c r="A108" s="24" t="s">
        <v>48</v>
      </c>
      <c r="B108" s="20"/>
      <c r="C108" s="20"/>
      <c r="D108" s="20"/>
      <c r="E108" s="47">
        <f t="shared" si="39"/>
        <v>0</v>
      </c>
      <c r="F108" s="48">
        <f>N!AI17</f>
        <v>0</v>
      </c>
      <c r="G108" s="48">
        <f>N!AI41</f>
        <v>0</v>
      </c>
      <c r="H108" s="48">
        <f>N!AI65</f>
        <v>0</v>
      </c>
      <c r="I108" s="48">
        <f>N!AI89</f>
        <v>0</v>
      </c>
      <c r="J108" s="48">
        <f>N!AI113</f>
        <v>0</v>
      </c>
      <c r="K108" s="48">
        <f>N!AI137</f>
        <v>0</v>
      </c>
      <c r="L108" s="48">
        <f>N!AI161</f>
        <v>0</v>
      </c>
      <c r="M108" s="48">
        <f>N!AI185</f>
        <v>0</v>
      </c>
      <c r="N108" s="48">
        <f>N!AI209</f>
        <v>0</v>
      </c>
      <c r="O108" s="48">
        <f>N!AI233</f>
        <v>0</v>
      </c>
      <c r="P108" s="48">
        <f>N!AI257</f>
        <v>0</v>
      </c>
      <c r="Q108" s="48">
        <f>N!AI281</f>
        <v>0</v>
      </c>
      <c r="R108" s="44">
        <f t="shared" si="40"/>
        <v>0</v>
      </c>
      <c r="S108" s="49">
        <f t="shared" si="41"/>
        <v>0</v>
      </c>
    </row>
    <row r="109" spans="1:19" ht="20.100000000000001" hidden="1" customHeight="1">
      <c r="A109" s="24" t="s">
        <v>43</v>
      </c>
      <c r="B109" s="20"/>
      <c r="C109" s="20"/>
      <c r="D109" s="20"/>
      <c r="E109" s="47">
        <f t="shared" si="39"/>
        <v>0</v>
      </c>
      <c r="F109" s="48">
        <f>N!AI18</f>
        <v>0</v>
      </c>
      <c r="G109" s="48">
        <f>N!AI42</f>
        <v>0</v>
      </c>
      <c r="H109" s="48">
        <f>N!AI66</f>
        <v>0</v>
      </c>
      <c r="I109" s="48">
        <f>N!AI90</f>
        <v>0</v>
      </c>
      <c r="J109" s="48">
        <f>N!AI114</f>
        <v>0</v>
      </c>
      <c r="K109" s="48">
        <f>N!AI138</f>
        <v>0</v>
      </c>
      <c r="L109" s="48">
        <f>N!AI162</f>
        <v>0</v>
      </c>
      <c r="M109" s="48">
        <f>N!AI186</f>
        <v>0</v>
      </c>
      <c r="N109" s="48">
        <f>N!AI210</f>
        <v>0</v>
      </c>
      <c r="O109" s="48">
        <f>N!AI234</f>
        <v>0</v>
      </c>
      <c r="P109" s="48">
        <f>N!AI258</f>
        <v>0</v>
      </c>
      <c r="Q109" s="48">
        <f>N!AI282</f>
        <v>0</v>
      </c>
      <c r="R109" s="44">
        <f t="shared" si="40"/>
        <v>0</v>
      </c>
      <c r="S109" s="49">
        <f t="shared" si="41"/>
        <v>0</v>
      </c>
    </row>
    <row r="110" spans="1:19" ht="20.100000000000001" hidden="1" customHeight="1">
      <c r="A110" s="24" t="s">
        <v>57</v>
      </c>
      <c r="B110" s="20"/>
      <c r="C110" s="20"/>
      <c r="D110" s="20"/>
      <c r="E110" s="47">
        <f t="shared" si="39"/>
        <v>0</v>
      </c>
      <c r="F110" s="48">
        <f>N!AI19</f>
        <v>0</v>
      </c>
      <c r="G110" s="48">
        <f>N!AI43</f>
        <v>0</v>
      </c>
      <c r="H110" s="48">
        <f>N!AI67</f>
        <v>0</v>
      </c>
      <c r="I110" s="48">
        <f>N!AI91</f>
        <v>0</v>
      </c>
      <c r="J110" s="48">
        <f>N!AI115</f>
        <v>0</v>
      </c>
      <c r="K110" s="48">
        <f>N!AI139</f>
        <v>0</v>
      </c>
      <c r="L110" s="48">
        <f>N!AI163</f>
        <v>0</v>
      </c>
      <c r="M110" s="48">
        <f>N!AI187</f>
        <v>0</v>
      </c>
      <c r="N110" s="48">
        <f>N!AI211</f>
        <v>0</v>
      </c>
      <c r="O110" s="48">
        <f>N!AI235</f>
        <v>0</v>
      </c>
      <c r="P110" s="48">
        <f>N!AI259</f>
        <v>0</v>
      </c>
      <c r="Q110" s="48">
        <f>N!AI283</f>
        <v>0</v>
      </c>
      <c r="R110" s="44">
        <f t="shared" si="40"/>
        <v>0</v>
      </c>
      <c r="S110" s="49">
        <f t="shared" si="41"/>
        <v>0</v>
      </c>
    </row>
    <row r="111" spans="1:19" ht="20.100000000000001" hidden="1" customHeight="1">
      <c r="A111" s="24" t="s">
        <v>58</v>
      </c>
      <c r="B111" s="20"/>
      <c r="C111" s="20"/>
      <c r="D111" s="20"/>
      <c r="E111" s="47">
        <f t="shared" si="39"/>
        <v>0</v>
      </c>
      <c r="F111" s="48">
        <f>N!AI20</f>
        <v>0</v>
      </c>
      <c r="G111" s="48">
        <f>N!AI44</f>
        <v>0</v>
      </c>
      <c r="H111" s="48">
        <f>N!AI68</f>
        <v>0</v>
      </c>
      <c r="I111" s="48">
        <f>N!AI92</f>
        <v>0</v>
      </c>
      <c r="J111" s="48">
        <f>N!AI116</f>
        <v>0</v>
      </c>
      <c r="K111" s="48">
        <f>N!AI140</f>
        <v>0</v>
      </c>
      <c r="L111" s="48">
        <f>N!AI164</f>
        <v>0</v>
      </c>
      <c r="M111" s="48">
        <f>N!AI188</f>
        <v>0</v>
      </c>
      <c r="N111" s="48">
        <f>N!AI212</f>
        <v>0</v>
      </c>
      <c r="O111" s="48">
        <f>N!AI236</f>
        <v>0</v>
      </c>
      <c r="P111" s="48">
        <f>N!AI260</f>
        <v>0</v>
      </c>
      <c r="Q111" s="48">
        <f>N!AI284</f>
        <v>0</v>
      </c>
      <c r="R111" s="44">
        <f t="shared" si="40"/>
        <v>0</v>
      </c>
      <c r="S111" s="49">
        <f t="shared" si="41"/>
        <v>0</v>
      </c>
    </row>
    <row r="112" spans="1:19" ht="20.100000000000001" hidden="1" customHeight="1">
      <c r="A112" s="24" t="s">
        <v>59</v>
      </c>
      <c r="B112" s="20"/>
      <c r="C112" s="20"/>
      <c r="D112" s="20"/>
      <c r="E112" s="47">
        <f t="shared" si="39"/>
        <v>0</v>
      </c>
      <c r="F112" s="48">
        <f>N!AI21</f>
        <v>0</v>
      </c>
      <c r="G112" s="48">
        <f>N!AI45</f>
        <v>0</v>
      </c>
      <c r="H112" s="48">
        <f>N!AI69</f>
        <v>0</v>
      </c>
      <c r="I112" s="48">
        <f>N!AI93</f>
        <v>0</v>
      </c>
      <c r="J112" s="48">
        <f>N!AI117</f>
        <v>0</v>
      </c>
      <c r="K112" s="48">
        <f>N!AI141</f>
        <v>0</v>
      </c>
      <c r="L112" s="48">
        <f>N!AI165</f>
        <v>0</v>
      </c>
      <c r="M112" s="48">
        <f>N!AI189</f>
        <v>0</v>
      </c>
      <c r="N112" s="48">
        <f>N!AI213</f>
        <v>0</v>
      </c>
      <c r="O112" s="48">
        <f>N!AI237</f>
        <v>0</v>
      </c>
      <c r="P112" s="48">
        <f>N!AI261</f>
        <v>0</v>
      </c>
      <c r="Q112" s="48">
        <f>N!AI285</f>
        <v>0</v>
      </c>
      <c r="R112" s="44">
        <f t="shared" si="40"/>
        <v>0</v>
      </c>
      <c r="S112" s="49">
        <f t="shared" si="41"/>
        <v>0</v>
      </c>
    </row>
    <row r="113" spans="1:19" ht="20.100000000000001" hidden="1" customHeight="1">
      <c r="A113" s="24" t="s">
        <v>60</v>
      </c>
      <c r="B113" s="20"/>
      <c r="C113" s="20"/>
      <c r="D113" s="20"/>
      <c r="E113" s="47">
        <f t="shared" si="39"/>
        <v>0</v>
      </c>
      <c r="F113" s="48">
        <f>N!AI22</f>
        <v>0</v>
      </c>
      <c r="G113" s="48">
        <f>N!AI46</f>
        <v>0</v>
      </c>
      <c r="H113" s="48">
        <f>N!AI70</f>
        <v>0</v>
      </c>
      <c r="I113" s="48">
        <f>N!AI94</f>
        <v>0</v>
      </c>
      <c r="J113" s="48">
        <f>N!AI118</f>
        <v>0</v>
      </c>
      <c r="K113" s="48">
        <f>N!AI142</f>
        <v>0</v>
      </c>
      <c r="L113" s="48">
        <f>N!AI166</f>
        <v>0</v>
      </c>
      <c r="M113" s="48">
        <f>N!AI190</f>
        <v>0</v>
      </c>
      <c r="N113" s="48">
        <f>N!AI214</f>
        <v>0</v>
      </c>
      <c r="O113" s="48">
        <f>N!AI238</f>
        <v>0</v>
      </c>
      <c r="P113" s="48">
        <f>N!AI262</f>
        <v>0</v>
      </c>
      <c r="Q113" s="48">
        <f>N!AI286</f>
        <v>0</v>
      </c>
      <c r="R113" s="44">
        <f t="shared" si="40"/>
        <v>0</v>
      </c>
      <c r="S113" s="49">
        <f t="shared" si="41"/>
        <v>0</v>
      </c>
    </row>
    <row r="114" spans="1:19" ht="20.100000000000001" hidden="1" customHeight="1">
      <c r="A114" s="24" t="s">
        <v>61</v>
      </c>
      <c r="B114" s="20"/>
      <c r="C114" s="20"/>
      <c r="D114" s="20"/>
      <c r="E114" s="47">
        <f t="shared" si="39"/>
        <v>0</v>
      </c>
      <c r="F114" s="48">
        <f>N!AI23</f>
        <v>0</v>
      </c>
      <c r="G114" s="48">
        <f>N!AI47</f>
        <v>0</v>
      </c>
      <c r="H114" s="48">
        <f>N!AI71</f>
        <v>0</v>
      </c>
      <c r="I114" s="48">
        <f>N!AI95</f>
        <v>0</v>
      </c>
      <c r="J114" s="48">
        <f>N!AI119</f>
        <v>0</v>
      </c>
      <c r="K114" s="48">
        <f>N!AI143</f>
        <v>0</v>
      </c>
      <c r="L114" s="48">
        <f>N!AI167</f>
        <v>0</v>
      </c>
      <c r="M114" s="48">
        <f>N!AI191</f>
        <v>0</v>
      </c>
      <c r="N114" s="48">
        <f>N!AI215</f>
        <v>0</v>
      </c>
      <c r="O114" s="48">
        <f>N!AI239</f>
        <v>0</v>
      </c>
      <c r="P114" s="48">
        <f>N!AI263</f>
        <v>0</v>
      </c>
      <c r="Q114" s="48">
        <f>N!AI287</f>
        <v>0</v>
      </c>
      <c r="R114" s="44">
        <f t="shared" si="40"/>
        <v>0</v>
      </c>
      <c r="S114" s="49">
        <f t="shared" si="41"/>
        <v>0</v>
      </c>
    </row>
  </sheetData>
  <sheetProtection password="DD6F" sheet="1" objects="1" scenarios="1"/>
  <mergeCells count="29">
    <mergeCell ref="A93:A94"/>
    <mergeCell ref="B93:B94"/>
    <mergeCell ref="C93:C94"/>
    <mergeCell ref="D93:D94"/>
    <mergeCell ref="R93:R94"/>
    <mergeCell ref="A24:A25"/>
    <mergeCell ref="B24:B25"/>
    <mergeCell ref="D24:D25"/>
    <mergeCell ref="A1:A2"/>
    <mergeCell ref="B1:B2"/>
    <mergeCell ref="C1:C2"/>
    <mergeCell ref="D1:D2"/>
    <mergeCell ref="C24:C25"/>
    <mergeCell ref="D70:D71"/>
    <mergeCell ref="R70:R71"/>
    <mergeCell ref="A47:A48"/>
    <mergeCell ref="B47:B48"/>
    <mergeCell ref="C47:C48"/>
    <mergeCell ref="D47:D48"/>
    <mergeCell ref="A70:A71"/>
    <mergeCell ref="B70:B71"/>
    <mergeCell ref="C70:C71"/>
    <mergeCell ref="AG70:AG71"/>
    <mergeCell ref="AG1:AG2"/>
    <mergeCell ref="R1:R2"/>
    <mergeCell ref="AG47:AG48"/>
    <mergeCell ref="R47:R48"/>
    <mergeCell ref="AG24:AG25"/>
    <mergeCell ref="R24:R25"/>
  </mergeCells>
  <phoneticPr fontId="0" type="noConversion"/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&amp;R&amp;F</oddFooter>
  </headerFooter>
  <rowBreaks count="1" manualBreakCount="1">
    <brk id="4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workbookViewId="0">
      <selection activeCell="A9" sqref="A9"/>
    </sheetView>
  </sheetViews>
  <sheetFormatPr defaultColWidth="12" defaultRowHeight="12.75"/>
  <cols>
    <col min="1" max="1" width="18.85546875" style="27" customWidth="1"/>
    <col min="2" max="2" width="4" style="33" customWidth="1"/>
    <col min="3" max="8" width="3.140625" style="33" customWidth="1"/>
    <col min="9" max="9" width="3" style="33" customWidth="1"/>
    <col min="10" max="31" width="3.140625" style="33" customWidth="1"/>
    <col min="32" max="32" width="3.85546875" style="33" customWidth="1"/>
    <col min="33" max="33" width="3.42578125" style="27" customWidth="1"/>
    <col min="34" max="35" width="6.85546875" style="33" hidden="1" customWidth="1"/>
    <col min="36" max="42" width="3.42578125" style="27" customWidth="1"/>
    <col min="43" max="16384" width="12" style="27"/>
  </cols>
  <sheetData>
    <row r="1" spans="1:35" s="31" customFormat="1" ht="20.100000000000001" customHeight="1">
      <c r="A1" s="54" t="s">
        <v>0</v>
      </c>
      <c r="B1" s="29">
        <v>1</v>
      </c>
      <c r="C1" s="30">
        <v>2</v>
      </c>
      <c r="D1" s="30">
        <v>3</v>
      </c>
      <c r="E1" s="30">
        <v>4</v>
      </c>
      <c r="F1" s="30">
        <v>5</v>
      </c>
      <c r="G1" s="30">
        <v>6</v>
      </c>
      <c r="H1" s="30">
        <v>7</v>
      </c>
      <c r="I1" s="30">
        <v>8</v>
      </c>
      <c r="J1" s="30">
        <v>9</v>
      </c>
      <c r="K1" s="30">
        <v>10</v>
      </c>
      <c r="L1" s="30">
        <v>11</v>
      </c>
      <c r="M1" s="30">
        <v>12</v>
      </c>
      <c r="N1" s="30">
        <v>13</v>
      </c>
      <c r="O1" s="30">
        <v>14</v>
      </c>
      <c r="P1" s="30">
        <v>15</v>
      </c>
      <c r="Q1" s="30">
        <v>16</v>
      </c>
      <c r="R1" s="30">
        <v>17</v>
      </c>
      <c r="S1" s="30">
        <v>18</v>
      </c>
      <c r="T1" s="30">
        <v>19</v>
      </c>
      <c r="U1" s="30">
        <v>20</v>
      </c>
      <c r="V1" s="30">
        <v>21</v>
      </c>
      <c r="W1" s="30">
        <v>22</v>
      </c>
      <c r="X1" s="30">
        <v>23</v>
      </c>
      <c r="Y1" s="30">
        <v>24</v>
      </c>
      <c r="Z1" s="30">
        <v>25</v>
      </c>
      <c r="AA1" s="30">
        <v>26</v>
      </c>
      <c r="AB1" s="30">
        <v>27</v>
      </c>
      <c r="AC1" s="30">
        <v>28</v>
      </c>
      <c r="AD1" s="30">
        <v>29</v>
      </c>
      <c r="AE1" s="30">
        <v>30</v>
      </c>
      <c r="AF1" s="30">
        <v>31</v>
      </c>
      <c r="AH1" s="54" t="s">
        <v>18</v>
      </c>
      <c r="AI1" s="54" t="s">
        <v>19</v>
      </c>
    </row>
    <row r="2" spans="1:35" ht="20.100000000000001" customHeight="1">
      <c r="A2" s="54"/>
      <c r="B2" s="32" t="str">
        <f>'2021'!B4</f>
        <v>P</v>
      </c>
      <c r="C2" s="32" t="str">
        <f>'2021'!C4</f>
        <v>Szo</v>
      </c>
      <c r="D2" s="32" t="str">
        <f>'2021'!D4</f>
        <v>V</v>
      </c>
      <c r="E2" s="32" t="str">
        <f>'2021'!E4</f>
        <v>H</v>
      </c>
      <c r="F2" s="32" t="str">
        <f>'2021'!F4</f>
        <v>K</v>
      </c>
      <c r="G2" s="32" t="str">
        <f>'2021'!G4</f>
        <v>Sze</v>
      </c>
      <c r="H2" s="32" t="str">
        <f>'2021'!H4</f>
        <v>Cs</v>
      </c>
      <c r="I2" s="32" t="str">
        <f>'2021'!I4</f>
        <v>P</v>
      </c>
      <c r="J2" s="32" t="str">
        <f>'2021'!J4</f>
        <v>Szo</v>
      </c>
      <c r="K2" s="32" t="str">
        <f>'2021'!K4</f>
        <v>V</v>
      </c>
      <c r="L2" s="32" t="str">
        <f>'2021'!L4</f>
        <v>H</v>
      </c>
      <c r="M2" s="32" t="str">
        <f>'2021'!M4</f>
        <v>K</v>
      </c>
      <c r="N2" s="32" t="str">
        <f>'2021'!N4</f>
        <v>Sze</v>
      </c>
      <c r="O2" s="32" t="str">
        <f>'2021'!O4</f>
        <v>Cs</v>
      </c>
      <c r="P2" s="32" t="str">
        <f>'2021'!P4</f>
        <v>P</v>
      </c>
      <c r="Q2" s="32" t="str">
        <f>'2021'!Q4</f>
        <v>Szo</v>
      </c>
      <c r="R2" s="32" t="str">
        <f>'2021'!R4</f>
        <v>V</v>
      </c>
      <c r="S2" s="32" t="str">
        <f>'2021'!S4</f>
        <v>H</v>
      </c>
      <c r="T2" s="32" t="str">
        <f>'2021'!T4</f>
        <v>K</v>
      </c>
      <c r="U2" s="32" t="str">
        <f>'2021'!U4</f>
        <v>Sze</v>
      </c>
      <c r="V2" s="32" t="str">
        <f>'2021'!V4</f>
        <v>Cs</v>
      </c>
      <c r="W2" s="32" t="str">
        <f>'2021'!W4</f>
        <v>P</v>
      </c>
      <c r="X2" s="32" t="str">
        <f>'2021'!X4</f>
        <v>Szo</v>
      </c>
      <c r="Y2" s="32" t="str">
        <f>'2021'!Y4</f>
        <v>V</v>
      </c>
      <c r="Z2" s="32" t="str">
        <f>'2021'!Z4</f>
        <v>H</v>
      </c>
      <c r="AA2" s="32" t="str">
        <f>'2021'!AA4</f>
        <v>K</v>
      </c>
      <c r="AB2" s="32" t="str">
        <f>'2021'!AB4</f>
        <v>Sze</v>
      </c>
      <c r="AC2" s="32" t="str">
        <f>'2021'!AC4</f>
        <v>Cs</v>
      </c>
      <c r="AD2" s="32" t="str">
        <f>'2021'!AD4</f>
        <v>P</v>
      </c>
      <c r="AE2" s="32" t="str">
        <f>'2021'!AE4</f>
        <v>Szo</v>
      </c>
      <c r="AF2" s="32" t="str">
        <f>'2021'!AF4</f>
        <v>V</v>
      </c>
      <c r="AH2" s="55"/>
      <c r="AI2" s="55"/>
    </row>
    <row r="3" spans="1:35" ht="20.100000000000001" customHeight="1">
      <c r="A3" s="54"/>
      <c r="B3" s="32">
        <f>'2021'!B5</f>
        <v>2</v>
      </c>
      <c r="C3" s="32">
        <f>'2021'!C5</f>
        <v>2</v>
      </c>
      <c r="D3" s="32">
        <f>'2021'!D5</f>
        <v>2</v>
      </c>
      <c r="E3" s="32">
        <f>'2021'!E5</f>
        <v>2</v>
      </c>
      <c r="F3" s="32" t="str">
        <f>'2021'!F5</f>
        <v>X</v>
      </c>
      <c r="G3" s="32" t="s">
        <v>2</v>
      </c>
      <c r="H3" s="32">
        <f>'2021'!H5</f>
        <v>1</v>
      </c>
      <c r="I3" s="32">
        <f>'2021'!I5</f>
        <v>1</v>
      </c>
      <c r="J3" s="32">
        <f>'2021'!J5</f>
        <v>1</v>
      </c>
      <c r="K3" s="32">
        <f>'2021'!K5</f>
        <v>1</v>
      </c>
      <c r="L3" s="32">
        <f>'2021'!L5</f>
        <v>1</v>
      </c>
      <c r="M3" s="32">
        <f>'2021'!M5</f>
        <v>1</v>
      </c>
      <c r="N3" s="32" t="str">
        <f>'2021'!N5</f>
        <v>X</v>
      </c>
      <c r="O3" s="32" t="str">
        <f>'2021'!O5</f>
        <v>X</v>
      </c>
      <c r="P3" s="32">
        <f>'2021'!P5</f>
        <v>3</v>
      </c>
      <c r="Q3" s="32">
        <f>'2021'!Q5</f>
        <v>3</v>
      </c>
      <c r="R3" s="32">
        <f>'2021'!R5</f>
        <v>3</v>
      </c>
      <c r="S3" s="32">
        <f>'2021'!S5</f>
        <v>3</v>
      </c>
      <c r="T3" s="32">
        <f>'2021'!T5</f>
        <v>3</v>
      </c>
      <c r="U3" s="32">
        <f>'2021'!U5</f>
        <v>3</v>
      </c>
      <c r="V3" s="32" t="str">
        <f>'2021'!V5</f>
        <v>X</v>
      </c>
      <c r="W3" s="32" t="str">
        <f>'2021'!W5</f>
        <v>X</v>
      </c>
      <c r="X3" s="32">
        <f>'2021'!X5</f>
        <v>2</v>
      </c>
      <c r="Y3" s="32">
        <f>'2021'!Y5</f>
        <v>2</v>
      </c>
      <c r="Z3" s="32">
        <f>'2021'!Z5</f>
        <v>2</v>
      </c>
      <c r="AA3" s="32">
        <f>'2021'!AA5</f>
        <v>2</v>
      </c>
      <c r="AB3" s="32">
        <f>'2021'!AB5</f>
        <v>2</v>
      </c>
      <c r="AC3" s="32">
        <f>'2021'!AC5</f>
        <v>2</v>
      </c>
      <c r="AD3" s="32" t="str">
        <f>'2021'!AD5</f>
        <v>X</v>
      </c>
      <c r="AE3" s="32" t="str">
        <f>'2021'!AE5</f>
        <v>X</v>
      </c>
      <c r="AF3" s="32">
        <f>'2021'!AF5</f>
        <v>1</v>
      </c>
      <c r="AH3" s="55"/>
      <c r="AI3" s="55"/>
    </row>
    <row r="4" spans="1:35" ht="20.100000000000001" customHeight="1">
      <c r="A4" s="24" t="str">
        <f>ÖSSZES!$A$3</f>
        <v>Csuka Lajos</v>
      </c>
      <c r="B4" s="19"/>
      <c r="C4" s="39"/>
      <c r="D4" s="39"/>
      <c r="E4" s="39"/>
      <c r="F4" s="39" t="s">
        <v>2</v>
      </c>
      <c r="G4" s="39" t="s">
        <v>2</v>
      </c>
      <c r="H4" s="39"/>
      <c r="I4" s="39"/>
      <c r="J4" s="39"/>
      <c r="K4" s="39"/>
      <c r="L4" s="39"/>
      <c r="M4" s="39"/>
      <c r="N4" s="39" t="s">
        <v>2</v>
      </c>
      <c r="O4" s="39" t="s">
        <v>2</v>
      </c>
      <c r="P4" s="39"/>
      <c r="Q4" s="39"/>
      <c r="R4" s="39"/>
      <c r="S4" s="39"/>
      <c r="T4" s="39"/>
      <c r="U4" s="39"/>
      <c r="V4" s="39" t="s">
        <v>2</v>
      </c>
      <c r="W4" s="39" t="s">
        <v>2</v>
      </c>
      <c r="X4" s="39"/>
      <c r="Y4" s="39"/>
      <c r="Z4" s="39"/>
      <c r="AA4" s="39"/>
      <c r="AB4" s="39"/>
      <c r="AC4" s="39"/>
      <c r="AD4" s="39" t="s">
        <v>2</v>
      </c>
      <c r="AE4" s="39" t="s">
        <v>2</v>
      </c>
      <c r="AF4" s="39"/>
      <c r="AH4" s="20">
        <f>1*COUNTIF(A4:AF4,"+")</f>
        <v>0</v>
      </c>
      <c r="AI4" s="20">
        <f t="shared" ref="AI4" si="0">1*COUNTIF(B4:AF4,"szf")</f>
        <v>0</v>
      </c>
    </row>
    <row r="5" spans="1:35" ht="20.100000000000001" customHeight="1">
      <c r="A5" s="24" t="str">
        <f>ÖSSZES!$A$4</f>
        <v>Batiz Attila</v>
      </c>
      <c r="B5" s="39"/>
      <c r="C5" s="39"/>
      <c r="D5" s="39"/>
      <c r="E5" s="39"/>
      <c r="F5" s="39" t="s">
        <v>2</v>
      </c>
      <c r="G5" s="39" t="s">
        <v>2</v>
      </c>
      <c r="H5" s="39"/>
      <c r="I5" s="39"/>
      <c r="J5" s="39"/>
      <c r="K5" s="39"/>
      <c r="L5" s="39"/>
      <c r="M5" s="39"/>
      <c r="N5" s="39" t="s">
        <v>2</v>
      </c>
      <c r="O5" s="39" t="s">
        <v>2</v>
      </c>
      <c r="P5" s="39"/>
      <c r="Q5" s="39"/>
      <c r="R5" s="39"/>
      <c r="S5" s="39"/>
      <c r="T5" s="39"/>
      <c r="U5" s="39"/>
      <c r="V5" s="39" t="s">
        <v>2</v>
      </c>
      <c r="W5" s="39" t="s">
        <v>2</v>
      </c>
      <c r="X5" s="39"/>
      <c r="Y5" s="39"/>
      <c r="Z5" s="39"/>
      <c r="AA5" s="39"/>
      <c r="AB5" s="39"/>
      <c r="AC5" s="39"/>
      <c r="AD5" s="39" t="s">
        <v>2</v>
      </c>
      <c r="AE5" s="39" t="s">
        <v>2</v>
      </c>
      <c r="AF5" s="39"/>
      <c r="AH5" s="20">
        <f t="shared" ref="AH5:AH23" si="1">1*COUNTIF(A5:AF5,"+")</f>
        <v>0</v>
      </c>
      <c r="AI5" s="20">
        <f t="shared" ref="AI5:AI23" si="2">1*COUNTIF(B5:AF5,"szf")</f>
        <v>0</v>
      </c>
    </row>
    <row r="6" spans="1:35" ht="20.100000000000001" customHeight="1">
      <c r="A6" s="24" t="str">
        <f>ÖSSZES!$A$5</f>
        <v>Füredi Antal</v>
      </c>
      <c r="B6" s="39"/>
      <c r="C6" s="39"/>
      <c r="D6" s="39"/>
      <c r="E6" s="39"/>
      <c r="F6" s="39" t="s">
        <v>2</v>
      </c>
      <c r="G6" s="39" t="s">
        <v>2</v>
      </c>
      <c r="H6" s="39"/>
      <c r="I6" s="39"/>
      <c r="J6" s="39"/>
      <c r="K6" s="39"/>
      <c r="L6" s="39"/>
      <c r="M6" s="39"/>
      <c r="N6" s="39" t="s">
        <v>2</v>
      </c>
      <c r="O6" s="39" t="s">
        <v>2</v>
      </c>
      <c r="P6" s="39"/>
      <c r="Q6" s="39"/>
      <c r="R6" s="39"/>
      <c r="S6" s="39"/>
      <c r="T6" s="39"/>
      <c r="U6" s="39"/>
      <c r="V6" s="39" t="s">
        <v>2</v>
      </c>
      <c r="W6" s="39" t="s">
        <v>2</v>
      </c>
      <c r="X6" s="39"/>
      <c r="Y6" s="39"/>
      <c r="Z6" s="39"/>
      <c r="AA6" s="39"/>
      <c r="AB6" s="39"/>
      <c r="AC6" s="39"/>
      <c r="AD6" s="39" t="s">
        <v>2</v>
      </c>
      <c r="AE6" s="39" t="s">
        <v>2</v>
      </c>
      <c r="AF6" s="39"/>
      <c r="AH6" s="20">
        <f t="shared" si="1"/>
        <v>0</v>
      </c>
      <c r="AI6" s="20">
        <f t="shared" si="2"/>
        <v>0</v>
      </c>
    </row>
    <row r="7" spans="1:35" ht="20.100000000000001" customHeight="1">
      <c r="A7" s="24" t="str">
        <f>ÖSSZES!$A$6</f>
        <v>Iványi István</v>
      </c>
      <c r="B7" s="39"/>
      <c r="C7" s="39"/>
      <c r="D7" s="39"/>
      <c r="E7" s="39"/>
      <c r="F7" s="39" t="s">
        <v>2</v>
      </c>
      <c r="G7" s="39" t="s">
        <v>2</v>
      </c>
      <c r="H7" s="39"/>
      <c r="I7" s="39"/>
      <c r="J7" s="39"/>
      <c r="K7" s="39"/>
      <c r="L7" s="39"/>
      <c r="M7" s="39"/>
      <c r="N7" s="39" t="s">
        <v>2</v>
      </c>
      <c r="O7" s="39" t="s">
        <v>2</v>
      </c>
      <c r="P7" s="39"/>
      <c r="Q7" s="39"/>
      <c r="R7" s="39"/>
      <c r="S7" s="39"/>
      <c r="T7" s="39"/>
      <c r="U7" s="39"/>
      <c r="V7" s="39" t="s">
        <v>2</v>
      </c>
      <c r="W7" s="39" t="s">
        <v>2</v>
      </c>
      <c r="X7" s="39"/>
      <c r="Y7" s="39"/>
      <c r="Z7" s="39"/>
      <c r="AA7" s="39"/>
      <c r="AB7" s="39"/>
      <c r="AC7" s="39"/>
      <c r="AD7" s="39" t="s">
        <v>2</v>
      </c>
      <c r="AE7" s="39" t="s">
        <v>2</v>
      </c>
      <c r="AF7" s="39"/>
      <c r="AH7" s="20">
        <f t="shared" si="1"/>
        <v>0</v>
      </c>
      <c r="AI7" s="20">
        <f t="shared" si="2"/>
        <v>0</v>
      </c>
    </row>
    <row r="8" spans="1:35" ht="20.100000000000001" customHeight="1">
      <c r="A8" s="24" t="str">
        <f>ÖSSZES!$A$7</f>
        <v>Katonka Tibor</v>
      </c>
      <c r="B8" s="39"/>
      <c r="C8" s="39"/>
      <c r="D8" s="39"/>
      <c r="E8" s="39"/>
      <c r="F8" s="39" t="s">
        <v>2</v>
      </c>
      <c r="G8" s="39" t="s">
        <v>2</v>
      </c>
      <c r="H8" s="39"/>
      <c r="I8" s="39"/>
      <c r="J8" s="39"/>
      <c r="K8" s="39"/>
      <c r="L8" s="39"/>
      <c r="M8" s="39"/>
      <c r="N8" s="39" t="s">
        <v>2</v>
      </c>
      <c r="O8" s="39" t="s">
        <v>2</v>
      </c>
      <c r="P8" s="39"/>
      <c r="Q8" s="39"/>
      <c r="R8" s="39"/>
      <c r="S8" s="39"/>
      <c r="T8" s="39"/>
      <c r="U8" s="39"/>
      <c r="V8" s="39" t="s">
        <v>2</v>
      </c>
      <c r="W8" s="39" t="s">
        <v>2</v>
      </c>
      <c r="X8" s="39"/>
      <c r="Y8" s="39"/>
      <c r="Z8" s="39"/>
      <c r="AA8" s="39"/>
      <c r="AB8" s="39"/>
      <c r="AC8" s="39"/>
      <c r="AD8" s="39" t="s">
        <v>2</v>
      </c>
      <c r="AE8" s="39" t="s">
        <v>2</v>
      </c>
      <c r="AF8" s="39"/>
      <c r="AH8" s="20">
        <f t="shared" si="1"/>
        <v>0</v>
      </c>
      <c r="AI8" s="20">
        <f t="shared" si="2"/>
        <v>0</v>
      </c>
    </row>
    <row r="9" spans="1:35" ht="20.100000000000001" customHeight="1">
      <c r="A9" s="24" t="str">
        <f>ÖSSZES!$A$8</f>
        <v>Mizsák Péter</v>
      </c>
      <c r="B9" s="39"/>
      <c r="C9" s="39"/>
      <c r="D9" s="39"/>
      <c r="E9" s="39"/>
      <c r="F9" s="39" t="s">
        <v>2</v>
      </c>
      <c r="G9" s="39" t="s">
        <v>2</v>
      </c>
      <c r="H9" s="39"/>
      <c r="I9" s="39"/>
      <c r="J9" s="39"/>
      <c r="K9" s="39"/>
      <c r="L9" s="39"/>
      <c r="M9" s="39"/>
      <c r="N9" s="39" t="s">
        <v>2</v>
      </c>
      <c r="O9" s="39" t="s">
        <v>2</v>
      </c>
      <c r="P9" s="39"/>
      <c r="Q9" s="39"/>
      <c r="R9" s="39"/>
      <c r="S9" s="39"/>
      <c r="T9" s="39"/>
      <c r="U9" s="39"/>
      <c r="V9" s="39" t="s">
        <v>2</v>
      </c>
      <c r="W9" s="39" t="s">
        <v>2</v>
      </c>
      <c r="X9" s="39"/>
      <c r="Y9" s="39"/>
      <c r="Z9" s="39"/>
      <c r="AA9" s="39"/>
      <c r="AB9" s="39"/>
      <c r="AC9" s="39"/>
      <c r="AD9" s="39" t="s">
        <v>2</v>
      </c>
      <c r="AE9" s="39" t="s">
        <v>2</v>
      </c>
      <c r="AF9" s="39"/>
      <c r="AH9" s="20">
        <f t="shared" si="1"/>
        <v>0</v>
      </c>
      <c r="AI9" s="20">
        <f t="shared" si="2"/>
        <v>0</v>
      </c>
    </row>
    <row r="10" spans="1:35" ht="20.100000000000001" customHeight="1">
      <c r="A10" s="24" t="str">
        <f>ÖSSZES!$A$9</f>
        <v>Vatamány Gergő</v>
      </c>
      <c r="B10" s="39"/>
      <c r="C10" s="39"/>
      <c r="D10" s="39"/>
      <c r="E10" s="39"/>
      <c r="F10" s="39" t="s">
        <v>2</v>
      </c>
      <c r="G10" s="39" t="s">
        <v>2</v>
      </c>
      <c r="H10" s="39"/>
      <c r="I10" s="39"/>
      <c r="J10" s="39"/>
      <c r="K10" s="39"/>
      <c r="L10" s="39"/>
      <c r="M10" s="39"/>
      <c r="N10" s="39" t="s">
        <v>2</v>
      </c>
      <c r="O10" s="39" t="s">
        <v>2</v>
      </c>
      <c r="P10" s="39"/>
      <c r="Q10" s="39"/>
      <c r="R10" s="39"/>
      <c r="S10" s="39"/>
      <c r="T10" s="39"/>
      <c r="U10" s="39"/>
      <c r="V10" s="39" t="s">
        <v>2</v>
      </c>
      <c r="W10" s="39" t="s">
        <v>2</v>
      </c>
      <c r="X10" s="39"/>
      <c r="Y10" s="39"/>
      <c r="Z10" s="39"/>
      <c r="AA10" s="39"/>
      <c r="AB10" s="39"/>
      <c r="AC10" s="39"/>
      <c r="AD10" s="39" t="s">
        <v>2</v>
      </c>
      <c r="AE10" s="39" t="s">
        <v>2</v>
      </c>
      <c r="AF10" s="39"/>
      <c r="AH10" s="20">
        <f t="shared" si="1"/>
        <v>0</v>
      </c>
      <c r="AI10" s="20">
        <f t="shared" si="2"/>
        <v>0</v>
      </c>
    </row>
    <row r="11" spans="1:35" ht="20.100000000000001" hidden="1" customHeight="1">
      <c r="A11" s="24" t="str">
        <f>ÖSSZES!$A$10</f>
        <v>Név8</v>
      </c>
      <c r="B11" s="39"/>
      <c r="C11" s="39"/>
      <c r="D11" s="39"/>
      <c r="E11" s="39"/>
      <c r="F11" s="39" t="s">
        <v>2</v>
      </c>
      <c r="G11" s="39" t="s">
        <v>2</v>
      </c>
      <c r="H11" s="39"/>
      <c r="I11" s="39"/>
      <c r="J11" s="39"/>
      <c r="K11" s="39"/>
      <c r="L11" s="39"/>
      <c r="M11" s="39"/>
      <c r="N11" s="39" t="s">
        <v>2</v>
      </c>
      <c r="O11" s="39" t="s">
        <v>2</v>
      </c>
      <c r="P11" s="39"/>
      <c r="Q11" s="39"/>
      <c r="R11" s="39"/>
      <c r="S11" s="39"/>
      <c r="T11" s="39"/>
      <c r="U11" s="39"/>
      <c r="V11" s="39" t="s">
        <v>2</v>
      </c>
      <c r="W11" s="39" t="s">
        <v>2</v>
      </c>
      <c r="X11" s="39"/>
      <c r="Y11" s="39"/>
      <c r="Z11" s="39"/>
      <c r="AA11" s="39"/>
      <c r="AB11" s="39"/>
      <c r="AC11" s="39"/>
      <c r="AD11" s="39" t="s">
        <v>2</v>
      </c>
      <c r="AE11" s="39" t="s">
        <v>2</v>
      </c>
      <c r="AF11" s="39"/>
      <c r="AH11" s="20">
        <f t="shared" si="1"/>
        <v>0</v>
      </c>
      <c r="AI11" s="20">
        <f t="shared" si="2"/>
        <v>0</v>
      </c>
    </row>
    <row r="12" spans="1:35" ht="20.100000000000001" hidden="1" customHeight="1">
      <c r="A12" s="24" t="str">
        <f>ÖSSZES!$A$11</f>
        <v>Név9</v>
      </c>
      <c r="B12" s="39"/>
      <c r="C12" s="39"/>
      <c r="D12" s="39"/>
      <c r="E12" s="39"/>
      <c r="F12" s="39" t="s">
        <v>2</v>
      </c>
      <c r="G12" s="39" t="s">
        <v>2</v>
      </c>
      <c r="H12" s="39"/>
      <c r="I12" s="39"/>
      <c r="J12" s="39"/>
      <c r="K12" s="39"/>
      <c r="L12" s="39"/>
      <c r="M12" s="39"/>
      <c r="N12" s="39" t="s">
        <v>2</v>
      </c>
      <c r="O12" s="39" t="s">
        <v>2</v>
      </c>
      <c r="P12" s="39"/>
      <c r="Q12" s="39"/>
      <c r="R12" s="39"/>
      <c r="S12" s="39"/>
      <c r="T12" s="39"/>
      <c r="U12" s="39"/>
      <c r="V12" s="39" t="s">
        <v>2</v>
      </c>
      <c r="W12" s="39" t="s">
        <v>2</v>
      </c>
      <c r="X12" s="39"/>
      <c r="Y12" s="39"/>
      <c r="Z12" s="39"/>
      <c r="AA12" s="39"/>
      <c r="AB12" s="39"/>
      <c r="AC12" s="39"/>
      <c r="AD12" s="39" t="s">
        <v>2</v>
      </c>
      <c r="AE12" s="39" t="s">
        <v>2</v>
      </c>
      <c r="AF12" s="39"/>
      <c r="AH12" s="20">
        <f t="shared" si="1"/>
        <v>0</v>
      </c>
      <c r="AI12" s="20">
        <f t="shared" si="2"/>
        <v>0</v>
      </c>
    </row>
    <row r="13" spans="1:35" ht="20.100000000000001" hidden="1" customHeight="1">
      <c r="A13" s="24" t="str">
        <f>ÖSSZES!$A$12</f>
        <v>Név10</v>
      </c>
      <c r="B13" s="39"/>
      <c r="C13" s="39"/>
      <c r="D13" s="39"/>
      <c r="E13" s="39"/>
      <c r="F13" s="39" t="s">
        <v>2</v>
      </c>
      <c r="G13" s="39" t="s">
        <v>2</v>
      </c>
      <c r="H13" s="39"/>
      <c r="I13" s="39"/>
      <c r="J13" s="39"/>
      <c r="K13" s="39"/>
      <c r="L13" s="39"/>
      <c r="M13" s="39"/>
      <c r="N13" s="39" t="s">
        <v>2</v>
      </c>
      <c r="O13" s="39" t="s">
        <v>2</v>
      </c>
      <c r="P13" s="39"/>
      <c r="Q13" s="39"/>
      <c r="R13" s="39"/>
      <c r="S13" s="39"/>
      <c r="T13" s="39"/>
      <c r="U13" s="39"/>
      <c r="V13" s="39" t="s">
        <v>2</v>
      </c>
      <c r="W13" s="39" t="s">
        <v>2</v>
      </c>
      <c r="X13" s="39"/>
      <c r="Y13" s="39"/>
      <c r="Z13" s="39"/>
      <c r="AA13" s="39"/>
      <c r="AB13" s="39"/>
      <c r="AC13" s="39"/>
      <c r="AD13" s="39" t="s">
        <v>2</v>
      </c>
      <c r="AE13" s="39" t="s">
        <v>2</v>
      </c>
      <c r="AF13" s="39"/>
      <c r="AH13" s="20">
        <f t="shared" si="1"/>
        <v>0</v>
      </c>
      <c r="AI13" s="20">
        <f t="shared" si="2"/>
        <v>0</v>
      </c>
    </row>
    <row r="14" spans="1:35" ht="20.100000000000001" hidden="1" customHeight="1">
      <c r="A14" s="24" t="str">
        <f>ÖSSZES!$A$13</f>
        <v>Név11</v>
      </c>
      <c r="B14" s="39"/>
      <c r="C14" s="39"/>
      <c r="D14" s="39"/>
      <c r="E14" s="39"/>
      <c r="F14" s="39" t="s">
        <v>2</v>
      </c>
      <c r="G14" s="39" t="s">
        <v>2</v>
      </c>
      <c r="H14" s="39"/>
      <c r="I14" s="39"/>
      <c r="J14" s="39"/>
      <c r="K14" s="39"/>
      <c r="L14" s="39"/>
      <c r="M14" s="39"/>
      <c r="N14" s="39" t="s">
        <v>2</v>
      </c>
      <c r="O14" s="39" t="s">
        <v>2</v>
      </c>
      <c r="P14" s="39"/>
      <c r="Q14" s="39"/>
      <c r="R14" s="39"/>
      <c r="S14" s="39"/>
      <c r="T14" s="39"/>
      <c r="U14" s="39"/>
      <c r="V14" s="39" t="s">
        <v>2</v>
      </c>
      <c r="W14" s="39" t="s">
        <v>2</v>
      </c>
      <c r="X14" s="39"/>
      <c r="Y14" s="39"/>
      <c r="Z14" s="39"/>
      <c r="AA14" s="39"/>
      <c r="AB14" s="39"/>
      <c r="AC14" s="39"/>
      <c r="AD14" s="39" t="s">
        <v>2</v>
      </c>
      <c r="AE14" s="39" t="s">
        <v>2</v>
      </c>
      <c r="AF14" s="39"/>
      <c r="AH14" s="20">
        <f t="shared" si="1"/>
        <v>0</v>
      </c>
      <c r="AI14" s="20">
        <f t="shared" si="2"/>
        <v>0</v>
      </c>
    </row>
    <row r="15" spans="1:35" ht="20.100000000000001" hidden="1" customHeight="1">
      <c r="A15" s="24" t="str">
        <f>ÖSSZES!$A$14</f>
        <v>Név12</v>
      </c>
      <c r="B15" s="39"/>
      <c r="C15" s="39"/>
      <c r="D15" s="39"/>
      <c r="E15" s="39"/>
      <c r="F15" s="39" t="s">
        <v>2</v>
      </c>
      <c r="G15" s="39" t="s">
        <v>2</v>
      </c>
      <c r="H15" s="39"/>
      <c r="I15" s="39"/>
      <c r="J15" s="39"/>
      <c r="K15" s="39"/>
      <c r="L15" s="39"/>
      <c r="M15" s="39"/>
      <c r="N15" s="39" t="s">
        <v>2</v>
      </c>
      <c r="O15" s="39" t="s">
        <v>2</v>
      </c>
      <c r="P15" s="39"/>
      <c r="Q15" s="39"/>
      <c r="R15" s="39"/>
      <c r="S15" s="39"/>
      <c r="T15" s="39"/>
      <c r="U15" s="39"/>
      <c r="V15" s="39" t="s">
        <v>2</v>
      </c>
      <c r="W15" s="39" t="s">
        <v>2</v>
      </c>
      <c r="X15" s="39"/>
      <c r="Y15" s="39"/>
      <c r="Z15" s="39"/>
      <c r="AA15" s="39"/>
      <c r="AB15" s="39"/>
      <c r="AC15" s="39"/>
      <c r="AD15" s="39" t="s">
        <v>2</v>
      </c>
      <c r="AE15" s="39" t="s">
        <v>2</v>
      </c>
      <c r="AF15" s="39"/>
      <c r="AH15" s="20">
        <f t="shared" si="1"/>
        <v>0</v>
      </c>
      <c r="AI15" s="20">
        <f t="shared" si="2"/>
        <v>0</v>
      </c>
    </row>
    <row r="16" spans="1:35" ht="20.100000000000001" hidden="1" customHeight="1">
      <c r="A16" s="24" t="str">
        <f>ÖSSZES!$A$15</f>
        <v>Név13</v>
      </c>
      <c r="B16" s="39"/>
      <c r="C16" s="39"/>
      <c r="D16" s="39"/>
      <c r="E16" s="39"/>
      <c r="F16" s="39" t="s">
        <v>2</v>
      </c>
      <c r="G16" s="39" t="s">
        <v>2</v>
      </c>
      <c r="H16" s="39"/>
      <c r="I16" s="39"/>
      <c r="J16" s="39"/>
      <c r="K16" s="39"/>
      <c r="L16" s="39"/>
      <c r="M16" s="39"/>
      <c r="N16" s="39" t="s">
        <v>2</v>
      </c>
      <c r="O16" s="39" t="s">
        <v>2</v>
      </c>
      <c r="P16" s="39"/>
      <c r="Q16" s="39"/>
      <c r="R16" s="39"/>
      <c r="S16" s="39"/>
      <c r="T16" s="39"/>
      <c r="U16" s="39"/>
      <c r="V16" s="39" t="s">
        <v>2</v>
      </c>
      <c r="W16" s="39" t="s">
        <v>2</v>
      </c>
      <c r="X16" s="39"/>
      <c r="Y16" s="39"/>
      <c r="Z16" s="39"/>
      <c r="AA16" s="39"/>
      <c r="AB16" s="39"/>
      <c r="AC16" s="39"/>
      <c r="AD16" s="39" t="s">
        <v>2</v>
      </c>
      <c r="AE16" s="39" t="s">
        <v>2</v>
      </c>
      <c r="AF16" s="39"/>
      <c r="AH16" s="20">
        <f t="shared" si="1"/>
        <v>0</v>
      </c>
      <c r="AI16" s="20">
        <f t="shared" si="2"/>
        <v>0</v>
      </c>
    </row>
    <row r="17" spans="1:35" ht="20.100000000000001" hidden="1" customHeight="1">
      <c r="A17" s="24" t="str">
        <f>ÖSSZES!$A$16</f>
        <v>Név14</v>
      </c>
      <c r="B17" s="39"/>
      <c r="C17" s="39"/>
      <c r="D17" s="39"/>
      <c r="E17" s="39"/>
      <c r="F17" s="39" t="s">
        <v>2</v>
      </c>
      <c r="G17" s="39" t="s">
        <v>2</v>
      </c>
      <c r="H17" s="39"/>
      <c r="I17" s="39"/>
      <c r="J17" s="39"/>
      <c r="K17" s="39"/>
      <c r="L17" s="39"/>
      <c r="M17" s="39"/>
      <c r="N17" s="39" t="s">
        <v>2</v>
      </c>
      <c r="O17" s="39" t="s">
        <v>2</v>
      </c>
      <c r="P17" s="39"/>
      <c r="Q17" s="39"/>
      <c r="R17" s="39"/>
      <c r="S17" s="39"/>
      <c r="T17" s="39"/>
      <c r="U17" s="39"/>
      <c r="V17" s="39" t="s">
        <v>2</v>
      </c>
      <c r="W17" s="39" t="s">
        <v>2</v>
      </c>
      <c r="X17" s="39"/>
      <c r="Y17" s="39"/>
      <c r="Z17" s="39"/>
      <c r="AA17" s="39"/>
      <c r="AB17" s="39"/>
      <c r="AC17" s="39"/>
      <c r="AD17" s="39" t="s">
        <v>2</v>
      </c>
      <c r="AE17" s="39" t="s">
        <v>2</v>
      </c>
      <c r="AF17" s="39"/>
      <c r="AH17" s="20">
        <f t="shared" si="1"/>
        <v>0</v>
      </c>
      <c r="AI17" s="20">
        <f t="shared" si="2"/>
        <v>0</v>
      </c>
    </row>
    <row r="18" spans="1:35" ht="20.100000000000001" hidden="1" customHeight="1">
      <c r="A18" s="24" t="str">
        <f>ÖSSZES!$A$17</f>
        <v>Név15</v>
      </c>
      <c r="B18" s="39"/>
      <c r="C18" s="39"/>
      <c r="D18" s="39"/>
      <c r="E18" s="39"/>
      <c r="F18" s="39" t="s">
        <v>2</v>
      </c>
      <c r="G18" s="39" t="s">
        <v>2</v>
      </c>
      <c r="H18" s="39"/>
      <c r="I18" s="39"/>
      <c r="J18" s="39"/>
      <c r="K18" s="39"/>
      <c r="L18" s="39"/>
      <c r="M18" s="39"/>
      <c r="N18" s="39" t="s">
        <v>2</v>
      </c>
      <c r="O18" s="39" t="s">
        <v>2</v>
      </c>
      <c r="P18" s="39"/>
      <c r="Q18" s="39"/>
      <c r="R18" s="39"/>
      <c r="S18" s="39"/>
      <c r="T18" s="39"/>
      <c r="U18" s="39"/>
      <c r="V18" s="39" t="s">
        <v>2</v>
      </c>
      <c r="W18" s="39" t="s">
        <v>2</v>
      </c>
      <c r="X18" s="39"/>
      <c r="Y18" s="39"/>
      <c r="Z18" s="39"/>
      <c r="AA18" s="39"/>
      <c r="AB18" s="39"/>
      <c r="AC18" s="39"/>
      <c r="AD18" s="39" t="s">
        <v>2</v>
      </c>
      <c r="AE18" s="39" t="s">
        <v>2</v>
      </c>
      <c r="AF18" s="39"/>
      <c r="AH18" s="20">
        <f t="shared" si="1"/>
        <v>0</v>
      </c>
      <c r="AI18" s="20">
        <f t="shared" si="2"/>
        <v>0</v>
      </c>
    </row>
    <row r="19" spans="1:35" ht="20.100000000000001" hidden="1" customHeight="1">
      <c r="A19" s="24" t="str">
        <f>ÖSSZES!$A$18</f>
        <v>Név16</v>
      </c>
      <c r="B19" s="39"/>
      <c r="C19" s="39"/>
      <c r="D19" s="39"/>
      <c r="E19" s="39"/>
      <c r="F19" s="39" t="s">
        <v>2</v>
      </c>
      <c r="G19" s="39" t="s">
        <v>2</v>
      </c>
      <c r="H19" s="39"/>
      <c r="I19" s="39"/>
      <c r="J19" s="39"/>
      <c r="K19" s="39"/>
      <c r="L19" s="39"/>
      <c r="M19" s="39"/>
      <c r="N19" s="39" t="s">
        <v>2</v>
      </c>
      <c r="O19" s="39" t="s">
        <v>2</v>
      </c>
      <c r="P19" s="39"/>
      <c r="Q19" s="39"/>
      <c r="R19" s="39"/>
      <c r="S19" s="39"/>
      <c r="T19" s="39"/>
      <c r="U19" s="39"/>
      <c r="V19" s="39" t="s">
        <v>2</v>
      </c>
      <c r="W19" s="39" t="s">
        <v>2</v>
      </c>
      <c r="X19" s="39"/>
      <c r="Y19" s="39"/>
      <c r="Z19" s="39"/>
      <c r="AA19" s="39"/>
      <c r="AB19" s="39"/>
      <c r="AC19" s="39"/>
      <c r="AD19" s="39" t="s">
        <v>2</v>
      </c>
      <c r="AE19" s="39" t="s">
        <v>2</v>
      </c>
      <c r="AF19" s="39"/>
      <c r="AH19" s="20">
        <f t="shared" si="1"/>
        <v>0</v>
      </c>
      <c r="AI19" s="20">
        <f t="shared" si="2"/>
        <v>0</v>
      </c>
    </row>
    <row r="20" spans="1:35" ht="20.100000000000001" hidden="1" customHeight="1">
      <c r="A20" s="24" t="str">
        <f>ÖSSZES!$A$19</f>
        <v>Név17</v>
      </c>
      <c r="B20" s="39"/>
      <c r="C20" s="39"/>
      <c r="D20" s="39"/>
      <c r="E20" s="39"/>
      <c r="F20" s="39" t="s">
        <v>2</v>
      </c>
      <c r="G20" s="39" t="s">
        <v>2</v>
      </c>
      <c r="H20" s="39"/>
      <c r="I20" s="39"/>
      <c r="J20" s="39"/>
      <c r="K20" s="39"/>
      <c r="L20" s="39"/>
      <c r="M20" s="39"/>
      <c r="N20" s="39" t="s">
        <v>2</v>
      </c>
      <c r="O20" s="39" t="s">
        <v>2</v>
      </c>
      <c r="P20" s="39"/>
      <c r="Q20" s="39"/>
      <c r="R20" s="39"/>
      <c r="S20" s="39"/>
      <c r="T20" s="39"/>
      <c r="U20" s="39"/>
      <c r="V20" s="39" t="s">
        <v>2</v>
      </c>
      <c r="W20" s="39" t="s">
        <v>2</v>
      </c>
      <c r="X20" s="39"/>
      <c r="Y20" s="39"/>
      <c r="Z20" s="39"/>
      <c r="AA20" s="39"/>
      <c r="AB20" s="39"/>
      <c r="AC20" s="39"/>
      <c r="AD20" s="39" t="s">
        <v>2</v>
      </c>
      <c r="AE20" s="39" t="s">
        <v>2</v>
      </c>
      <c r="AF20" s="39"/>
      <c r="AH20" s="20">
        <f t="shared" si="1"/>
        <v>0</v>
      </c>
      <c r="AI20" s="20">
        <f t="shared" si="2"/>
        <v>0</v>
      </c>
    </row>
    <row r="21" spans="1:35" ht="20.100000000000001" hidden="1" customHeight="1">
      <c r="A21" s="24" t="str">
        <f>ÖSSZES!$A$20</f>
        <v>Név18</v>
      </c>
      <c r="B21" s="39"/>
      <c r="C21" s="39"/>
      <c r="D21" s="39"/>
      <c r="E21" s="39"/>
      <c r="F21" s="39" t="s">
        <v>2</v>
      </c>
      <c r="G21" s="39" t="s">
        <v>2</v>
      </c>
      <c r="H21" s="39"/>
      <c r="I21" s="39"/>
      <c r="J21" s="39"/>
      <c r="K21" s="39"/>
      <c r="L21" s="39"/>
      <c r="M21" s="39"/>
      <c r="N21" s="39" t="s">
        <v>2</v>
      </c>
      <c r="O21" s="39" t="s">
        <v>2</v>
      </c>
      <c r="P21" s="39"/>
      <c r="Q21" s="39"/>
      <c r="R21" s="39"/>
      <c r="S21" s="39"/>
      <c r="T21" s="39"/>
      <c r="U21" s="39"/>
      <c r="V21" s="39" t="s">
        <v>2</v>
      </c>
      <c r="W21" s="39" t="s">
        <v>2</v>
      </c>
      <c r="X21" s="39"/>
      <c r="Y21" s="39"/>
      <c r="Z21" s="39"/>
      <c r="AA21" s="39"/>
      <c r="AB21" s="39"/>
      <c r="AC21" s="39"/>
      <c r="AD21" s="39" t="s">
        <v>2</v>
      </c>
      <c r="AE21" s="39" t="s">
        <v>2</v>
      </c>
      <c r="AF21" s="39"/>
      <c r="AH21" s="20">
        <f t="shared" si="1"/>
        <v>0</v>
      </c>
      <c r="AI21" s="20">
        <f t="shared" si="2"/>
        <v>0</v>
      </c>
    </row>
    <row r="22" spans="1:35" ht="20.100000000000001" hidden="1" customHeight="1">
      <c r="A22" s="24" t="str">
        <f>ÖSSZES!$A$21</f>
        <v>Név19</v>
      </c>
      <c r="B22" s="39"/>
      <c r="C22" s="39"/>
      <c r="D22" s="39"/>
      <c r="E22" s="39"/>
      <c r="F22" s="39" t="s">
        <v>2</v>
      </c>
      <c r="G22" s="39" t="s">
        <v>2</v>
      </c>
      <c r="H22" s="39"/>
      <c r="I22" s="39"/>
      <c r="J22" s="39"/>
      <c r="K22" s="39"/>
      <c r="L22" s="39"/>
      <c r="M22" s="39"/>
      <c r="N22" s="39" t="s">
        <v>2</v>
      </c>
      <c r="O22" s="39" t="s">
        <v>2</v>
      </c>
      <c r="P22" s="39"/>
      <c r="Q22" s="39"/>
      <c r="R22" s="39"/>
      <c r="S22" s="39"/>
      <c r="T22" s="39"/>
      <c r="U22" s="39"/>
      <c r="V22" s="39" t="s">
        <v>2</v>
      </c>
      <c r="W22" s="39" t="s">
        <v>2</v>
      </c>
      <c r="X22" s="39"/>
      <c r="Y22" s="39"/>
      <c r="Z22" s="39"/>
      <c r="AA22" s="39"/>
      <c r="AB22" s="39"/>
      <c r="AC22" s="39"/>
      <c r="AD22" s="39" t="s">
        <v>2</v>
      </c>
      <c r="AE22" s="39" t="s">
        <v>2</v>
      </c>
      <c r="AF22" s="39"/>
      <c r="AH22" s="20">
        <f t="shared" si="1"/>
        <v>0</v>
      </c>
      <c r="AI22" s="20">
        <f t="shared" si="2"/>
        <v>0</v>
      </c>
    </row>
    <row r="23" spans="1:35" ht="20.100000000000001" hidden="1" customHeight="1">
      <c r="A23" s="24" t="str">
        <f>ÖSSZES!$A$22</f>
        <v>Név20</v>
      </c>
      <c r="B23" s="39"/>
      <c r="C23" s="39"/>
      <c r="D23" s="39"/>
      <c r="E23" s="39"/>
      <c r="F23" s="39" t="s">
        <v>2</v>
      </c>
      <c r="G23" s="39" t="s">
        <v>2</v>
      </c>
      <c r="H23" s="39"/>
      <c r="I23" s="39"/>
      <c r="J23" s="39"/>
      <c r="K23" s="39"/>
      <c r="L23" s="39"/>
      <c r="M23" s="39"/>
      <c r="N23" s="39" t="s">
        <v>2</v>
      </c>
      <c r="O23" s="39" t="s">
        <v>2</v>
      </c>
      <c r="P23" s="39"/>
      <c r="Q23" s="39"/>
      <c r="R23" s="39"/>
      <c r="S23" s="39"/>
      <c r="T23" s="39"/>
      <c r="U23" s="39"/>
      <c r="V23" s="39" t="s">
        <v>2</v>
      </c>
      <c r="W23" s="39" t="s">
        <v>2</v>
      </c>
      <c r="X23" s="39"/>
      <c r="Y23" s="39"/>
      <c r="Z23" s="39"/>
      <c r="AA23" s="39"/>
      <c r="AB23" s="39"/>
      <c r="AC23" s="39"/>
      <c r="AD23" s="39" t="s">
        <v>2</v>
      </c>
      <c r="AE23" s="39" t="s">
        <v>2</v>
      </c>
      <c r="AF23" s="39"/>
      <c r="AH23" s="20">
        <f t="shared" si="1"/>
        <v>0</v>
      </c>
      <c r="AI23" s="20">
        <f t="shared" si="2"/>
        <v>0</v>
      </c>
    </row>
    <row r="24" spans="1:35" ht="20.100000000000001" customHeight="1"/>
    <row r="25" spans="1:35" s="31" customFormat="1" ht="20.100000000000001" customHeight="1">
      <c r="A25" s="54" t="s">
        <v>6</v>
      </c>
      <c r="B25" s="30">
        <v>1</v>
      </c>
      <c r="C25" s="30">
        <v>2</v>
      </c>
      <c r="D25" s="30">
        <v>3</v>
      </c>
      <c r="E25" s="30">
        <v>4</v>
      </c>
      <c r="F25" s="30">
        <v>5</v>
      </c>
      <c r="G25" s="30">
        <v>6</v>
      </c>
      <c r="H25" s="30">
        <v>7</v>
      </c>
      <c r="I25" s="30">
        <v>8</v>
      </c>
      <c r="J25" s="30">
        <v>9</v>
      </c>
      <c r="K25" s="30">
        <v>10</v>
      </c>
      <c r="L25" s="30">
        <v>11</v>
      </c>
      <c r="M25" s="30">
        <v>12</v>
      </c>
      <c r="N25" s="30">
        <v>13</v>
      </c>
      <c r="O25" s="30">
        <v>14</v>
      </c>
      <c r="P25" s="30">
        <v>15</v>
      </c>
      <c r="Q25" s="30">
        <v>16</v>
      </c>
      <c r="R25" s="30">
        <v>17</v>
      </c>
      <c r="S25" s="30">
        <v>18</v>
      </c>
      <c r="T25" s="30">
        <v>19</v>
      </c>
      <c r="U25" s="30">
        <v>20</v>
      </c>
      <c r="V25" s="30">
        <v>21</v>
      </c>
      <c r="W25" s="30">
        <v>22</v>
      </c>
      <c r="X25" s="30">
        <v>23</v>
      </c>
      <c r="Y25" s="30">
        <v>24</v>
      </c>
      <c r="Z25" s="30">
        <v>25</v>
      </c>
      <c r="AA25" s="30">
        <v>26</v>
      </c>
      <c r="AB25" s="30">
        <v>27</v>
      </c>
      <c r="AC25" s="30">
        <v>28</v>
      </c>
      <c r="AH25" s="54" t="s">
        <v>18</v>
      </c>
      <c r="AI25" s="54" t="s">
        <v>19</v>
      </c>
    </row>
    <row r="26" spans="1:35" ht="20.100000000000001" customHeight="1">
      <c r="A26" s="56"/>
      <c r="B26" s="32" t="str">
        <f>'2021'!B12</f>
        <v>H</v>
      </c>
      <c r="C26" s="32" t="str">
        <f>'2021'!C12</f>
        <v>K</v>
      </c>
      <c r="D26" s="32" t="str">
        <f>'2021'!D12</f>
        <v>Sze</v>
      </c>
      <c r="E26" s="32" t="str">
        <f>'2021'!E12</f>
        <v>Cs</v>
      </c>
      <c r="F26" s="32" t="str">
        <f>'2021'!F12</f>
        <v>P</v>
      </c>
      <c r="G26" s="32" t="str">
        <f>'2021'!G12</f>
        <v>Szo</v>
      </c>
      <c r="H26" s="32" t="str">
        <f>'2021'!H12</f>
        <v>V</v>
      </c>
      <c r="I26" s="32" t="str">
        <f>'2021'!I12</f>
        <v>H</v>
      </c>
      <c r="J26" s="32" t="str">
        <f>'2021'!J12</f>
        <v>K</v>
      </c>
      <c r="K26" s="32" t="str">
        <f>'2021'!K12</f>
        <v>Sze</v>
      </c>
      <c r="L26" s="32" t="str">
        <f>'2021'!L12</f>
        <v>Cs</v>
      </c>
      <c r="M26" s="32" t="str">
        <f>'2021'!M12</f>
        <v>P</v>
      </c>
      <c r="N26" s="32" t="str">
        <f>'2021'!N12</f>
        <v>Szo</v>
      </c>
      <c r="O26" s="32" t="str">
        <f>'2021'!O12</f>
        <v>V</v>
      </c>
      <c r="P26" s="32" t="str">
        <f>'2021'!P12</f>
        <v>H</v>
      </c>
      <c r="Q26" s="32" t="str">
        <f>'2021'!Q12</f>
        <v>K</v>
      </c>
      <c r="R26" s="32" t="str">
        <f>'2021'!R12</f>
        <v>Sze</v>
      </c>
      <c r="S26" s="32" t="str">
        <f>'2021'!S12</f>
        <v>Cs</v>
      </c>
      <c r="T26" s="32" t="str">
        <f>'2021'!T12</f>
        <v>P</v>
      </c>
      <c r="U26" s="32" t="str">
        <f>'2021'!U12</f>
        <v>Szo</v>
      </c>
      <c r="V26" s="32" t="str">
        <f>'2021'!V12</f>
        <v>V</v>
      </c>
      <c r="W26" s="32" t="str">
        <f>'2021'!W12</f>
        <v>H</v>
      </c>
      <c r="X26" s="32" t="str">
        <f>'2021'!X12</f>
        <v>K</v>
      </c>
      <c r="Y26" s="32" t="str">
        <f>'2021'!Y12</f>
        <v>Sze</v>
      </c>
      <c r="Z26" s="32" t="str">
        <f>'2021'!Z12</f>
        <v>Cs</v>
      </c>
      <c r="AA26" s="32" t="str">
        <f>'2021'!AA12</f>
        <v>P</v>
      </c>
      <c r="AB26" s="32" t="str">
        <f>'2021'!AB12</f>
        <v>Szo</v>
      </c>
      <c r="AC26" s="32" t="str">
        <f>'2021'!AC12</f>
        <v>V</v>
      </c>
      <c r="AD26" s="27"/>
      <c r="AE26" s="27"/>
      <c r="AF26" s="27"/>
      <c r="AH26" s="55"/>
      <c r="AI26" s="55"/>
    </row>
    <row r="27" spans="1:35" ht="20.100000000000001" customHeight="1">
      <c r="A27" s="55"/>
      <c r="B27" s="32">
        <f>'2021'!B13</f>
        <v>1</v>
      </c>
      <c r="C27" s="32">
        <f>'2021'!C13</f>
        <v>1</v>
      </c>
      <c r="D27" s="32">
        <f>'2021'!D13</f>
        <v>1</v>
      </c>
      <c r="E27" s="32">
        <f>'2021'!E13</f>
        <v>1</v>
      </c>
      <c r="F27" s="32">
        <f>'2021'!F13</f>
        <v>1</v>
      </c>
      <c r="G27" s="32" t="str">
        <f>'2021'!G13</f>
        <v>X</v>
      </c>
      <c r="H27" s="32" t="str">
        <f>'2021'!H13</f>
        <v>X</v>
      </c>
      <c r="I27" s="32">
        <f>'2021'!I13</f>
        <v>3</v>
      </c>
      <c r="J27" s="32">
        <f>'2021'!J13</f>
        <v>3</v>
      </c>
      <c r="K27" s="32">
        <f>'2021'!K13</f>
        <v>3</v>
      </c>
      <c r="L27" s="32">
        <f>'2021'!L13</f>
        <v>3</v>
      </c>
      <c r="M27" s="32">
        <f>'2021'!M13</f>
        <v>3</v>
      </c>
      <c r="N27" s="32">
        <f>'2021'!N13</f>
        <v>3</v>
      </c>
      <c r="O27" s="32" t="str">
        <f>'2021'!O13</f>
        <v>X</v>
      </c>
      <c r="P27" s="32" t="str">
        <f>'2021'!P13</f>
        <v>X</v>
      </c>
      <c r="Q27" s="32">
        <f>'2021'!Q13</f>
        <v>2</v>
      </c>
      <c r="R27" s="32">
        <f>'2021'!R13</f>
        <v>2</v>
      </c>
      <c r="S27" s="32">
        <f>'2021'!S13</f>
        <v>2</v>
      </c>
      <c r="T27" s="32">
        <f>'2021'!T13</f>
        <v>2</v>
      </c>
      <c r="U27" s="32">
        <f>'2021'!U13</f>
        <v>2</v>
      </c>
      <c r="V27" s="32">
        <f>'2021'!V13</f>
        <v>2</v>
      </c>
      <c r="W27" s="32" t="str">
        <f>'2021'!W13</f>
        <v>X</v>
      </c>
      <c r="X27" s="32" t="str">
        <f>'2021'!X13</f>
        <v>X</v>
      </c>
      <c r="Y27" s="32">
        <f>'2021'!Y13</f>
        <v>1</v>
      </c>
      <c r="Z27" s="32">
        <f>'2021'!Z13</f>
        <v>1</v>
      </c>
      <c r="AA27" s="32">
        <f>'2021'!AA13</f>
        <v>1</v>
      </c>
      <c r="AB27" s="32">
        <f>'2021'!AB13</f>
        <v>1</v>
      </c>
      <c r="AC27" s="32">
        <f>'2021'!AC13</f>
        <v>1</v>
      </c>
      <c r="AD27" s="27"/>
      <c r="AE27" s="27"/>
      <c r="AF27" s="27"/>
      <c r="AH27" s="55"/>
      <c r="AI27" s="55"/>
    </row>
    <row r="28" spans="1:35" ht="20.100000000000001" customHeight="1">
      <c r="A28" s="24" t="str">
        <f>ÖSSZES!$A$3</f>
        <v>Csuka Lajos</v>
      </c>
      <c r="B28" s="39"/>
      <c r="C28" s="39"/>
      <c r="D28" s="39"/>
      <c r="E28" s="39"/>
      <c r="F28" s="39"/>
      <c r="G28" s="39" t="s">
        <v>2</v>
      </c>
      <c r="H28" s="39" t="s">
        <v>2</v>
      </c>
      <c r="I28" s="39"/>
      <c r="J28" s="39"/>
      <c r="K28" s="39"/>
      <c r="L28" s="39"/>
      <c r="M28" s="39"/>
      <c r="N28" s="39"/>
      <c r="O28" s="39" t="s">
        <v>2</v>
      </c>
      <c r="P28" s="39" t="s">
        <v>2</v>
      </c>
      <c r="Q28" s="39"/>
      <c r="R28" s="39"/>
      <c r="S28" s="39"/>
      <c r="T28" s="39"/>
      <c r="U28" s="39"/>
      <c r="V28" s="39"/>
      <c r="W28" s="39" t="s">
        <v>2</v>
      </c>
      <c r="X28" s="39" t="s">
        <v>2</v>
      </c>
      <c r="Y28" s="39"/>
      <c r="Z28" s="39"/>
      <c r="AA28" s="39"/>
      <c r="AB28" s="39"/>
      <c r="AC28" s="39"/>
      <c r="AD28" s="34"/>
      <c r="AE28" s="34"/>
      <c r="AF28" s="34"/>
      <c r="AH28" s="20">
        <f>1*COUNTIF(A28:AF28,"+")</f>
        <v>0</v>
      </c>
      <c r="AI28" s="20">
        <f t="shared" ref="AI28" si="3">1*COUNTIF(B28:AF28,"szf")</f>
        <v>0</v>
      </c>
    </row>
    <row r="29" spans="1:35" ht="20.100000000000001" customHeight="1">
      <c r="A29" s="24" t="str">
        <f>ÖSSZES!$A$4</f>
        <v>Batiz Attila</v>
      </c>
      <c r="B29" s="39"/>
      <c r="C29" s="39"/>
      <c r="D29" s="39"/>
      <c r="E29" s="39"/>
      <c r="F29" s="39"/>
      <c r="G29" s="39" t="s">
        <v>2</v>
      </c>
      <c r="H29" s="39" t="s">
        <v>2</v>
      </c>
      <c r="I29" s="39"/>
      <c r="J29" s="39"/>
      <c r="K29" s="39"/>
      <c r="L29" s="39"/>
      <c r="M29" s="39"/>
      <c r="N29" s="39"/>
      <c r="O29" s="39" t="s">
        <v>2</v>
      </c>
      <c r="P29" s="39" t="s">
        <v>2</v>
      </c>
      <c r="Q29" s="39"/>
      <c r="R29" s="39"/>
      <c r="S29" s="39"/>
      <c r="T29" s="39"/>
      <c r="U29" s="39"/>
      <c r="V29" s="39"/>
      <c r="W29" s="39" t="s">
        <v>2</v>
      </c>
      <c r="X29" s="39" t="s">
        <v>2</v>
      </c>
      <c r="Y29" s="39"/>
      <c r="Z29" s="39"/>
      <c r="AA29" s="39"/>
      <c r="AB29" s="39"/>
      <c r="AC29" s="39"/>
      <c r="AD29" s="34"/>
      <c r="AE29" s="34"/>
      <c r="AF29" s="34"/>
      <c r="AH29" s="20">
        <f t="shared" ref="AH29:AH47" si="4">1*COUNTIF(A29:AF29,"+")</f>
        <v>0</v>
      </c>
      <c r="AI29" s="20">
        <f t="shared" ref="AI29:AI47" si="5">1*COUNTIF(B29:AF29,"szf")</f>
        <v>0</v>
      </c>
    </row>
    <row r="30" spans="1:35" ht="20.100000000000001" customHeight="1">
      <c r="A30" s="24" t="str">
        <f>ÖSSZES!$A$5</f>
        <v>Füredi Antal</v>
      </c>
      <c r="B30" s="39"/>
      <c r="C30" s="39"/>
      <c r="D30" s="39"/>
      <c r="E30" s="39"/>
      <c r="F30" s="39"/>
      <c r="G30" s="39" t="s">
        <v>2</v>
      </c>
      <c r="H30" s="39" t="s">
        <v>2</v>
      </c>
      <c r="I30" s="39"/>
      <c r="J30" s="39"/>
      <c r="K30" s="39"/>
      <c r="L30" s="39"/>
      <c r="M30" s="39"/>
      <c r="N30" s="39"/>
      <c r="O30" s="39" t="s">
        <v>2</v>
      </c>
      <c r="P30" s="39" t="s">
        <v>2</v>
      </c>
      <c r="Q30" s="39"/>
      <c r="R30" s="39"/>
      <c r="S30" s="39"/>
      <c r="T30" s="39"/>
      <c r="U30" s="39"/>
      <c r="V30" s="39"/>
      <c r="W30" s="39" t="s">
        <v>2</v>
      </c>
      <c r="X30" s="39" t="s">
        <v>2</v>
      </c>
      <c r="Y30" s="39"/>
      <c r="Z30" s="39"/>
      <c r="AA30" s="39"/>
      <c r="AB30" s="39"/>
      <c r="AC30" s="39"/>
      <c r="AD30" s="34"/>
      <c r="AE30" s="34"/>
      <c r="AF30" s="34"/>
      <c r="AH30" s="20">
        <f t="shared" si="4"/>
        <v>0</v>
      </c>
      <c r="AI30" s="20">
        <f t="shared" si="5"/>
        <v>0</v>
      </c>
    </row>
    <row r="31" spans="1:35" ht="20.100000000000001" customHeight="1">
      <c r="A31" s="24" t="str">
        <f>ÖSSZES!$A$6</f>
        <v>Iványi István</v>
      </c>
      <c r="B31" s="39"/>
      <c r="C31" s="39"/>
      <c r="D31" s="39"/>
      <c r="E31" s="39"/>
      <c r="F31" s="39"/>
      <c r="G31" s="39" t="s">
        <v>2</v>
      </c>
      <c r="H31" s="39" t="s">
        <v>2</v>
      </c>
      <c r="I31" s="39"/>
      <c r="J31" s="39"/>
      <c r="K31" s="39"/>
      <c r="L31" s="39"/>
      <c r="M31" s="39"/>
      <c r="N31" s="39"/>
      <c r="O31" s="39" t="s">
        <v>2</v>
      </c>
      <c r="P31" s="39" t="s">
        <v>2</v>
      </c>
      <c r="Q31" s="39"/>
      <c r="R31" s="39"/>
      <c r="S31" s="39"/>
      <c r="T31" s="39"/>
      <c r="U31" s="39"/>
      <c r="V31" s="39"/>
      <c r="W31" s="39" t="s">
        <v>2</v>
      </c>
      <c r="X31" s="39" t="s">
        <v>2</v>
      </c>
      <c r="Y31" s="39"/>
      <c r="Z31" s="39"/>
      <c r="AA31" s="39"/>
      <c r="AB31" s="39"/>
      <c r="AC31" s="39"/>
      <c r="AD31" s="34"/>
      <c r="AE31" s="34"/>
      <c r="AF31" s="34"/>
      <c r="AH31" s="20">
        <f t="shared" si="4"/>
        <v>0</v>
      </c>
      <c r="AI31" s="20">
        <f t="shared" si="5"/>
        <v>0</v>
      </c>
    </row>
    <row r="32" spans="1:35" ht="20.100000000000001" customHeight="1">
      <c r="A32" s="24" t="str">
        <f>ÖSSZES!$A$7</f>
        <v>Katonka Tibor</v>
      </c>
      <c r="B32" s="39"/>
      <c r="C32" s="39"/>
      <c r="D32" s="39"/>
      <c r="E32" s="39"/>
      <c r="F32" s="39"/>
      <c r="G32" s="39" t="s">
        <v>2</v>
      </c>
      <c r="H32" s="39" t="s">
        <v>2</v>
      </c>
      <c r="I32" s="39"/>
      <c r="J32" s="39"/>
      <c r="K32" s="39"/>
      <c r="L32" s="39"/>
      <c r="M32" s="39"/>
      <c r="N32" s="39"/>
      <c r="O32" s="39" t="s">
        <v>2</v>
      </c>
      <c r="P32" s="39" t="s">
        <v>2</v>
      </c>
      <c r="Q32" s="39"/>
      <c r="R32" s="39"/>
      <c r="S32" s="39"/>
      <c r="T32" s="39"/>
      <c r="U32" s="39"/>
      <c r="V32" s="39"/>
      <c r="W32" s="39" t="s">
        <v>2</v>
      </c>
      <c r="X32" s="39" t="s">
        <v>2</v>
      </c>
      <c r="Y32" s="39"/>
      <c r="Z32" s="39"/>
      <c r="AA32" s="39"/>
      <c r="AB32" s="39"/>
      <c r="AC32" s="39"/>
      <c r="AD32" s="34"/>
      <c r="AE32" s="34"/>
      <c r="AF32" s="34"/>
      <c r="AH32" s="20">
        <f t="shared" si="4"/>
        <v>0</v>
      </c>
      <c r="AI32" s="20">
        <f t="shared" si="5"/>
        <v>0</v>
      </c>
    </row>
    <row r="33" spans="1:35" ht="20.100000000000001" customHeight="1">
      <c r="A33" s="24" t="str">
        <f>ÖSSZES!$A$8</f>
        <v>Mizsák Péter</v>
      </c>
      <c r="B33" s="39"/>
      <c r="C33" s="39"/>
      <c r="D33" s="39"/>
      <c r="E33" s="39"/>
      <c r="F33" s="39"/>
      <c r="G33" s="39" t="s">
        <v>2</v>
      </c>
      <c r="H33" s="39" t="s">
        <v>2</v>
      </c>
      <c r="I33" s="39"/>
      <c r="J33" s="39"/>
      <c r="K33" s="39"/>
      <c r="L33" s="39"/>
      <c r="M33" s="39"/>
      <c r="N33" s="39"/>
      <c r="O33" s="39" t="s">
        <v>2</v>
      </c>
      <c r="P33" s="39" t="s">
        <v>2</v>
      </c>
      <c r="Q33" s="39"/>
      <c r="R33" s="39"/>
      <c r="S33" s="39"/>
      <c r="T33" s="39"/>
      <c r="U33" s="39"/>
      <c r="V33" s="39"/>
      <c r="W33" s="39" t="s">
        <v>2</v>
      </c>
      <c r="X33" s="39" t="s">
        <v>2</v>
      </c>
      <c r="Y33" s="39"/>
      <c r="Z33" s="39"/>
      <c r="AA33" s="39"/>
      <c r="AB33" s="39"/>
      <c r="AC33" s="39"/>
      <c r="AD33" s="34"/>
      <c r="AE33" s="34"/>
      <c r="AF33" s="34"/>
      <c r="AH33" s="20">
        <f t="shared" si="4"/>
        <v>0</v>
      </c>
      <c r="AI33" s="20">
        <f t="shared" si="5"/>
        <v>0</v>
      </c>
    </row>
    <row r="34" spans="1:35" ht="20.100000000000001" customHeight="1">
      <c r="A34" s="24" t="str">
        <f>ÖSSZES!$A$9</f>
        <v>Vatamány Gergő</v>
      </c>
      <c r="B34" s="39"/>
      <c r="C34" s="39"/>
      <c r="D34" s="39"/>
      <c r="E34" s="39"/>
      <c r="F34" s="39"/>
      <c r="G34" s="39" t="s">
        <v>2</v>
      </c>
      <c r="H34" s="39" t="s">
        <v>2</v>
      </c>
      <c r="I34" s="39"/>
      <c r="J34" s="39"/>
      <c r="K34" s="39"/>
      <c r="L34" s="39"/>
      <c r="M34" s="39"/>
      <c r="N34" s="39"/>
      <c r="O34" s="39" t="s">
        <v>2</v>
      </c>
      <c r="P34" s="39" t="s">
        <v>2</v>
      </c>
      <c r="Q34" s="39"/>
      <c r="R34" s="39"/>
      <c r="S34" s="39"/>
      <c r="T34" s="39"/>
      <c r="U34" s="39"/>
      <c r="V34" s="39"/>
      <c r="W34" s="39" t="s">
        <v>2</v>
      </c>
      <c r="X34" s="39" t="s">
        <v>2</v>
      </c>
      <c r="Y34" s="39"/>
      <c r="Z34" s="39"/>
      <c r="AA34" s="39"/>
      <c r="AB34" s="39"/>
      <c r="AC34" s="39"/>
      <c r="AD34" s="34"/>
      <c r="AE34" s="34"/>
      <c r="AF34" s="34"/>
      <c r="AH34" s="20">
        <f t="shared" si="4"/>
        <v>0</v>
      </c>
      <c r="AI34" s="20">
        <f t="shared" si="5"/>
        <v>0</v>
      </c>
    </row>
    <row r="35" spans="1:35" ht="20.100000000000001" hidden="1" customHeight="1">
      <c r="A35" s="24" t="str">
        <f>ÖSSZES!$A$10</f>
        <v>Név8</v>
      </c>
      <c r="B35" s="39"/>
      <c r="C35" s="39"/>
      <c r="D35" s="39"/>
      <c r="E35" s="39"/>
      <c r="F35" s="39"/>
      <c r="G35" s="39" t="s">
        <v>2</v>
      </c>
      <c r="H35" s="39" t="s">
        <v>2</v>
      </c>
      <c r="I35" s="39"/>
      <c r="J35" s="39"/>
      <c r="K35" s="39"/>
      <c r="L35" s="39"/>
      <c r="M35" s="39"/>
      <c r="N35" s="39"/>
      <c r="O35" s="39" t="s">
        <v>2</v>
      </c>
      <c r="P35" s="39" t="s">
        <v>2</v>
      </c>
      <c r="Q35" s="39"/>
      <c r="R35" s="39"/>
      <c r="S35" s="39"/>
      <c r="T35" s="39"/>
      <c r="U35" s="39"/>
      <c r="V35" s="39"/>
      <c r="W35" s="39" t="s">
        <v>2</v>
      </c>
      <c r="X35" s="39" t="s">
        <v>2</v>
      </c>
      <c r="Y35" s="39"/>
      <c r="Z35" s="39"/>
      <c r="AA35" s="39"/>
      <c r="AB35" s="39"/>
      <c r="AC35" s="39"/>
      <c r="AD35" s="34"/>
      <c r="AE35" s="34"/>
      <c r="AF35" s="34"/>
      <c r="AH35" s="20">
        <f t="shared" si="4"/>
        <v>0</v>
      </c>
      <c r="AI35" s="20">
        <f t="shared" si="5"/>
        <v>0</v>
      </c>
    </row>
    <row r="36" spans="1:35" ht="20.100000000000001" hidden="1" customHeight="1">
      <c r="A36" s="24" t="str">
        <f>ÖSSZES!$A$11</f>
        <v>Név9</v>
      </c>
      <c r="B36" s="39"/>
      <c r="C36" s="39"/>
      <c r="D36" s="39"/>
      <c r="E36" s="39"/>
      <c r="F36" s="39"/>
      <c r="G36" s="39" t="s">
        <v>2</v>
      </c>
      <c r="H36" s="39" t="s">
        <v>2</v>
      </c>
      <c r="I36" s="39"/>
      <c r="J36" s="39"/>
      <c r="K36" s="39"/>
      <c r="L36" s="39"/>
      <c r="M36" s="39"/>
      <c r="N36" s="39"/>
      <c r="O36" s="39" t="s">
        <v>2</v>
      </c>
      <c r="P36" s="39" t="s">
        <v>2</v>
      </c>
      <c r="Q36" s="39"/>
      <c r="R36" s="39"/>
      <c r="S36" s="39"/>
      <c r="T36" s="39"/>
      <c r="U36" s="39"/>
      <c r="V36" s="39"/>
      <c r="W36" s="39" t="s">
        <v>2</v>
      </c>
      <c r="X36" s="39" t="s">
        <v>2</v>
      </c>
      <c r="Y36" s="39"/>
      <c r="Z36" s="39"/>
      <c r="AA36" s="39"/>
      <c r="AB36" s="39"/>
      <c r="AC36" s="39"/>
      <c r="AD36" s="34"/>
      <c r="AE36" s="34"/>
      <c r="AF36" s="34"/>
      <c r="AH36" s="20">
        <f t="shared" si="4"/>
        <v>0</v>
      </c>
      <c r="AI36" s="20">
        <f t="shared" si="5"/>
        <v>0</v>
      </c>
    </row>
    <row r="37" spans="1:35" ht="20.100000000000001" hidden="1" customHeight="1">
      <c r="A37" s="24" t="str">
        <f>ÖSSZES!$A$12</f>
        <v>Név10</v>
      </c>
      <c r="B37" s="39"/>
      <c r="C37" s="39"/>
      <c r="D37" s="39"/>
      <c r="E37" s="39"/>
      <c r="F37" s="39"/>
      <c r="G37" s="39" t="s">
        <v>2</v>
      </c>
      <c r="H37" s="39" t="s">
        <v>2</v>
      </c>
      <c r="I37" s="39"/>
      <c r="J37" s="39"/>
      <c r="K37" s="39"/>
      <c r="L37" s="39"/>
      <c r="M37" s="39"/>
      <c r="N37" s="39"/>
      <c r="O37" s="39" t="s">
        <v>2</v>
      </c>
      <c r="P37" s="39" t="s">
        <v>2</v>
      </c>
      <c r="Q37" s="39"/>
      <c r="R37" s="39"/>
      <c r="S37" s="39"/>
      <c r="T37" s="39"/>
      <c r="U37" s="39"/>
      <c r="V37" s="39"/>
      <c r="W37" s="39" t="s">
        <v>2</v>
      </c>
      <c r="X37" s="39" t="s">
        <v>2</v>
      </c>
      <c r="Y37" s="39"/>
      <c r="Z37" s="39"/>
      <c r="AA37" s="39"/>
      <c r="AB37" s="39"/>
      <c r="AC37" s="39"/>
      <c r="AD37" s="34"/>
      <c r="AE37" s="34"/>
      <c r="AF37" s="34"/>
      <c r="AH37" s="20">
        <f t="shared" si="4"/>
        <v>0</v>
      </c>
      <c r="AI37" s="20">
        <f t="shared" si="5"/>
        <v>0</v>
      </c>
    </row>
    <row r="38" spans="1:35" ht="20.100000000000001" hidden="1" customHeight="1">
      <c r="A38" s="24" t="str">
        <f>ÖSSZES!$A$13</f>
        <v>Név11</v>
      </c>
      <c r="B38" s="39"/>
      <c r="C38" s="39"/>
      <c r="D38" s="39"/>
      <c r="E38" s="39"/>
      <c r="F38" s="39"/>
      <c r="G38" s="39" t="s">
        <v>2</v>
      </c>
      <c r="H38" s="39" t="s">
        <v>2</v>
      </c>
      <c r="I38" s="39"/>
      <c r="J38" s="39"/>
      <c r="K38" s="39"/>
      <c r="L38" s="39"/>
      <c r="M38" s="39"/>
      <c r="N38" s="39"/>
      <c r="O38" s="39" t="s">
        <v>2</v>
      </c>
      <c r="P38" s="39" t="s">
        <v>2</v>
      </c>
      <c r="Q38" s="39"/>
      <c r="R38" s="39"/>
      <c r="S38" s="39"/>
      <c r="T38" s="39"/>
      <c r="U38" s="39"/>
      <c r="V38" s="39"/>
      <c r="W38" s="39" t="s">
        <v>2</v>
      </c>
      <c r="X38" s="39" t="s">
        <v>2</v>
      </c>
      <c r="Y38" s="39"/>
      <c r="Z38" s="39"/>
      <c r="AA38" s="39"/>
      <c r="AB38" s="39"/>
      <c r="AC38" s="39"/>
      <c r="AD38" s="34"/>
      <c r="AE38" s="34"/>
      <c r="AF38" s="34"/>
      <c r="AH38" s="20">
        <f t="shared" si="4"/>
        <v>0</v>
      </c>
      <c r="AI38" s="20">
        <f t="shared" si="5"/>
        <v>0</v>
      </c>
    </row>
    <row r="39" spans="1:35" ht="20.100000000000001" hidden="1" customHeight="1">
      <c r="A39" s="24" t="str">
        <f>ÖSSZES!$A$14</f>
        <v>Név12</v>
      </c>
      <c r="B39" s="39"/>
      <c r="C39" s="39"/>
      <c r="D39" s="39"/>
      <c r="E39" s="39"/>
      <c r="F39" s="39"/>
      <c r="G39" s="39" t="s">
        <v>2</v>
      </c>
      <c r="H39" s="39" t="s">
        <v>2</v>
      </c>
      <c r="I39" s="39"/>
      <c r="J39" s="39"/>
      <c r="K39" s="39"/>
      <c r="L39" s="39"/>
      <c r="M39" s="39"/>
      <c r="N39" s="39"/>
      <c r="O39" s="39" t="s">
        <v>2</v>
      </c>
      <c r="P39" s="39" t="s">
        <v>2</v>
      </c>
      <c r="Q39" s="39"/>
      <c r="R39" s="39"/>
      <c r="S39" s="39"/>
      <c r="T39" s="39"/>
      <c r="U39" s="39"/>
      <c r="V39" s="39"/>
      <c r="W39" s="39" t="s">
        <v>2</v>
      </c>
      <c r="X39" s="39" t="s">
        <v>2</v>
      </c>
      <c r="Y39" s="39"/>
      <c r="Z39" s="39"/>
      <c r="AA39" s="39"/>
      <c r="AB39" s="39"/>
      <c r="AC39" s="39"/>
      <c r="AD39" s="34"/>
      <c r="AE39" s="34"/>
      <c r="AF39" s="34"/>
      <c r="AH39" s="20">
        <f t="shared" si="4"/>
        <v>0</v>
      </c>
      <c r="AI39" s="20">
        <f t="shared" si="5"/>
        <v>0</v>
      </c>
    </row>
    <row r="40" spans="1:35" ht="20.100000000000001" hidden="1" customHeight="1">
      <c r="A40" s="24" t="str">
        <f>ÖSSZES!$A$15</f>
        <v>Név13</v>
      </c>
      <c r="B40" s="39"/>
      <c r="C40" s="39"/>
      <c r="D40" s="39"/>
      <c r="E40" s="39"/>
      <c r="F40" s="39"/>
      <c r="G40" s="39" t="s">
        <v>2</v>
      </c>
      <c r="H40" s="39" t="s">
        <v>2</v>
      </c>
      <c r="I40" s="39"/>
      <c r="J40" s="39"/>
      <c r="K40" s="39"/>
      <c r="L40" s="39"/>
      <c r="M40" s="39"/>
      <c r="N40" s="39"/>
      <c r="O40" s="39" t="s">
        <v>2</v>
      </c>
      <c r="P40" s="39" t="s">
        <v>2</v>
      </c>
      <c r="Q40" s="39"/>
      <c r="R40" s="39"/>
      <c r="S40" s="39"/>
      <c r="T40" s="39"/>
      <c r="U40" s="39"/>
      <c r="V40" s="39"/>
      <c r="W40" s="39" t="s">
        <v>2</v>
      </c>
      <c r="X40" s="39" t="s">
        <v>2</v>
      </c>
      <c r="Y40" s="39"/>
      <c r="Z40" s="39"/>
      <c r="AA40" s="39"/>
      <c r="AB40" s="39"/>
      <c r="AC40" s="39"/>
      <c r="AD40" s="34"/>
      <c r="AE40" s="34"/>
      <c r="AF40" s="34"/>
      <c r="AH40" s="20">
        <f t="shared" si="4"/>
        <v>0</v>
      </c>
      <c r="AI40" s="20">
        <f t="shared" si="5"/>
        <v>0</v>
      </c>
    </row>
    <row r="41" spans="1:35" ht="20.100000000000001" hidden="1" customHeight="1">
      <c r="A41" s="24" t="str">
        <f>ÖSSZES!$A$16</f>
        <v>Név14</v>
      </c>
      <c r="B41" s="39"/>
      <c r="C41" s="39"/>
      <c r="D41" s="39"/>
      <c r="E41" s="39"/>
      <c r="F41" s="39"/>
      <c r="G41" s="39" t="s">
        <v>2</v>
      </c>
      <c r="H41" s="39" t="s">
        <v>2</v>
      </c>
      <c r="I41" s="39"/>
      <c r="J41" s="39"/>
      <c r="K41" s="39"/>
      <c r="L41" s="39"/>
      <c r="M41" s="39"/>
      <c r="N41" s="39"/>
      <c r="O41" s="39" t="s">
        <v>2</v>
      </c>
      <c r="P41" s="39" t="s">
        <v>2</v>
      </c>
      <c r="Q41" s="39"/>
      <c r="R41" s="39"/>
      <c r="S41" s="39"/>
      <c r="T41" s="39"/>
      <c r="U41" s="39"/>
      <c r="V41" s="39"/>
      <c r="W41" s="39" t="s">
        <v>2</v>
      </c>
      <c r="X41" s="39" t="s">
        <v>2</v>
      </c>
      <c r="Y41" s="39"/>
      <c r="Z41" s="39"/>
      <c r="AA41" s="39"/>
      <c r="AB41" s="39"/>
      <c r="AC41" s="39"/>
      <c r="AD41" s="34"/>
      <c r="AE41" s="34"/>
      <c r="AF41" s="34"/>
      <c r="AH41" s="20">
        <f t="shared" si="4"/>
        <v>0</v>
      </c>
      <c r="AI41" s="20">
        <f t="shared" si="5"/>
        <v>0</v>
      </c>
    </row>
    <row r="42" spans="1:35" ht="20.100000000000001" hidden="1" customHeight="1">
      <c r="A42" s="24" t="str">
        <f>ÖSSZES!$A$17</f>
        <v>Név15</v>
      </c>
      <c r="B42" s="39"/>
      <c r="C42" s="39"/>
      <c r="D42" s="39"/>
      <c r="E42" s="39"/>
      <c r="F42" s="39"/>
      <c r="G42" s="39" t="s">
        <v>2</v>
      </c>
      <c r="H42" s="39" t="s">
        <v>2</v>
      </c>
      <c r="I42" s="39"/>
      <c r="J42" s="39"/>
      <c r="K42" s="39"/>
      <c r="L42" s="39"/>
      <c r="M42" s="39"/>
      <c r="N42" s="39"/>
      <c r="O42" s="39" t="s">
        <v>2</v>
      </c>
      <c r="P42" s="39" t="s">
        <v>2</v>
      </c>
      <c r="Q42" s="39"/>
      <c r="R42" s="39"/>
      <c r="S42" s="39"/>
      <c r="T42" s="39"/>
      <c r="U42" s="39"/>
      <c r="V42" s="39"/>
      <c r="W42" s="39" t="s">
        <v>2</v>
      </c>
      <c r="X42" s="39" t="s">
        <v>2</v>
      </c>
      <c r="Y42" s="39"/>
      <c r="Z42" s="39"/>
      <c r="AA42" s="39"/>
      <c r="AB42" s="39"/>
      <c r="AC42" s="39"/>
      <c r="AD42" s="34"/>
      <c r="AE42" s="34"/>
      <c r="AF42" s="34"/>
      <c r="AH42" s="20">
        <f t="shared" si="4"/>
        <v>0</v>
      </c>
      <c r="AI42" s="20">
        <f t="shared" si="5"/>
        <v>0</v>
      </c>
    </row>
    <row r="43" spans="1:35" ht="20.100000000000001" hidden="1" customHeight="1">
      <c r="A43" s="24" t="str">
        <f>ÖSSZES!$A$18</f>
        <v>Név16</v>
      </c>
      <c r="B43" s="39"/>
      <c r="C43" s="39"/>
      <c r="D43" s="39"/>
      <c r="E43" s="39"/>
      <c r="F43" s="39"/>
      <c r="G43" s="39" t="s">
        <v>2</v>
      </c>
      <c r="H43" s="39" t="s">
        <v>2</v>
      </c>
      <c r="I43" s="39"/>
      <c r="J43" s="39"/>
      <c r="K43" s="39"/>
      <c r="L43" s="39"/>
      <c r="M43" s="39"/>
      <c r="N43" s="39"/>
      <c r="O43" s="39" t="s">
        <v>2</v>
      </c>
      <c r="P43" s="39" t="s">
        <v>2</v>
      </c>
      <c r="Q43" s="39"/>
      <c r="R43" s="39"/>
      <c r="S43" s="39"/>
      <c r="T43" s="39"/>
      <c r="U43" s="39"/>
      <c r="V43" s="39"/>
      <c r="W43" s="39" t="s">
        <v>2</v>
      </c>
      <c r="X43" s="39" t="s">
        <v>2</v>
      </c>
      <c r="Y43" s="39"/>
      <c r="Z43" s="39"/>
      <c r="AA43" s="39"/>
      <c r="AB43" s="39"/>
      <c r="AC43" s="39"/>
      <c r="AD43" s="34"/>
      <c r="AE43" s="34"/>
      <c r="AF43" s="34"/>
      <c r="AH43" s="20">
        <f t="shared" si="4"/>
        <v>0</v>
      </c>
      <c r="AI43" s="20">
        <f t="shared" si="5"/>
        <v>0</v>
      </c>
    </row>
    <row r="44" spans="1:35" ht="20.100000000000001" hidden="1" customHeight="1">
      <c r="A44" s="24" t="str">
        <f>ÖSSZES!$A$19</f>
        <v>Név17</v>
      </c>
      <c r="B44" s="39"/>
      <c r="C44" s="39"/>
      <c r="D44" s="39"/>
      <c r="E44" s="39"/>
      <c r="F44" s="39"/>
      <c r="G44" s="39" t="s">
        <v>2</v>
      </c>
      <c r="H44" s="39" t="s">
        <v>2</v>
      </c>
      <c r="I44" s="39"/>
      <c r="J44" s="39"/>
      <c r="K44" s="39"/>
      <c r="L44" s="39"/>
      <c r="M44" s="39"/>
      <c r="N44" s="39"/>
      <c r="O44" s="39" t="s">
        <v>2</v>
      </c>
      <c r="P44" s="39" t="s">
        <v>2</v>
      </c>
      <c r="Q44" s="39"/>
      <c r="R44" s="39"/>
      <c r="S44" s="39"/>
      <c r="T44" s="39"/>
      <c r="U44" s="39"/>
      <c r="V44" s="39"/>
      <c r="W44" s="39" t="s">
        <v>2</v>
      </c>
      <c r="X44" s="39" t="s">
        <v>2</v>
      </c>
      <c r="Y44" s="39"/>
      <c r="Z44" s="39"/>
      <c r="AA44" s="39"/>
      <c r="AB44" s="39"/>
      <c r="AC44" s="39"/>
      <c r="AD44" s="34"/>
      <c r="AE44" s="34"/>
      <c r="AF44" s="34"/>
      <c r="AH44" s="20">
        <f t="shared" si="4"/>
        <v>0</v>
      </c>
      <c r="AI44" s="20">
        <f t="shared" si="5"/>
        <v>0</v>
      </c>
    </row>
    <row r="45" spans="1:35" ht="20.100000000000001" hidden="1" customHeight="1">
      <c r="A45" s="24" t="str">
        <f>ÖSSZES!$A$20</f>
        <v>Név18</v>
      </c>
      <c r="B45" s="39"/>
      <c r="C45" s="39"/>
      <c r="D45" s="39"/>
      <c r="E45" s="39"/>
      <c r="F45" s="39"/>
      <c r="G45" s="39" t="s">
        <v>2</v>
      </c>
      <c r="H45" s="39" t="s">
        <v>2</v>
      </c>
      <c r="I45" s="39"/>
      <c r="J45" s="39"/>
      <c r="K45" s="39"/>
      <c r="L45" s="39"/>
      <c r="M45" s="39"/>
      <c r="N45" s="39"/>
      <c r="O45" s="39" t="s">
        <v>2</v>
      </c>
      <c r="P45" s="39" t="s">
        <v>2</v>
      </c>
      <c r="Q45" s="39"/>
      <c r="R45" s="39"/>
      <c r="S45" s="39"/>
      <c r="T45" s="39"/>
      <c r="U45" s="39"/>
      <c r="V45" s="39"/>
      <c r="W45" s="39" t="s">
        <v>2</v>
      </c>
      <c r="X45" s="39" t="s">
        <v>2</v>
      </c>
      <c r="Y45" s="39"/>
      <c r="Z45" s="39"/>
      <c r="AA45" s="39"/>
      <c r="AB45" s="39"/>
      <c r="AC45" s="39"/>
      <c r="AD45" s="34"/>
      <c r="AE45" s="34"/>
      <c r="AF45" s="34"/>
      <c r="AH45" s="20">
        <f t="shared" si="4"/>
        <v>0</v>
      </c>
      <c r="AI45" s="20">
        <f t="shared" si="5"/>
        <v>0</v>
      </c>
    </row>
    <row r="46" spans="1:35" ht="20.100000000000001" hidden="1" customHeight="1">
      <c r="A46" s="24" t="str">
        <f>ÖSSZES!$A$21</f>
        <v>Név19</v>
      </c>
      <c r="B46" s="39"/>
      <c r="C46" s="39"/>
      <c r="D46" s="39"/>
      <c r="E46" s="39"/>
      <c r="F46" s="39"/>
      <c r="G46" s="39" t="s">
        <v>2</v>
      </c>
      <c r="H46" s="39" t="s">
        <v>2</v>
      </c>
      <c r="I46" s="39"/>
      <c r="J46" s="39"/>
      <c r="K46" s="39"/>
      <c r="L46" s="39"/>
      <c r="M46" s="39"/>
      <c r="N46" s="39"/>
      <c r="O46" s="39" t="s">
        <v>2</v>
      </c>
      <c r="P46" s="39" t="s">
        <v>2</v>
      </c>
      <c r="Q46" s="39"/>
      <c r="R46" s="39"/>
      <c r="S46" s="39"/>
      <c r="T46" s="39"/>
      <c r="U46" s="39"/>
      <c r="V46" s="39"/>
      <c r="W46" s="39" t="s">
        <v>2</v>
      </c>
      <c r="X46" s="39" t="s">
        <v>2</v>
      </c>
      <c r="Y46" s="39"/>
      <c r="Z46" s="39"/>
      <c r="AA46" s="39"/>
      <c r="AB46" s="39"/>
      <c r="AC46" s="39"/>
      <c r="AD46" s="34"/>
      <c r="AE46" s="34"/>
      <c r="AF46" s="34"/>
      <c r="AH46" s="20">
        <f t="shared" si="4"/>
        <v>0</v>
      </c>
      <c r="AI46" s="20">
        <f t="shared" si="5"/>
        <v>0</v>
      </c>
    </row>
    <row r="47" spans="1:35" ht="20.100000000000001" hidden="1" customHeight="1">
      <c r="A47" s="24" t="str">
        <f>ÖSSZES!$A$17</f>
        <v>Név15</v>
      </c>
      <c r="B47" s="39"/>
      <c r="C47" s="39"/>
      <c r="D47" s="39"/>
      <c r="E47" s="39"/>
      <c r="F47" s="39"/>
      <c r="G47" s="39" t="s">
        <v>2</v>
      </c>
      <c r="H47" s="39" t="s">
        <v>2</v>
      </c>
      <c r="I47" s="39"/>
      <c r="J47" s="39"/>
      <c r="K47" s="39"/>
      <c r="L47" s="39"/>
      <c r="M47" s="39"/>
      <c r="N47" s="39"/>
      <c r="O47" s="39" t="s">
        <v>2</v>
      </c>
      <c r="P47" s="39" t="s">
        <v>2</v>
      </c>
      <c r="Q47" s="39"/>
      <c r="R47" s="39"/>
      <c r="S47" s="39"/>
      <c r="T47" s="39"/>
      <c r="U47" s="39"/>
      <c r="V47" s="39"/>
      <c r="W47" s="39" t="s">
        <v>2</v>
      </c>
      <c r="X47" s="39" t="s">
        <v>2</v>
      </c>
      <c r="Y47" s="39"/>
      <c r="Z47" s="39"/>
      <c r="AA47" s="39"/>
      <c r="AB47" s="39"/>
      <c r="AC47" s="39"/>
      <c r="AD47" s="34"/>
      <c r="AE47" s="34"/>
      <c r="AF47" s="34"/>
      <c r="AH47" s="20">
        <f t="shared" si="4"/>
        <v>0</v>
      </c>
      <c r="AI47" s="20">
        <f t="shared" si="5"/>
        <v>0</v>
      </c>
    </row>
    <row r="48" spans="1:35" ht="20.100000000000001" customHeight="1"/>
    <row r="49" spans="1:35" s="31" customFormat="1" ht="20.100000000000001" customHeight="1">
      <c r="A49" s="54" t="s">
        <v>7</v>
      </c>
      <c r="B49" s="30">
        <v>1</v>
      </c>
      <c r="C49" s="30">
        <v>2</v>
      </c>
      <c r="D49" s="30">
        <v>3</v>
      </c>
      <c r="E49" s="30">
        <v>4</v>
      </c>
      <c r="F49" s="30">
        <v>5</v>
      </c>
      <c r="G49" s="30">
        <v>6</v>
      </c>
      <c r="H49" s="30">
        <v>7</v>
      </c>
      <c r="I49" s="30">
        <v>8</v>
      </c>
      <c r="J49" s="30">
        <v>9</v>
      </c>
      <c r="K49" s="30">
        <v>10</v>
      </c>
      <c r="L49" s="30">
        <v>11</v>
      </c>
      <c r="M49" s="30">
        <v>12</v>
      </c>
      <c r="N49" s="30">
        <v>13</v>
      </c>
      <c r="O49" s="30">
        <v>14</v>
      </c>
      <c r="P49" s="29">
        <v>15</v>
      </c>
      <c r="Q49" s="30">
        <v>16</v>
      </c>
      <c r="R49" s="30">
        <v>17</v>
      </c>
      <c r="S49" s="30">
        <v>18</v>
      </c>
      <c r="T49" s="30">
        <v>19</v>
      </c>
      <c r="U49" s="30">
        <v>20</v>
      </c>
      <c r="V49" s="30">
        <v>21</v>
      </c>
      <c r="W49" s="30">
        <v>22</v>
      </c>
      <c r="X49" s="30">
        <v>23</v>
      </c>
      <c r="Y49" s="30">
        <v>24</v>
      </c>
      <c r="Z49" s="30">
        <v>25</v>
      </c>
      <c r="AA49" s="30">
        <v>26</v>
      </c>
      <c r="AB49" s="30">
        <v>27</v>
      </c>
      <c r="AC49" s="30">
        <v>28</v>
      </c>
      <c r="AD49" s="30">
        <v>29</v>
      </c>
      <c r="AE49" s="30">
        <v>30</v>
      </c>
      <c r="AF49" s="30">
        <v>31</v>
      </c>
      <c r="AH49" s="54" t="s">
        <v>18</v>
      </c>
      <c r="AI49" s="54" t="s">
        <v>19</v>
      </c>
    </row>
    <row r="50" spans="1:35" ht="20.100000000000001" customHeight="1">
      <c r="A50" s="56"/>
      <c r="B50" s="32" t="str">
        <f>'2021'!B20</f>
        <v>H</v>
      </c>
      <c r="C50" s="32" t="str">
        <f>'2021'!C20</f>
        <v>K</v>
      </c>
      <c r="D50" s="32" t="str">
        <f>'2021'!D20</f>
        <v>Sze</v>
      </c>
      <c r="E50" s="32" t="str">
        <f>'2021'!E20</f>
        <v>Cs</v>
      </c>
      <c r="F50" s="32" t="str">
        <f>'2021'!F20</f>
        <v>P</v>
      </c>
      <c r="G50" s="32" t="str">
        <f>'2021'!G20</f>
        <v>Szo</v>
      </c>
      <c r="H50" s="32" t="str">
        <f>'2021'!H20</f>
        <v>V</v>
      </c>
      <c r="I50" s="32" t="str">
        <f>'2021'!I20</f>
        <v>H</v>
      </c>
      <c r="J50" s="32" t="str">
        <f>'2021'!J20</f>
        <v>K</v>
      </c>
      <c r="K50" s="32" t="str">
        <f>'2021'!K20</f>
        <v>Sze</v>
      </c>
      <c r="L50" s="32" t="str">
        <f>'2021'!L20</f>
        <v>Cs</v>
      </c>
      <c r="M50" s="32" t="str">
        <f>'2021'!M20</f>
        <v>P</v>
      </c>
      <c r="N50" s="32" t="str">
        <f>'2021'!N20</f>
        <v>Szo</v>
      </c>
      <c r="O50" s="32" t="str">
        <f>'2021'!O20</f>
        <v>V</v>
      </c>
      <c r="P50" s="32" t="str">
        <f>'2021'!P20</f>
        <v>H</v>
      </c>
      <c r="Q50" s="32" t="str">
        <f>'2021'!Q20</f>
        <v>K</v>
      </c>
      <c r="R50" s="32" t="str">
        <f>'2021'!R20</f>
        <v>Sze</v>
      </c>
      <c r="S50" s="32" t="str">
        <f>'2021'!S20</f>
        <v>Cs</v>
      </c>
      <c r="T50" s="32" t="str">
        <f>'2021'!T20</f>
        <v>P</v>
      </c>
      <c r="U50" s="32" t="str">
        <f>'2021'!U20</f>
        <v>Szo</v>
      </c>
      <c r="V50" s="32" t="str">
        <f>'2021'!V20</f>
        <v>V</v>
      </c>
      <c r="W50" s="32" t="str">
        <f>'2021'!W20</f>
        <v>H</v>
      </c>
      <c r="X50" s="32" t="str">
        <f>'2021'!X20</f>
        <v>K</v>
      </c>
      <c r="Y50" s="32" t="str">
        <f>'2021'!Y20</f>
        <v>Sze</v>
      </c>
      <c r="Z50" s="32" t="str">
        <f>'2021'!Z20</f>
        <v>Cs</v>
      </c>
      <c r="AA50" s="32" t="str">
        <f>'2021'!AA20</f>
        <v>P</v>
      </c>
      <c r="AB50" s="32" t="str">
        <f>'2021'!AB20</f>
        <v>Szo</v>
      </c>
      <c r="AC50" s="32" t="str">
        <f>'2021'!AC20</f>
        <v>V</v>
      </c>
      <c r="AD50" s="32" t="str">
        <f>'2021'!AD20</f>
        <v>H</v>
      </c>
      <c r="AE50" s="32" t="str">
        <f>'2021'!AE20</f>
        <v>K</v>
      </c>
      <c r="AF50" s="32" t="str">
        <f>'2021'!AF20</f>
        <v>Sze</v>
      </c>
      <c r="AH50" s="55"/>
      <c r="AI50" s="55"/>
    </row>
    <row r="51" spans="1:35" ht="20.100000000000001" customHeight="1">
      <c r="A51" s="55"/>
      <c r="B51" s="32">
        <f>'2021'!B21</f>
        <v>1</v>
      </c>
      <c r="C51" s="32" t="str">
        <f>'2021'!C21</f>
        <v>X</v>
      </c>
      <c r="D51" s="32" t="str">
        <f>'2021'!D21</f>
        <v>X</v>
      </c>
      <c r="E51" s="32">
        <f>'2021'!E21</f>
        <v>3</v>
      </c>
      <c r="F51" s="32">
        <f>'2021'!F21</f>
        <v>3</v>
      </c>
      <c r="G51" s="32">
        <f>'2021'!G21</f>
        <v>3</v>
      </c>
      <c r="H51" s="32">
        <f>'2021'!H21</f>
        <v>3</v>
      </c>
      <c r="I51" s="32">
        <f>'2021'!I21</f>
        <v>3</v>
      </c>
      <c r="J51" s="32">
        <f>'2021'!J21</f>
        <v>3</v>
      </c>
      <c r="K51" s="32" t="str">
        <f>'2021'!K21</f>
        <v>X</v>
      </c>
      <c r="L51" s="32" t="str">
        <f>'2021'!L21</f>
        <v>X</v>
      </c>
      <c r="M51" s="32">
        <f>'2021'!M21</f>
        <v>2</v>
      </c>
      <c r="N51" s="32">
        <f>'2021'!N21</f>
        <v>2</v>
      </c>
      <c r="O51" s="32">
        <f>'2021'!O21</f>
        <v>2</v>
      </c>
      <c r="P51" s="32">
        <f>'2021'!P21</f>
        <v>2</v>
      </c>
      <c r="Q51" s="32">
        <f>'2021'!Q21</f>
        <v>2</v>
      </c>
      <c r="R51" s="32">
        <f>'2021'!R21</f>
        <v>2</v>
      </c>
      <c r="S51" s="32" t="str">
        <f>'2021'!S21</f>
        <v>X</v>
      </c>
      <c r="T51" s="32" t="str">
        <f>'2021'!T21</f>
        <v>X</v>
      </c>
      <c r="U51" s="32">
        <f>'2021'!U21</f>
        <v>1</v>
      </c>
      <c r="V51" s="32">
        <f>'2021'!V21</f>
        <v>1</v>
      </c>
      <c r="W51" s="32">
        <f>'2021'!W21</f>
        <v>1</v>
      </c>
      <c r="X51" s="32">
        <f>'2021'!X21</f>
        <v>1</v>
      </c>
      <c r="Y51" s="32">
        <f>'2021'!Y21</f>
        <v>1</v>
      </c>
      <c r="Z51" s="32">
        <f>'2021'!Z21</f>
        <v>1</v>
      </c>
      <c r="AA51" s="32" t="str">
        <f>'2021'!AA21</f>
        <v>X</v>
      </c>
      <c r="AB51" s="32" t="str">
        <f>'2021'!AB21</f>
        <v>X</v>
      </c>
      <c r="AC51" s="32">
        <f>'2021'!AC21</f>
        <v>3</v>
      </c>
      <c r="AD51" s="32">
        <f>'2021'!AD21</f>
        <v>3</v>
      </c>
      <c r="AE51" s="32">
        <f>'2021'!AE21</f>
        <v>3</v>
      </c>
      <c r="AF51" s="32">
        <f>'2021'!AF21</f>
        <v>3</v>
      </c>
      <c r="AH51" s="55"/>
      <c r="AI51" s="55"/>
    </row>
    <row r="52" spans="1:35" ht="20.100000000000001" customHeight="1">
      <c r="A52" s="24" t="str">
        <f>ÖSSZES!$A$3</f>
        <v>Csuka Lajos</v>
      </c>
      <c r="B52" s="37"/>
      <c r="C52" s="39" t="s">
        <v>2</v>
      </c>
      <c r="D52" s="39" t="s">
        <v>2</v>
      </c>
      <c r="E52" s="37"/>
      <c r="F52" s="37"/>
      <c r="G52" s="37"/>
      <c r="H52" s="37"/>
      <c r="I52" s="37"/>
      <c r="J52" s="37"/>
      <c r="K52" s="39" t="s">
        <v>2</v>
      </c>
      <c r="L52" s="39" t="s">
        <v>2</v>
      </c>
      <c r="M52" s="37"/>
      <c r="N52" s="37"/>
      <c r="O52" s="37"/>
      <c r="P52" s="37"/>
      <c r="Q52" s="37"/>
      <c r="R52" s="37"/>
      <c r="S52" s="39" t="s">
        <v>2</v>
      </c>
      <c r="T52" s="39" t="s">
        <v>2</v>
      </c>
      <c r="U52" s="37"/>
      <c r="V52" s="37"/>
      <c r="W52" s="37"/>
      <c r="X52" s="37"/>
      <c r="Y52" s="37"/>
      <c r="Z52" s="37"/>
      <c r="AA52" s="39" t="s">
        <v>2</v>
      </c>
      <c r="AB52" s="39" t="s">
        <v>2</v>
      </c>
      <c r="AC52" s="37"/>
      <c r="AD52" s="37"/>
      <c r="AE52" s="37"/>
      <c r="AF52" s="37"/>
      <c r="AH52" s="20">
        <f>1*COUNTIF(A52:AF52,"+")</f>
        <v>0</v>
      </c>
      <c r="AI52" s="20">
        <f t="shared" ref="AI52" si="6">1*COUNTIF(B52:AF52,"szf")</f>
        <v>0</v>
      </c>
    </row>
    <row r="53" spans="1:35" ht="20.100000000000001" customHeight="1">
      <c r="A53" s="24" t="str">
        <f>ÖSSZES!$A$4</f>
        <v>Batiz Attila</v>
      </c>
      <c r="B53" s="37"/>
      <c r="C53" s="39" t="s">
        <v>2</v>
      </c>
      <c r="D53" s="39" t="s">
        <v>2</v>
      </c>
      <c r="E53" s="37"/>
      <c r="F53" s="37"/>
      <c r="G53" s="37"/>
      <c r="H53" s="37"/>
      <c r="I53" s="37"/>
      <c r="J53" s="37"/>
      <c r="K53" s="39" t="s">
        <v>2</v>
      </c>
      <c r="L53" s="39" t="s">
        <v>2</v>
      </c>
      <c r="M53" s="37"/>
      <c r="N53" s="37"/>
      <c r="O53" s="37"/>
      <c r="P53" s="37"/>
      <c r="Q53" s="37"/>
      <c r="R53" s="37"/>
      <c r="S53" s="39" t="s">
        <v>2</v>
      </c>
      <c r="T53" s="39" t="s">
        <v>2</v>
      </c>
      <c r="U53" s="37"/>
      <c r="V53" s="37"/>
      <c r="W53" s="37"/>
      <c r="X53" s="37"/>
      <c r="Y53" s="37"/>
      <c r="Z53" s="37"/>
      <c r="AA53" s="39" t="s">
        <v>2</v>
      </c>
      <c r="AB53" s="39" t="s">
        <v>2</v>
      </c>
      <c r="AC53" s="37"/>
      <c r="AD53" s="37"/>
      <c r="AE53" s="37"/>
      <c r="AF53" s="37"/>
      <c r="AH53" s="20">
        <f t="shared" ref="AH53:AH71" si="7">1*COUNTIF(A53:AF53,"+")</f>
        <v>0</v>
      </c>
      <c r="AI53" s="20">
        <f t="shared" ref="AI53:AI71" si="8">1*COUNTIF(B53:AF53,"szf")</f>
        <v>0</v>
      </c>
    </row>
    <row r="54" spans="1:35" ht="20.100000000000001" customHeight="1">
      <c r="A54" s="24" t="str">
        <f>ÖSSZES!$A$5</f>
        <v>Füredi Antal</v>
      </c>
      <c r="B54" s="37"/>
      <c r="C54" s="39" t="s">
        <v>2</v>
      </c>
      <c r="D54" s="39" t="s">
        <v>2</v>
      </c>
      <c r="E54" s="37"/>
      <c r="F54" s="37"/>
      <c r="G54" s="37"/>
      <c r="H54" s="37"/>
      <c r="I54" s="37"/>
      <c r="J54" s="37"/>
      <c r="K54" s="39" t="s">
        <v>2</v>
      </c>
      <c r="L54" s="39" t="s">
        <v>2</v>
      </c>
      <c r="M54" s="37"/>
      <c r="N54" s="37"/>
      <c r="O54" s="37"/>
      <c r="P54" s="37"/>
      <c r="Q54" s="37"/>
      <c r="R54" s="37"/>
      <c r="S54" s="39" t="s">
        <v>2</v>
      </c>
      <c r="T54" s="39" t="s">
        <v>2</v>
      </c>
      <c r="U54" s="37"/>
      <c r="V54" s="37"/>
      <c r="W54" s="37"/>
      <c r="X54" s="37"/>
      <c r="Y54" s="37"/>
      <c r="Z54" s="37"/>
      <c r="AA54" s="39" t="s">
        <v>2</v>
      </c>
      <c r="AB54" s="39" t="s">
        <v>2</v>
      </c>
      <c r="AC54" s="37"/>
      <c r="AD54" s="37"/>
      <c r="AE54" s="37"/>
      <c r="AF54" s="37"/>
      <c r="AH54" s="20">
        <f t="shared" si="7"/>
        <v>0</v>
      </c>
      <c r="AI54" s="20">
        <f t="shared" si="8"/>
        <v>0</v>
      </c>
    </row>
    <row r="55" spans="1:35" ht="20.100000000000001" customHeight="1">
      <c r="A55" s="24" t="str">
        <f>ÖSSZES!$A$6</f>
        <v>Iványi István</v>
      </c>
      <c r="B55" s="37"/>
      <c r="C55" s="39" t="s">
        <v>2</v>
      </c>
      <c r="D55" s="39" t="s">
        <v>2</v>
      </c>
      <c r="E55" s="37"/>
      <c r="F55" s="37"/>
      <c r="G55" s="37"/>
      <c r="H55" s="37"/>
      <c r="I55" s="37"/>
      <c r="J55" s="37"/>
      <c r="K55" s="39" t="s">
        <v>2</v>
      </c>
      <c r="L55" s="39" t="s">
        <v>2</v>
      </c>
      <c r="M55" s="37"/>
      <c r="N55" s="37"/>
      <c r="O55" s="37"/>
      <c r="P55" s="37"/>
      <c r="Q55" s="37"/>
      <c r="R55" s="37"/>
      <c r="S55" s="39" t="s">
        <v>2</v>
      </c>
      <c r="T55" s="39" t="s">
        <v>2</v>
      </c>
      <c r="U55" s="37"/>
      <c r="V55" s="37"/>
      <c r="W55" s="37"/>
      <c r="X55" s="37"/>
      <c r="Y55" s="37"/>
      <c r="Z55" s="37"/>
      <c r="AA55" s="39" t="s">
        <v>2</v>
      </c>
      <c r="AB55" s="39" t="s">
        <v>2</v>
      </c>
      <c r="AC55" s="37"/>
      <c r="AD55" s="37"/>
      <c r="AE55" s="37"/>
      <c r="AF55" s="37"/>
      <c r="AH55" s="20">
        <f t="shared" si="7"/>
        <v>0</v>
      </c>
      <c r="AI55" s="20">
        <f t="shared" si="8"/>
        <v>0</v>
      </c>
    </row>
    <row r="56" spans="1:35" ht="20.100000000000001" customHeight="1">
      <c r="A56" s="24" t="str">
        <f>ÖSSZES!$A$7</f>
        <v>Katonka Tibor</v>
      </c>
      <c r="B56" s="37"/>
      <c r="C56" s="39" t="s">
        <v>2</v>
      </c>
      <c r="D56" s="39" t="s">
        <v>2</v>
      </c>
      <c r="E56" s="37"/>
      <c r="F56" s="37"/>
      <c r="G56" s="37"/>
      <c r="H56" s="37"/>
      <c r="I56" s="37"/>
      <c r="J56" s="37"/>
      <c r="K56" s="39" t="s">
        <v>2</v>
      </c>
      <c r="L56" s="39" t="s">
        <v>2</v>
      </c>
      <c r="M56" s="37"/>
      <c r="N56" s="37"/>
      <c r="O56" s="37"/>
      <c r="P56" s="37"/>
      <c r="Q56" s="37"/>
      <c r="R56" s="37"/>
      <c r="S56" s="39" t="s">
        <v>2</v>
      </c>
      <c r="T56" s="39" t="s">
        <v>2</v>
      </c>
      <c r="U56" s="37"/>
      <c r="V56" s="37"/>
      <c r="W56" s="37"/>
      <c r="X56" s="37"/>
      <c r="Y56" s="37"/>
      <c r="Z56" s="37"/>
      <c r="AA56" s="39" t="s">
        <v>2</v>
      </c>
      <c r="AB56" s="39" t="s">
        <v>2</v>
      </c>
      <c r="AC56" s="37"/>
      <c r="AD56" s="37"/>
      <c r="AE56" s="37"/>
      <c r="AF56" s="37"/>
      <c r="AH56" s="20">
        <f t="shared" si="7"/>
        <v>0</v>
      </c>
      <c r="AI56" s="20">
        <f t="shared" si="8"/>
        <v>0</v>
      </c>
    </row>
    <row r="57" spans="1:35" ht="20.100000000000001" customHeight="1">
      <c r="A57" s="24" t="str">
        <f>ÖSSZES!$A$8</f>
        <v>Mizsák Péter</v>
      </c>
      <c r="B57" s="37"/>
      <c r="C57" s="39" t="s">
        <v>2</v>
      </c>
      <c r="D57" s="39" t="s">
        <v>2</v>
      </c>
      <c r="E57" s="37"/>
      <c r="F57" s="37"/>
      <c r="G57" s="37"/>
      <c r="H57" s="37"/>
      <c r="I57" s="37"/>
      <c r="J57" s="37"/>
      <c r="K57" s="39" t="s">
        <v>2</v>
      </c>
      <c r="L57" s="39" t="s">
        <v>2</v>
      </c>
      <c r="M57" s="37"/>
      <c r="N57" s="37"/>
      <c r="O57" s="37"/>
      <c r="P57" s="37"/>
      <c r="Q57" s="37"/>
      <c r="R57" s="37"/>
      <c r="S57" s="39" t="s">
        <v>2</v>
      </c>
      <c r="T57" s="39" t="s">
        <v>2</v>
      </c>
      <c r="U57" s="37"/>
      <c r="V57" s="37"/>
      <c r="W57" s="37"/>
      <c r="X57" s="37"/>
      <c r="Y57" s="37"/>
      <c r="Z57" s="37"/>
      <c r="AA57" s="39" t="s">
        <v>2</v>
      </c>
      <c r="AB57" s="39" t="s">
        <v>2</v>
      </c>
      <c r="AC57" s="37"/>
      <c r="AD57" s="37"/>
      <c r="AE57" s="37"/>
      <c r="AF57" s="37"/>
      <c r="AH57" s="20">
        <f t="shared" si="7"/>
        <v>0</v>
      </c>
      <c r="AI57" s="20">
        <f t="shared" si="8"/>
        <v>0</v>
      </c>
    </row>
    <row r="58" spans="1:35" ht="20.100000000000001" customHeight="1">
      <c r="A58" s="24" t="str">
        <f>ÖSSZES!$A$9</f>
        <v>Vatamány Gergő</v>
      </c>
      <c r="B58" s="37"/>
      <c r="C58" s="39" t="s">
        <v>2</v>
      </c>
      <c r="D58" s="39" t="s">
        <v>2</v>
      </c>
      <c r="E58" s="37"/>
      <c r="F58" s="37"/>
      <c r="G58" s="37"/>
      <c r="H58" s="37"/>
      <c r="I58" s="37"/>
      <c r="J58" s="37"/>
      <c r="K58" s="39" t="s">
        <v>2</v>
      </c>
      <c r="L58" s="39" t="s">
        <v>2</v>
      </c>
      <c r="M58" s="37"/>
      <c r="N58" s="37"/>
      <c r="O58" s="37"/>
      <c r="P58" s="37"/>
      <c r="Q58" s="37"/>
      <c r="R58" s="37"/>
      <c r="S58" s="39" t="s">
        <v>2</v>
      </c>
      <c r="T58" s="39" t="s">
        <v>2</v>
      </c>
      <c r="U58" s="37"/>
      <c r="V58" s="37"/>
      <c r="W58" s="37"/>
      <c r="X58" s="37"/>
      <c r="Y58" s="37"/>
      <c r="Z58" s="37"/>
      <c r="AA58" s="39" t="s">
        <v>2</v>
      </c>
      <c r="AB58" s="39" t="s">
        <v>2</v>
      </c>
      <c r="AC58" s="37"/>
      <c r="AD58" s="37"/>
      <c r="AE58" s="37"/>
      <c r="AF58" s="37"/>
      <c r="AH58" s="20">
        <f t="shared" si="7"/>
        <v>0</v>
      </c>
      <c r="AI58" s="20">
        <f t="shared" si="8"/>
        <v>0</v>
      </c>
    </row>
    <row r="59" spans="1:35" ht="20.100000000000001" hidden="1" customHeight="1">
      <c r="A59" s="24" t="str">
        <f>ÖSSZES!$A$10</f>
        <v>Név8</v>
      </c>
      <c r="B59" s="37"/>
      <c r="C59" s="39" t="s">
        <v>2</v>
      </c>
      <c r="D59" s="39" t="s">
        <v>2</v>
      </c>
      <c r="E59" s="37"/>
      <c r="F59" s="37"/>
      <c r="G59" s="37"/>
      <c r="H59" s="37"/>
      <c r="I59" s="37"/>
      <c r="J59" s="37"/>
      <c r="K59" s="39" t="s">
        <v>2</v>
      </c>
      <c r="L59" s="39" t="s">
        <v>2</v>
      </c>
      <c r="M59" s="37"/>
      <c r="N59" s="37"/>
      <c r="O59" s="37"/>
      <c r="P59" s="37"/>
      <c r="Q59" s="37"/>
      <c r="R59" s="37"/>
      <c r="S59" s="39" t="s">
        <v>2</v>
      </c>
      <c r="T59" s="39" t="s">
        <v>2</v>
      </c>
      <c r="U59" s="37"/>
      <c r="V59" s="37"/>
      <c r="W59" s="37"/>
      <c r="X59" s="37"/>
      <c r="Y59" s="37"/>
      <c r="Z59" s="37"/>
      <c r="AA59" s="39" t="s">
        <v>2</v>
      </c>
      <c r="AB59" s="39" t="s">
        <v>2</v>
      </c>
      <c r="AC59" s="37"/>
      <c r="AD59" s="37"/>
      <c r="AE59" s="37"/>
      <c r="AF59" s="37"/>
      <c r="AH59" s="20">
        <f t="shared" si="7"/>
        <v>0</v>
      </c>
      <c r="AI59" s="20">
        <f t="shared" si="8"/>
        <v>0</v>
      </c>
    </row>
    <row r="60" spans="1:35" ht="20.100000000000001" hidden="1" customHeight="1">
      <c r="A60" s="24" t="str">
        <f>ÖSSZES!$A$11</f>
        <v>Név9</v>
      </c>
      <c r="B60" s="37"/>
      <c r="C60" s="39" t="s">
        <v>2</v>
      </c>
      <c r="D60" s="39" t="s">
        <v>2</v>
      </c>
      <c r="E60" s="37"/>
      <c r="F60" s="37"/>
      <c r="G60" s="37"/>
      <c r="H60" s="37"/>
      <c r="I60" s="37"/>
      <c r="J60" s="37"/>
      <c r="K60" s="39" t="s">
        <v>2</v>
      </c>
      <c r="L60" s="39" t="s">
        <v>2</v>
      </c>
      <c r="M60" s="37"/>
      <c r="N60" s="37"/>
      <c r="O60" s="37"/>
      <c r="P60" s="37"/>
      <c r="Q60" s="37"/>
      <c r="R60" s="37"/>
      <c r="S60" s="39" t="s">
        <v>2</v>
      </c>
      <c r="T60" s="39" t="s">
        <v>2</v>
      </c>
      <c r="U60" s="37"/>
      <c r="V60" s="37"/>
      <c r="W60" s="37"/>
      <c r="X60" s="37"/>
      <c r="Y60" s="37"/>
      <c r="Z60" s="37"/>
      <c r="AA60" s="39" t="s">
        <v>2</v>
      </c>
      <c r="AB60" s="39" t="s">
        <v>2</v>
      </c>
      <c r="AC60" s="37"/>
      <c r="AD60" s="37"/>
      <c r="AE60" s="37"/>
      <c r="AF60" s="37"/>
      <c r="AH60" s="20">
        <f t="shared" si="7"/>
        <v>0</v>
      </c>
      <c r="AI60" s="20">
        <f t="shared" si="8"/>
        <v>0</v>
      </c>
    </row>
    <row r="61" spans="1:35" ht="20.100000000000001" hidden="1" customHeight="1">
      <c r="A61" s="24" t="str">
        <f>ÖSSZES!$A$12</f>
        <v>Név10</v>
      </c>
      <c r="B61" s="37"/>
      <c r="C61" s="39" t="s">
        <v>2</v>
      </c>
      <c r="D61" s="39" t="s">
        <v>2</v>
      </c>
      <c r="E61" s="37"/>
      <c r="F61" s="37"/>
      <c r="G61" s="37"/>
      <c r="H61" s="37"/>
      <c r="I61" s="37"/>
      <c r="J61" s="37"/>
      <c r="K61" s="39" t="s">
        <v>2</v>
      </c>
      <c r="L61" s="39" t="s">
        <v>2</v>
      </c>
      <c r="M61" s="37"/>
      <c r="N61" s="37"/>
      <c r="O61" s="37"/>
      <c r="P61" s="37"/>
      <c r="Q61" s="37"/>
      <c r="R61" s="37"/>
      <c r="S61" s="39" t="s">
        <v>2</v>
      </c>
      <c r="T61" s="39" t="s">
        <v>2</v>
      </c>
      <c r="U61" s="37"/>
      <c r="V61" s="37"/>
      <c r="W61" s="37"/>
      <c r="X61" s="37"/>
      <c r="Y61" s="37"/>
      <c r="Z61" s="37"/>
      <c r="AA61" s="39" t="s">
        <v>2</v>
      </c>
      <c r="AB61" s="39" t="s">
        <v>2</v>
      </c>
      <c r="AC61" s="37"/>
      <c r="AD61" s="37"/>
      <c r="AE61" s="37"/>
      <c r="AF61" s="37"/>
      <c r="AH61" s="20">
        <f t="shared" si="7"/>
        <v>0</v>
      </c>
      <c r="AI61" s="20">
        <f t="shared" si="8"/>
        <v>0</v>
      </c>
    </row>
    <row r="62" spans="1:35" ht="20.100000000000001" hidden="1" customHeight="1">
      <c r="A62" s="24" t="str">
        <f>ÖSSZES!$A$13</f>
        <v>Név11</v>
      </c>
      <c r="B62" s="37"/>
      <c r="C62" s="39" t="s">
        <v>2</v>
      </c>
      <c r="D62" s="39" t="s">
        <v>2</v>
      </c>
      <c r="E62" s="37"/>
      <c r="F62" s="37"/>
      <c r="G62" s="37"/>
      <c r="H62" s="37"/>
      <c r="I62" s="37"/>
      <c r="J62" s="37"/>
      <c r="K62" s="39" t="s">
        <v>2</v>
      </c>
      <c r="L62" s="39" t="s">
        <v>2</v>
      </c>
      <c r="M62" s="37"/>
      <c r="N62" s="37"/>
      <c r="O62" s="37"/>
      <c r="P62" s="37"/>
      <c r="Q62" s="37"/>
      <c r="R62" s="37"/>
      <c r="S62" s="39" t="s">
        <v>2</v>
      </c>
      <c r="T62" s="39" t="s">
        <v>2</v>
      </c>
      <c r="U62" s="37"/>
      <c r="V62" s="37"/>
      <c r="W62" s="37"/>
      <c r="X62" s="37"/>
      <c r="Y62" s="37"/>
      <c r="Z62" s="37"/>
      <c r="AA62" s="39" t="s">
        <v>2</v>
      </c>
      <c r="AB62" s="39" t="s">
        <v>2</v>
      </c>
      <c r="AC62" s="37"/>
      <c r="AD62" s="37"/>
      <c r="AE62" s="37"/>
      <c r="AF62" s="37"/>
      <c r="AH62" s="20">
        <f t="shared" si="7"/>
        <v>0</v>
      </c>
      <c r="AI62" s="20">
        <f t="shared" si="8"/>
        <v>0</v>
      </c>
    </row>
    <row r="63" spans="1:35" ht="20.100000000000001" hidden="1" customHeight="1">
      <c r="A63" s="24" t="str">
        <f>ÖSSZES!$A$14</f>
        <v>Név12</v>
      </c>
      <c r="B63" s="37"/>
      <c r="C63" s="39" t="s">
        <v>2</v>
      </c>
      <c r="D63" s="39" t="s">
        <v>2</v>
      </c>
      <c r="E63" s="37"/>
      <c r="F63" s="37"/>
      <c r="G63" s="37"/>
      <c r="H63" s="37"/>
      <c r="I63" s="37"/>
      <c r="J63" s="37"/>
      <c r="K63" s="39" t="s">
        <v>2</v>
      </c>
      <c r="L63" s="39" t="s">
        <v>2</v>
      </c>
      <c r="M63" s="37"/>
      <c r="N63" s="37"/>
      <c r="O63" s="37"/>
      <c r="P63" s="37"/>
      <c r="Q63" s="37"/>
      <c r="R63" s="37"/>
      <c r="S63" s="39" t="s">
        <v>2</v>
      </c>
      <c r="T63" s="39" t="s">
        <v>2</v>
      </c>
      <c r="U63" s="37"/>
      <c r="V63" s="37"/>
      <c r="W63" s="37"/>
      <c r="X63" s="37"/>
      <c r="Y63" s="37"/>
      <c r="Z63" s="37"/>
      <c r="AA63" s="39" t="s">
        <v>2</v>
      </c>
      <c r="AB63" s="39" t="s">
        <v>2</v>
      </c>
      <c r="AC63" s="37"/>
      <c r="AD63" s="37"/>
      <c r="AE63" s="37"/>
      <c r="AF63" s="37"/>
      <c r="AH63" s="20">
        <f t="shared" si="7"/>
        <v>0</v>
      </c>
      <c r="AI63" s="20">
        <f t="shared" si="8"/>
        <v>0</v>
      </c>
    </row>
    <row r="64" spans="1:35" ht="20.100000000000001" hidden="1" customHeight="1">
      <c r="A64" s="24" t="str">
        <f>ÖSSZES!$A$15</f>
        <v>Név13</v>
      </c>
      <c r="B64" s="37"/>
      <c r="C64" s="39" t="s">
        <v>2</v>
      </c>
      <c r="D64" s="39" t="s">
        <v>2</v>
      </c>
      <c r="E64" s="37"/>
      <c r="F64" s="37"/>
      <c r="G64" s="37"/>
      <c r="H64" s="37"/>
      <c r="I64" s="37"/>
      <c r="J64" s="37"/>
      <c r="K64" s="39" t="s">
        <v>2</v>
      </c>
      <c r="L64" s="39" t="s">
        <v>2</v>
      </c>
      <c r="M64" s="37"/>
      <c r="N64" s="37"/>
      <c r="O64" s="37"/>
      <c r="P64" s="37"/>
      <c r="Q64" s="37"/>
      <c r="R64" s="37"/>
      <c r="S64" s="39" t="s">
        <v>2</v>
      </c>
      <c r="T64" s="39" t="s">
        <v>2</v>
      </c>
      <c r="U64" s="37"/>
      <c r="V64" s="37"/>
      <c r="W64" s="37"/>
      <c r="X64" s="37"/>
      <c r="Y64" s="37"/>
      <c r="Z64" s="37"/>
      <c r="AA64" s="39" t="s">
        <v>2</v>
      </c>
      <c r="AB64" s="39" t="s">
        <v>2</v>
      </c>
      <c r="AC64" s="37"/>
      <c r="AD64" s="37"/>
      <c r="AE64" s="37"/>
      <c r="AF64" s="37"/>
      <c r="AH64" s="20">
        <f t="shared" si="7"/>
        <v>0</v>
      </c>
      <c r="AI64" s="20">
        <f t="shared" si="8"/>
        <v>0</v>
      </c>
    </row>
    <row r="65" spans="1:35" ht="20.100000000000001" hidden="1" customHeight="1">
      <c r="A65" s="24" t="str">
        <f>ÖSSZES!$A$16</f>
        <v>Név14</v>
      </c>
      <c r="B65" s="37"/>
      <c r="C65" s="39" t="s">
        <v>2</v>
      </c>
      <c r="D65" s="39" t="s">
        <v>2</v>
      </c>
      <c r="E65" s="37"/>
      <c r="F65" s="37"/>
      <c r="G65" s="37"/>
      <c r="H65" s="37"/>
      <c r="I65" s="37"/>
      <c r="J65" s="37"/>
      <c r="K65" s="39" t="s">
        <v>2</v>
      </c>
      <c r="L65" s="39" t="s">
        <v>2</v>
      </c>
      <c r="M65" s="37"/>
      <c r="N65" s="37"/>
      <c r="O65" s="37"/>
      <c r="P65" s="37"/>
      <c r="Q65" s="37"/>
      <c r="R65" s="37"/>
      <c r="S65" s="39" t="s">
        <v>2</v>
      </c>
      <c r="T65" s="39" t="s">
        <v>2</v>
      </c>
      <c r="U65" s="37"/>
      <c r="V65" s="37"/>
      <c r="W65" s="37"/>
      <c r="X65" s="37"/>
      <c r="Y65" s="37"/>
      <c r="Z65" s="37"/>
      <c r="AA65" s="39" t="s">
        <v>2</v>
      </c>
      <c r="AB65" s="39" t="s">
        <v>2</v>
      </c>
      <c r="AC65" s="37"/>
      <c r="AD65" s="37"/>
      <c r="AE65" s="37"/>
      <c r="AF65" s="37"/>
      <c r="AH65" s="20">
        <f t="shared" si="7"/>
        <v>0</v>
      </c>
      <c r="AI65" s="20">
        <f t="shared" si="8"/>
        <v>0</v>
      </c>
    </row>
    <row r="66" spans="1:35" ht="20.100000000000001" hidden="1" customHeight="1">
      <c r="A66" s="24" t="str">
        <f>ÖSSZES!$A$17</f>
        <v>Név15</v>
      </c>
      <c r="B66" s="37"/>
      <c r="C66" s="39" t="s">
        <v>2</v>
      </c>
      <c r="D66" s="39" t="s">
        <v>2</v>
      </c>
      <c r="E66" s="37"/>
      <c r="F66" s="37"/>
      <c r="G66" s="37"/>
      <c r="H66" s="37"/>
      <c r="I66" s="37"/>
      <c r="J66" s="37"/>
      <c r="K66" s="39" t="s">
        <v>2</v>
      </c>
      <c r="L66" s="39" t="s">
        <v>2</v>
      </c>
      <c r="M66" s="37"/>
      <c r="N66" s="37"/>
      <c r="O66" s="37"/>
      <c r="P66" s="37"/>
      <c r="Q66" s="37"/>
      <c r="R66" s="37"/>
      <c r="S66" s="39" t="s">
        <v>2</v>
      </c>
      <c r="T66" s="39" t="s">
        <v>2</v>
      </c>
      <c r="U66" s="37"/>
      <c r="V66" s="37"/>
      <c r="W66" s="37"/>
      <c r="X66" s="37"/>
      <c r="Y66" s="37"/>
      <c r="Z66" s="37"/>
      <c r="AA66" s="39" t="s">
        <v>2</v>
      </c>
      <c r="AB66" s="39" t="s">
        <v>2</v>
      </c>
      <c r="AC66" s="37"/>
      <c r="AD66" s="37"/>
      <c r="AE66" s="37"/>
      <c r="AF66" s="37"/>
      <c r="AH66" s="20">
        <f t="shared" si="7"/>
        <v>0</v>
      </c>
      <c r="AI66" s="20">
        <f t="shared" si="8"/>
        <v>0</v>
      </c>
    </row>
    <row r="67" spans="1:35" ht="20.100000000000001" hidden="1" customHeight="1">
      <c r="A67" s="24" t="str">
        <f>ÖSSZES!$A$18</f>
        <v>Név16</v>
      </c>
      <c r="B67" s="37"/>
      <c r="C67" s="39" t="s">
        <v>2</v>
      </c>
      <c r="D67" s="39" t="s">
        <v>2</v>
      </c>
      <c r="E67" s="37"/>
      <c r="F67" s="37"/>
      <c r="G67" s="37"/>
      <c r="H67" s="37"/>
      <c r="I67" s="37"/>
      <c r="J67" s="37"/>
      <c r="K67" s="39" t="s">
        <v>2</v>
      </c>
      <c r="L67" s="39" t="s">
        <v>2</v>
      </c>
      <c r="M67" s="37"/>
      <c r="N67" s="37"/>
      <c r="O67" s="37"/>
      <c r="P67" s="37"/>
      <c r="Q67" s="37"/>
      <c r="R67" s="37"/>
      <c r="S67" s="39" t="s">
        <v>2</v>
      </c>
      <c r="T67" s="39" t="s">
        <v>2</v>
      </c>
      <c r="U67" s="37"/>
      <c r="V67" s="37"/>
      <c r="W67" s="37"/>
      <c r="X67" s="37"/>
      <c r="Y67" s="37"/>
      <c r="Z67" s="37"/>
      <c r="AA67" s="39" t="s">
        <v>2</v>
      </c>
      <c r="AB67" s="39" t="s">
        <v>2</v>
      </c>
      <c r="AC67" s="37"/>
      <c r="AD67" s="37"/>
      <c r="AE67" s="37"/>
      <c r="AF67" s="37"/>
      <c r="AH67" s="20">
        <f t="shared" si="7"/>
        <v>0</v>
      </c>
      <c r="AI67" s="20">
        <f t="shared" si="8"/>
        <v>0</v>
      </c>
    </row>
    <row r="68" spans="1:35" ht="20.100000000000001" hidden="1" customHeight="1">
      <c r="A68" s="24" t="str">
        <f>ÖSSZES!$A$19</f>
        <v>Név17</v>
      </c>
      <c r="B68" s="37"/>
      <c r="C68" s="39" t="s">
        <v>2</v>
      </c>
      <c r="D68" s="39" t="s">
        <v>2</v>
      </c>
      <c r="E68" s="37"/>
      <c r="F68" s="37"/>
      <c r="G68" s="37"/>
      <c r="H68" s="37"/>
      <c r="I68" s="37"/>
      <c r="J68" s="37"/>
      <c r="K68" s="39" t="s">
        <v>2</v>
      </c>
      <c r="L68" s="39" t="s">
        <v>2</v>
      </c>
      <c r="M68" s="37"/>
      <c r="N68" s="37"/>
      <c r="O68" s="37"/>
      <c r="P68" s="37"/>
      <c r="Q68" s="37"/>
      <c r="R68" s="37"/>
      <c r="S68" s="39" t="s">
        <v>2</v>
      </c>
      <c r="T68" s="39" t="s">
        <v>2</v>
      </c>
      <c r="U68" s="37"/>
      <c r="V68" s="37"/>
      <c r="W68" s="37"/>
      <c r="X68" s="37"/>
      <c r="Y68" s="37"/>
      <c r="Z68" s="37"/>
      <c r="AA68" s="39" t="s">
        <v>2</v>
      </c>
      <c r="AB68" s="39" t="s">
        <v>2</v>
      </c>
      <c r="AC68" s="37"/>
      <c r="AD68" s="37"/>
      <c r="AE68" s="37"/>
      <c r="AF68" s="37"/>
      <c r="AH68" s="20">
        <f t="shared" si="7"/>
        <v>0</v>
      </c>
      <c r="AI68" s="20">
        <f t="shared" si="8"/>
        <v>0</v>
      </c>
    </row>
    <row r="69" spans="1:35" ht="20.100000000000001" hidden="1" customHeight="1">
      <c r="A69" s="24" t="str">
        <f>ÖSSZES!$A$20</f>
        <v>Név18</v>
      </c>
      <c r="B69" s="37"/>
      <c r="C69" s="39" t="s">
        <v>2</v>
      </c>
      <c r="D69" s="39" t="s">
        <v>2</v>
      </c>
      <c r="E69" s="37"/>
      <c r="F69" s="37"/>
      <c r="G69" s="37"/>
      <c r="H69" s="37"/>
      <c r="I69" s="37"/>
      <c r="J69" s="37"/>
      <c r="K69" s="39" t="s">
        <v>2</v>
      </c>
      <c r="L69" s="39" t="s">
        <v>2</v>
      </c>
      <c r="M69" s="37"/>
      <c r="N69" s="37"/>
      <c r="O69" s="37"/>
      <c r="P69" s="37"/>
      <c r="Q69" s="37"/>
      <c r="R69" s="37"/>
      <c r="S69" s="39" t="s">
        <v>2</v>
      </c>
      <c r="T69" s="39" t="s">
        <v>2</v>
      </c>
      <c r="U69" s="37"/>
      <c r="V69" s="37"/>
      <c r="W69" s="37"/>
      <c r="X69" s="37"/>
      <c r="Y69" s="37"/>
      <c r="Z69" s="37"/>
      <c r="AA69" s="39" t="s">
        <v>2</v>
      </c>
      <c r="AB69" s="39" t="s">
        <v>2</v>
      </c>
      <c r="AC69" s="37"/>
      <c r="AD69" s="37"/>
      <c r="AE69" s="37"/>
      <c r="AF69" s="37"/>
      <c r="AH69" s="20">
        <f t="shared" si="7"/>
        <v>0</v>
      </c>
      <c r="AI69" s="20">
        <f t="shared" si="8"/>
        <v>0</v>
      </c>
    </row>
    <row r="70" spans="1:35" ht="20.100000000000001" hidden="1" customHeight="1">
      <c r="A70" s="24" t="str">
        <f>ÖSSZES!$A$21</f>
        <v>Név19</v>
      </c>
      <c r="B70" s="37"/>
      <c r="C70" s="39" t="s">
        <v>2</v>
      </c>
      <c r="D70" s="39" t="s">
        <v>2</v>
      </c>
      <c r="E70" s="37"/>
      <c r="F70" s="37"/>
      <c r="G70" s="37"/>
      <c r="H70" s="37"/>
      <c r="I70" s="37"/>
      <c r="J70" s="37"/>
      <c r="K70" s="39" t="s">
        <v>2</v>
      </c>
      <c r="L70" s="39" t="s">
        <v>2</v>
      </c>
      <c r="M70" s="37"/>
      <c r="N70" s="37"/>
      <c r="O70" s="37"/>
      <c r="P70" s="37"/>
      <c r="Q70" s="37"/>
      <c r="R70" s="37"/>
      <c r="S70" s="39" t="s">
        <v>2</v>
      </c>
      <c r="T70" s="39" t="s">
        <v>2</v>
      </c>
      <c r="U70" s="37"/>
      <c r="V70" s="37"/>
      <c r="W70" s="37"/>
      <c r="X70" s="37"/>
      <c r="Y70" s="37"/>
      <c r="Z70" s="37"/>
      <c r="AA70" s="39" t="s">
        <v>2</v>
      </c>
      <c r="AB70" s="39" t="s">
        <v>2</v>
      </c>
      <c r="AC70" s="37"/>
      <c r="AD70" s="37"/>
      <c r="AE70" s="37"/>
      <c r="AF70" s="37"/>
      <c r="AH70" s="20">
        <f t="shared" si="7"/>
        <v>0</v>
      </c>
      <c r="AI70" s="20">
        <f t="shared" si="8"/>
        <v>0</v>
      </c>
    </row>
    <row r="71" spans="1:35" ht="20.100000000000001" hidden="1" customHeight="1">
      <c r="A71" s="24" t="str">
        <f>ÖSSZES!$A$17</f>
        <v>Név15</v>
      </c>
      <c r="B71" s="37"/>
      <c r="C71" s="39" t="s">
        <v>2</v>
      </c>
      <c r="D71" s="39" t="s">
        <v>2</v>
      </c>
      <c r="E71" s="37"/>
      <c r="F71" s="37"/>
      <c r="G71" s="37"/>
      <c r="H71" s="37"/>
      <c r="I71" s="37"/>
      <c r="J71" s="37"/>
      <c r="K71" s="39" t="s">
        <v>2</v>
      </c>
      <c r="L71" s="39" t="s">
        <v>2</v>
      </c>
      <c r="M71" s="37"/>
      <c r="N71" s="37"/>
      <c r="O71" s="37"/>
      <c r="P71" s="37"/>
      <c r="Q71" s="37"/>
      <c r="R71" s="37"/>
      <c r="S71" s="39" t="s">
        <v>2</v>
      </c>
      <c r="T71" s="39" t="s">
        <v>2</v>
      </c>
      <c r="U71" s="37"/>
      <c r="V71" s="37"/>
      <c r="W71" s="37"/>
      <c r="X71" s="37"/>
      <c r="Y71" s="37"/>
      <c r="Z71" s="37"/>
      <c r="AA71" s="39" t="s">
        <v>2</v>
      </c>
      <c r="AB71" s="39" t="s">
        <v>2</v>
      </c>
      <c r="AC71" s="37"/>
      <c r="AD71" s="37"/>
      <c r="AE71" s="37"/>
      <c r="AF71" s="37"/>
      <c r="AH71" s="20">
        <f t="shared" si="7"/>
        <v>0</v>
      </c>
      <c r="AI71" s="20">
        <f t="shared" si="8"/>
        <v>0</v>
      </c>
    </row>
    <row r="72" spans="1:35" ht="20.100000000000001" customHeight="1"/>
    <row r="73" spans="1:35" s="31" customFormat="1" ht="20.100000000000001" customHeight="1">
      <c r="A73" s="54" t="s">
        <v>17</v>
      </c>
      <c r="B73" s="30">
        <v>1</v>
      </c>
      <c r="C73" s="30">
        <v>2</v>
      </c>
      <c r="D73" s="30">
        <v>3</v>
      </c>
      <c r="E73" s="30">
        <v>4</v>
      </c>
      <c r="F73" s="30">
        <v>5</v>
      </c>
      <c r="G73" s="30">
        <v>6</v>
      </c>
      <c r="H73" s="30">
        <v>7</v>
      </c>
      <c r="I73" s="30">
        <v>8</v>
      </c>
      <c r="J73" s="30">
        <v>9</v>
      </c>
      <c r="K73" s="30">
        <v>10</v>
      </c>
      <c r="L73" s="30">
        <v>11</v>
      </c>
      <c r="M73" s="30">
        <v>12</v>
      </c>
      <c r="N73" s="30">
        <v>13</v>
      </c>
      <c r="O73" s="30">
        <v>14</v>
      </c>
      <c r="P73" s="30">
        <v>15</v>
      </c>
      <c r="Q73" s="30">
        <v>16</v>
      </c>
      <c r="R73" s="30">
        <v>17</v>
      </c>
      <c r="S73" s="30">
        <v>18</v>
      </c>
      <c r="T73" s="30">
        <v>19</v>
      </c>
      <c r="U73" s="30">
        <v>20</v>
      </c>
      <c r="V73" s="30">
        <v>21</v>
      </c>
      <c r="W73" s="30">
        <v>22</v>
      </c>
      <c r="X73" s="30">
        <v>23</v>
      </c>
      <c r="Y73" s="30">
        <v>24</v>
      </c>
      <c r="Z73" s="30">
        <v>25</v>
      </c>
      <c r="AA73" s="30">
        <v>26</v>
      </c>
      <c r="AB73" s="30">
        <v>27</v>
      </c>
      <c r="AC73" s="30">
        <v>28</v>
      </c>
      <c r="AD73" s="30">
        <v>29</v>
      </c>
      <c r="AE73" s="30">
        <v>30</v>
      </c>
      <c r="AH73" s="54" t="s">
        <v>18</v>
      </c>
      <c r="AI73" s="54" t="s">
        <v>19</v>
      </c>
    </row>
    <row r="74" spans="1:35" ht="20.100000000000001" customHeight="1">
      <c r="A74" s="56"/>
      <c r="B74" s="32" t="str">
        <f>'2021'!B28</f>
        <v>Cs</v>
      </c>
      <c r="C74" s="32" t="str">
        <f>'2021'!C28</f>
        <v>P</v>
      </c>
      <c r="D74" s="32" t="str">
        <f>'2021'!D28</f>
        <v>Szo</v>
      </c>
      <c r="E74" s="32" t="str">
        <f>'2021'!E28</f>
        <v>V</v>
      </c>
      <c r="F74" s="32" t="str">
        <f>'2021'!F28</f>
        <v>H</v>
      </c>
      <c r="G74" s="32" t="str">
        <f>'2021'!G28</f>
        <v>K</v>
      </c>
      <c r="H74" s="32" t="str">
        <f>'2021'!H28</f>
        <v>Sze</v>
      </c>
      <c r="I74" s="32" t="str">
        <f>'2021'!I28</f>
        <v>Cs</v>
      </c>
      <c r="J74" s="32" t="str">
        <f>'2021'!J28</f>
        <v>P</v>
      </c>
      <c r="K74" s="32" t="str">
        <f>'2021'!K28</f>
        <v>Szo</v>
      </c>
      <c r="L74" s="32" t="str">
        <f>'2021'!L28</f>
        <v>V</v>
      </c>
      <c r="M74" s="32" t="str">
        <f>'2021'!M28</f>
        <v>H</v>
      </c>
      <c r="N74" s="32" t="str">
        <f>'2021'!N28</f>
        <v>K</v>
      </c>
      <c r="O74" s="32" t="str">
        <f>'2021'!O28</f>
        <v>Sze</v>
      </c>
      <c r="P74" s="32" t="str">
        <f>'2021'!P28</f>
        <v>Cs</v>
      </c>
      <c r="Q74" s="32" t="str">
        <f>'2021'!Q28</f>
        <v>P</v>
      </c>
      <c r="R74" s="32" t="str">
        <f>'2021'!R28</f>
        <v>Szo</v>
      </c>
      <c r="S74" s="32" t="str">
        <f>'2021'!S28</f>
        <v>V</v>
      </c>
      <c r="T74" s="32" t="str">
        <f>'2021'!T28</f>
        <v>H</v>
      </c>
      <c r="U74" s="32" t="str">
        <f>'2021'!U28</f>
        <v>K</v>
      </c>
      <c r="V74" s="32" t="str">
        <f>'2021'!V28</f>
        <v>Sze</v>
      </c>
      <c r="W74" s="32" t="str">
        <f>'2021'!W28</f>
        <v>Cs</v>
      </c>
      <c r="X74" s="32" t="str">
        <f>'2021'!X28</f>
        <v>P</v>
      </c>
      <c r="Y74" s="32" t="str">
        <f>'2021'!Y28</f>
        <v>Szo</v>
      </c>
      <c r="Z74" s="32" t="str">
        <f>'2021'!Z28</f>
        <v>V</v>
      </c>
      <c r="AA74" s="32" t="str">
        <f>'2021'!AA28</f>
        <v>H</v>
      </c>
      <c r="AB74" s="32" t="str">
        <f>'2021'!AB28</f>
        <v>K</v>
      </c>
      <c r="AC74" s="32" t="str">
        <f>'2021'!AC28</f>
        <v>Sze</v>
      </c>
      <c r="AD74" s="32" t="str">
        <f>'2021'!AD28</f>
        <v>Cs</v>
      </c>
      <c r="AE74" s="32" t="str">
        <f>'2021'!AE28</f>
        <v>P</v>
      </c>
      <c r="AF74" s="27"/>
      <c r="AH74" s="55"/>
      <c r="AI74" s="55"/>
    </row>
    <row r="75" spans="1:35" ht="20.100000000000001" customHeight="1">
      <c r="A75" s="55"/>
      <c r="B75" s="32">
        <f>'2021'!B29</f>
        <v>3</v>
      </c>
      <c r="C75" s="32">
        <f>'2021'!C29</f>
        <v>3</v>
      </c>
      <c r="D75" s="32" t="str">
        <f>'2021'!D29</f>
        <v>X</v>
      </c>
      <c r="E75" s="32" t="str">
        <f>'2021'!E29</f>
        <v>X</v>
      </c>
      <c r="F75" s="32">
        <f>'2021'!F29</f>
        <v>2</v>
      </c>
      <c r="G75" s="32">
        <f>'2021'!G29</f>
        <v>2</v>
      </c>
      <c r="H75" s="32">
        <f>'2021'!H29</f>
        <v>2</v>
      </c>
      <c r="I75" s="32">
        <f>'2021'!I29</f>
        <v>2</v>
      </c>
      <c r="J75" s="32">
        <f>'2021'!J29</f>
        <v>2</v>
      </c>
      <c r="K75" s="32">
        <f>'2021'!K29</f>
        <v>2</v>
      </c>
      <c r="L75" s="32" t="str">
        <f>'2021'!L29</f>
        <v>X</v>
      </c>
      <c r="M75" s="32" t="str">
        <f>'2021'!M29</f>
        <v>X</v>
      </c>
      <c r="N75" s="32">
        <f>'2021'!N29</f>
        <v>1</v>
      </c>
      <c r="O75" s="32">
        <f>'2021'!O29</f>
        <v>1</v>
      </c>
      <c r="P75" s="32">
        <f>'2021'!P29</f>
        <v>1</v>
      </c>
      <c r="Q75" s="32">
        <f>'2021'!Q29</f>
        <v>1</v>
      </c>
      <c r="R75" s="32">
        <f>'2021'!R29</f>
        <v>1</v>
      </c>
      <c r="S75" s="32">
        <f>'2021'!S29</f>
        <v>1</v>
      </c>
      <c r="T75" s="32" t="str">
        <f>'2021'!T29</f>
        <v>X</v>
      </c>
      <c r="U75" s="32" t="str">
        <f>'2021'!U29</f>
        <v>X</v>
      </c>
      <c r="V75" s="32">
        <f>'2021'!V29</f>
        <v>3</v>
      </c>
      <c r="W75" s="32">
        <f>'2021'!W29</f>
        <v>3</v>
      </c>
      <c r="X75" s="32">
        <f>'2021'!X29</f>
        <v>3</v>
      </c>
      <c r="Y75" s="32">
        <f>'2021'!Y29</f>
        <v>3</v>
      </c>
      <c r="Z75" s="32">
        <f>'2021'!Z29</f>
        <v>3</v>
      </c>
      <c r="AA75" s="32">
        <f>'2021'!AA29</f>
        <v>3</v>
      </c>
      <c r="AB75" s="32" t="str">
        <f>'2021'!AB29</f>
        <v>X</v>
      </c>
      <c r="AC75" s="32" t="str">
        <f>'2021'!AC29</f>
        <v>X</v>
      </c>
      <c r="AD75" s="32">
        <f>'2021'!AD29</f>
        <v>2</v>
      </c>
      <c r="AE75" s="32">
        <f>'2021'!AE29</f>
        <v>2</v>
      </c>
      <c r="AF75" s="27"/>
      <c r="AH75" s="55"/>
      <c r="AI75" s="55"/>
    </row>
    <row r="76" spans="1:35" ht="20.100000000000001" customHeight="1">
      <c r="A76" s="24" t="str">
        <f>ÖSSZES!$A$3</f>
        <v>Csuka Lajos</v>
      </c>
      <c r="B76" s="39"/>
      <c r="C76" s="37"/>
      <c r="D76" s="39" t="s">
        <v>2</v>
      </c>
      <c r="E76" s="39" t="s">
        <v>2</v>
      </c>
      <c r="F76" s="39"/>
      <c r="G76" s="37"/>
      <c r="H76" s="39"/>
      <c r="I76" s="37"/>
      <c r="J76" s="39"/>
      <c r="K76" s="37"/>
      <c r="L76" s="39" t="s">
        <v>2</v>
      </c>
      <c r="M76" s="39" t="s">
        <v>2</v>
      </c>
      <c r="N76" s="39"/>
      <c r="O76" s="37"/>
      <c r="P76" s="39"/>
      <c r="Q76" s="37"/>
      <c r="R76" s="39"/>
      <c r="S76" s="37"/>
      <c r="T76" s="39" t="s">
        <v>2</v>
      </c>
      <c r="U76" s="39" t="s">
        <v>2</v>
      </c>
      <c r="V76" s="39"/>
      <c r="W76" s="37"/>
      <c r="X76" s="39"/>
      <c r="Y76" s="37"/>
      <c r="Z76" s="39"/>
      <c r="AA76" s="37"/>
      <c r="AB76" s="39" t="s">
        <v>2</v>
      </c>
      <c r="AC76" s="39" t="s">
        <v>2</v>
      </c>
      <c r="AD76" s="39"/>
      <c r="AE76" s="37"/>
      <c r="AF76" s="27"/>
      <c r="AH76" s="20">
        <f>1*COUNTIF(A76:AF76,"+")</f>
        <v>0</v>
      </c>
      <c r="AI76" s="20">
        <f t="shared" ref="AI76" si="9">1*COUNTIF(B76:AF76,"szf")</f>
        <v>0</v>
      </c>
    </row>
    <row r="77" spans="1:35" ht="20.100000000000001" customHeight="1">
      <c r="A77" s="24" t="str">
        <f>ÖSSZES!$A$4</f>
        <v>Batiz Attila</v>
      </c>
      <c r="B77" s="39"/>
      <c r="C77" s="37"/>
      <c r="D77" s="39" t="s">
        <v>2</v>
      </c>
      <c r="E77" s="39" t="s">
        <v>2</v>
      </c>
      <c r="F77" s="39"/>
      <c r="G77" s="37"/>
      <c r="H77" s="39"/>
      <c r="I77" s="37"/>
      <c r="J77" s="39"/>
      <c r="K77" s="37"/>
      <c r="L77" s="39" t="s">
        <v>2</v>
      </c>
      <c r="M77" s="39" t="s">
        <v>2</v>
      </c>
      <c r="N77" s="39"/>
      <c r="O77" s="37"/>
      <c r="P77" s="39"/>
      <c r="Q77" s="37"/>
      <c r="R77" s="39"/>
      <c r="S77" s="37"/>
      <c r="T77" s="39" t="s">
        <v>2</v>
      </c>
      <c r="U77" s="39" t="s">
        <v>2</v>
      </c>
      <c r="V77" s="39"/>
      <c r="W77" s="37"/>
      <c r="X77" s="39"/>
      <c r="Y77" s="37"/>
      <c r="Z77" s="39"/>
      <c r="AA77" s="37"/>
      <c r="AB77" s="39" t="s">
        <v>2</v>
      </c>
      <c r="AC77" s="39" t="s">
        <v>2</v>
      </c>
      <c r="AD77" s="39"/>
      <c r="AE77" s="37"/>
      <c r="AF77" s="27"/>
      <c r="AH77" s="20">
        <f t="shared" ref="AH77:AH95" si="10">1*COUNTIF(A77:AF77,"+")</f>
        <v>0</v>
      </c>
      <c r="AI77" s="20">
        <f t="shared" ref="AI77:AI95" si="11">1*COUNTIF(B77:AF77,"szf")</f>
        <v>0</v>
      </c>
    </row>
    <row r="78" spans="1:35" ht="20.100000000000001" customHeight="1">
      <c r="A78" s="24" t="str">
        <f>ÖSSZES!$A$5</f>
        <v>Füredi Antal</v>
      </c>
      <c r="B78" s="39"/>
      <c r="C78" s="37"/>
      <c r="D78" s="39" t="s">
        <v>2</v>
      </c>
      <c r="E78" s="39" t="s">
        <v>2</v>
      </c>
      <c r="F78" s="39"/>
      <c r="G78" s="37"/>
      <c r="H78" s="39"/>
      <c r="I78" s="37"/>
      <c r="J78" s="39"/>
      <c r="K78" s="37"/>
      <c r="L78" s="39" t="s">
        <v>2</v>
      </c>
      <c r="M78" s="39" t="s">
        <v>2</v>
      </c>
      <c r="N78" s="39"/>
      <c r="O78" s="37"/>
      <c r="P78" s="39"/>
      <c r="Q78" s="37"/>
      <c r="R78" s="39"/>
      <c r="S78" s="37"/>
      <c r="T78" s="39" t="s">
        <v>2</v>
      </c>
      <c r="U78" s="39" t="s">
        <v>2</v>
      </c>
      <c r="V78" s="39"/>
      <c r="W78" s="37"/>
      <c r="X78" s="39"/>
      <c r="Y78" s="37"/>
      <c r="Z78" s="39"/>
      <c r="AA78" s="37"/>
      <c r="AB78" s="39" t="s">
        <v>2</v>
      </c>
      <c r="AC78" s="39" t="s">
        <v>2</v>
      </c>
      <c r="AD78" s="39"/>
      <c r="AE78" s="37"/>
      <c r="AF78" s="27"/>
      <c r="AH78" s="20">
        <f t="shared" si="10"/>
        <v>0</v>
      </c>
      <c r="AI78" s="20">
        <f t="shared" si="11"/>
        <v>0</v>
      </c>
    </row>
    <row r="79" spans="1:35" ht="20.100000000000001" customHeight="1">
      <c r="A79" s="24" t="str">
        <f>ÖSSZES!$A$6</f>
        <v>Iványi István</v>
      </c>
      <c r="B79" s="39"/>
      <c r="C79" s="37"/>
      <c r="D79" s="39" t="s">
        <v>2</v>
      </c>
      <c r="E79" s="39" t="s">
        <v>2</v>
      </c>
      <c r="F79" s="39"/>
      <c r="G79" s="37"/>
      <c r="H79" s="39"/>
      <c r="I79" s="37"/>
      <c r="J79" s="39"/>
      <c r="K79" s="37"/>
      <c r="L79" s="39" t="s">
        <v>2</v>
      </c>
      <c r="M79" s="39" t="s">
        <v>2</v>
      </c>
      <c r="N79" s="39"/>
      <c r="O79" s="37"/>
      <c r="P79" s="39"/>
      <c r="Q79" s="37"/>
      <c r="R79" s="39"/>
      <c r="S79" s="37"/>
      <c r="T79" s="39" t="s">
        <v>2</v>
      </c>
      <c r="U79" s="39" t="s">
        <v>2</v>
      </c>
      <c r="V79" s="39"/>
      <c r="W79" s="37"/>
      <c r="X79" s="39"/>
      <c r="Y79" s="37"/>
      <c r="Z79" s="39"/>
      <c r="AA79" s="37"/>
      <c r="AB79" s="39" t="s">
        <v>2</v>
      </c>
      <c r="AC79" s="39" t="s">
        <v>2</v>
      </c>
      <c r="AD79" s="39"/>
      <c r="AE79" s="37"/>
      <c r="AF79" s="27"/>
      <c r="AH79" s="20">
        <f t="shared" si="10"/>
        <v>0</v>
      </c>
      <c r="AI79" s="20">
        <f t="shared" si="11"/>
        <v>0</v>
      </c>
    </row>
    <row r="80" spans="1:35" ht="20.100000000000001" customHeight="1">
      <c r="A80" s="24" t="str">
        <f>ÖSSZES!$A$7</f>
        <v>Katonka Tibor</v>
      </c>
      <c r="B80" s="39"/>
      <c r="C80" s="37"/>
      <c r="D80" s="39" t="s">
        <v>2</v>
      </c>
      <c r="E80" s="39" t="s">
        <v>2</v>
      </c>
      <c r="F80" s="39"/>
      <c r="G80" s="37"/>
      <c r="H80" s="39"/>
      <c r="I80" s="37"/>
      <c r="J80" s="39"/>
      <c r="K80" s="37"/>
      <c r="L80" s="39" t="s">
        <v>2</v>
      </c>
      <c r="M80" s="39" t="s">
        <v>2</v>
      </c>
      <c r="N80" s="39"/>
      <c r="O80" s="37"/>
      <c r="P80" s="39"/>
      <c r="Q80" s="37"/>
      <c r="R80" s="39"/>
      <c r="S80" s="37"/>
      <c r="T80" s="39" t="s">
        <v>2</v>
      </c>
      <c r="U80" s="39" t="s">
        <v>2</v>
      </c>
      <c r="V80" s="39"/>
      <c r="W80" s="37"/>
      <c r="X80" s="39"/>
      <c r="Y80" s="37"/>
      <c r="Z80" s="39"/>
      <c r="AA80" s="37"/>
      <c r="AB80" s="39" t="s">
        <v>2</v>
      </c>
      <c r="AC80" s="39" t="s">
        <v>2</v>
      </c>
      <c r="AD80" s="39"/>
      <c r="AE80" s="37"/>
      <c r="AF80" s="27"/>
      <c r="AH80" s="20">
        <f t="shared" si="10"/>
        <v>0</v>
      </c>
      <c r="AI80" s="20">
        <f t="shared" si="11"/>
        <v>0</v>
      </c>
    </row>
    <row r="81" spans="1:35" ht="20.100000000000001" customHeight="1">
      <c r="A81" s="24" t="str">
        <f>ÖSSZES!$A$8</f>
        <v>Mizsák Péter</v>
      </c>
      <c r="B81" s="39"/>
      <c r="C81" s="37"/>
      <c r="D81" s="39" t="s">
        <v>2</v>
      </c>
      <c r="E81" s="39" t="s">
        <v>2</v>
      </c>
      <c r="F81" s="39"/>
      <c r="G81" s="37"/>
      <c r="H81" s="39"/>
      <c r="I81" s="37"/>
      <c r="J81" s="39"/>
      <c r="K81" s="37"/>
      <c r="L81" s="39" t="s">
        <v>2</v>
      </c>
      <c r="M81" s="39" t="s">
        <v>2</v>
      </c>
      <c r="N81" s="39"/>
      <c r="O81" s="37"/>
      <c r="P81" s="39"/>
      <c r="Q81" s="37"/>
      <c r="R81" s="39"/>
      <c r="S81" s="37"/>
      <c r="T81" s="39" t="s">
        <v>2</v>
      </c>
      <c r="U81" s="39" t="s">
        <v>2</v>
      </c>
      <c r="V81" s="39"/>
      <c r="W81" s="37"/>
      <c r="X81" s="39"/>
      <c r="Y81" s="37"/>
      <c r="Z81" s="39"/>
      <c r="AA81" s="37"/>
      <c r="AB81" s="39" t="s">
        <v>2</v>
      </c>
      <c r="AC81" s="39" t="s">
        <v>2</v>
      </c>
      <c r="AD81" s="39"/>
      <c r="AE81" s="37"/>
      <c r="AF81" s="27"/>
      <c r="AH81" s="20">
        <f t="shared" si="10"/>
        <v>0</v>
      </c>
      <c r="AI81" s="20">
        <f t="shared" si="11"/>
        <v>0</v>
      </c>
    </row>
    <row r="82" spans="1:35" ht="20.100000000000001" customHeight="1">
      <c r="A82" s="24" t="str">
        <f>ÖSSZES!$A$9</f>
        <v>Vatamány Gergő</v>
      </c>
      <c r="B82" s="39"/>
      <c r="C82" s="37"/>
      <c r="D82" s="39" t="s">
        <v>2</v>
      </c>
      <c r="E82" s="39" t="s">
        <v>2</v>
      </c>
      <c r="F82" s="39"/>
      <c r="G82" s="37"/>
      <c r="H82" s="39"/>
      <c r="I82" s="37"/>
      <c r="J82" s="39"/>
      <c r="K82" s="37"/>
      <c r="L82" s="39" t="s">
        <v>2</v>
      </c>
      <c r="M82" s="39" t="s">
        <v>2</v>
      </c>
      <c r="N82" s="39"/>
      <c r="O82" s="37"/>
      <c r="P82" s="39"/>
      <c r="Q82" s="37"/>
      <c r="R82" s="39"/>
      <c r="S82" s="37"/>
      <c r="T82" s="39" t="s">
        <v>2</v>
      </c>
      <c r="U82" s="39" t="s">
        <v>2</v>
      </c>
      <c r="V82" s="39"/>
      <c r="W82" s="37"/>
      <c r="X82" s="39"/>
      <c r="Y82" s="37"/>
      <c r="Z82" s="39"/>
      <c r="AA82" s="37"/>
      <c r="AB82" s="39" t="s">
        <v>2</v>
      </c>
      <c r="AC82" s="39" t="s">
        <v>2</v>
      </c>
      <c r="AD82" s="39"/>
      <c r="AE82" s="37"/>
      <c r="AF82" s="27"/>
      <c r="AH82" s="20">
        <f t="shared" si="10"/>
        <v>0</v>
      </c>
      <c r="AI82" s="20">
        <f t="shared" si="11"/>
        <v>0</v>
      </c>
    </row>
    <row r="83" spans="1:35" ht="20.100000000000001" hidden="1" customHeight="1">
      <c r="A83" s="24" t="str">
        <f>ÖSSZES!$A$10</f>
        <v>Név8</v>
      </c>
      <c r="B83" s="39"/>
      <c r="C83" s="37"/>
      <c r="D83" s="39" t="s">
        <v>2</v>
      </c>
      <c r="E83" s="39" t="s">
        <v>2</v>
      </c>
      <c r="F83" s="39"/>
      <c r="G83" s="37"/>
      <c r="H83" s="39"/>
      <c r="I83" s="37"/>
      <c r="J83" s="39"/>
      <c r="K83" s="37"/>
      <c r="L83" s="39" t="s">
        <v>2</v>
      </c>
      <c r="M83" s="39" t="s">
        <v>2</v>
      </c>
      <c r="N83" s="39"/>
      <c r="O83" s="37"/>
      <c r="P83" s="39"/>
      <c r="Q83" s="37"/>
      <c r="R83" s="39"/>
      <c r="S83" s="37"/>
      <c r="T83" s="39" t="s">
        <v>2</v>
      </c>
      <c r="U83" s="39" t="s">
        <v>2</v>
      </c>
      <c r="V83" s="39"/>
      <c r="W83" s="37"/>
      <c r="X83" s="39"/>
      <c r="Y83" s="37"/>
      <c r="Z83" s="39"/>
      <c r="AA83" s="37"/>
      <c r="AB83" s="39" t="s">
        <v>2</v>
      </c>
      <c r="AC83" s="39" t="s">
        <v>2</v>
      </c>
      <c r="AD83" s="39"/>
      <c r="AE83" s="37"/>
      <c r="AF83" s="27"/>
      <c r="AH83" s="20">
        <f t="shared" si="10"/>
        <v>0</v>
      </c>
      <c r="AI83" s="20">
        <f t="shared" si="11"/>
        <v>0</v>
      </c>
    </row>
    <row r="84" spans="1:35" ht="20.100000000000001" hidden="1" customHeight="1">
      <c r="A84" s="24" t="str">
        <f>ÖSSZES!$A$11</f>
        <v>Név9</v>
      </c>
      <c r="B84" s="39"/>
      <c r="C84" s="37"/>
      <c r="D84" s="39" t="s">
        <v>2</v>
      </c>
      <c r="E84" s="39" t="s">
        <v>2</v>
      </c>
      <c r="F84" s="39"/>
      <c r="G84" s="37"/>
      <c r="H84" s="39"/>
      <c r="I84" s="37"/>
      <c r="J84" s="39"/>
      <c r="K84" s="37"/>
      <c r="L84" s="39" t="s">
        <v>2</v>
      </c>
      <c r="M84" s="39" t="s">
        <v>2</v>
      </c>
      <c r="N84" s="39"/>
      <c r="O84" s="37"/>
      <c r="P84" s="39"/>
      <c r="Q84" s="37"/>
      <c r="R84" s="39"/>
      <c r="S84" s="37"/>
      <c r="T84" s="39" t="s">
        <v>2</v>
      </c>
      <c r="U84" s="39" t="s">
        <v>2</v>
      </c>
      <c r="V84" s="39"/>
      <c r="W84" s="37"/>
      <c r="X84" s="39"/>
      <c r="Y84" s="37"/>
      <c r="Z84" s="39"/>
      <c r="AA84" s="37"/>
      <c r="AB84" s="39" t="s">
        <v>2</v>
      </c>
      <c r="AC84" s="39" t="s">
        <v>2</v>
      </c>
      <c r="AD84" s="39"/>
      <c r="AE84" s="37"/>
      <c r="AF84" s="27"/>
      <c r="AH84" s="20">
        <f t="shared" si="10"/>
        <v>0</v>
      </c>
      <c r="AI84" s="20">
        <f t="shared" si="11"/>
        <v>0</v>
      </c>
    </row>
    <row r="85" spans="1:35" ht="20.100000000000001" hidden="1" customHeight="1">
      <c r="A85" s="24" t="str">
        <f>ÖSSZES!$A$12</f>
        <v>Név10</v>
      </c>
      <c r="B85" s="39"/>
      <c r="C85" s="37"/>
      <c r="D85" s="39" t="s">
        <v>2</v>
      </c>
      <c r="E85" s="39" t="s">
        <v>2</v>
      </c>
      <c r="F85" s="39"/>
      <c r="G85" s="37"/>
      <c r="H85" s="39"/>
      <c r="I85" s="37"/>
      <c r="J85" s="39"/>
      <c r="K85" s="37"/>
      <c r="L85" s="39" t="s">
        <v>2</v>
      </c>
      <c r="M85" s="39" t="s">
        <v>2</v>
      </c>
      <c r="N85" s="39"/>
      <c r="O85" s="37"/>
      <c r="P85" s="39"/>
      <c r="Q85" s="37"/>
      <c r="R85" s="39"/>
      <c r="S85" s="37"/>
      <c r="T85" s="39" t="s">
        <v>2</v>
      </c>
      <c r="U85" s="39" t="s">
        <v>2</v>
      </c>
      <c r="V85" s="39"/>
      <c r="W85" s="37"/>
      <c r="X85" s="39"/>
      <c r="Y85" s="37"/>
      <c r="Z85" s="39"/>
      <c r="AA85" s="37"/>
      <c r="AB85" s="39" t="s">
        <v>2</v>
      </c>
      <c r="AC85" s="39" t="s">
        <v>2</v>
      </c>
      <c r="AD85" s="39"/>
      <c r="AE85" s="37"/>
      <c r="AF85" s="27"/>
      <c r="AH85" s="20">
        <f t="shared" si="10"/>
        <v>0</v>
      </c>
      <c r="AI85" s="20">
        <f t="shared" si="11"/>
        <v>0</v>
      </c>
    </row>
    <row r="86" spans="1:35" ht="20.100000000000001" hidden="1" customHeight="1">
      <c r="A86" s="24" t="str">
        <f>ÖSSZES!$A$13</f>
        <v>Név11</v>
      </c>
      <c r="B86" s="39"/>
      <c r="C86" s="37"/>
      <c r="D86" s="39" t="s">
        <v>2</v>
      </c>
      <c r="E86" s="39" t="s">
        <v>2</v>
      </c>
      <c r="F86" s="39"/>
      <c r="G86" s="37"/>
      <c r="H86" s="39"/>
      <c r="I86" s="37"/>
      <c r="J86" s="39"/>
      <c r="K86" s="37"/>
      <c r="L86" s="39" t="s">
        <v>2</v>
      </c>
      <c r="M86" s="39" t="s">
        <v>2</v>
      </c>
      <c r="N86" s="39"/>
      <c r="O86" s="37"/>
      <c r="P86" s="39"/>
      <c r="Q86" s="37"/>
      <c r="R86" s="39"/>
      <c r="S86" s="37"/>
      <c r="T86" s="39" t="s">
        <v>2</v>
      </c>
      <c r="U86" s="39" t="s">
        <v>2</v>
      </c>
      <c r="V86" s="39"/>
      <c r="W86" s="37"/>
      <c r="X86" s="39"/>
      <c r="Y86" s="37"/>
      <c r="Z86" s="39"/>
      <c r="AA86" s="37"/>
      <c r="AB86" s="39" t="s">
        <v>2</v>
      </c>
      <c r="AC86" s="39" t="s">
        <v>2</v>
      </c>
      <c r="AD86" s="39"/>
      <c r="AE86" s="37"/>
      <c r="AF86" s="27"/>
      <c r="AH86" s="20">
        <f t="shared" si="10"/>
        <v>0</v>
      </c>
      <c r="AI86" s="20">
        <f t="shared" si="11"/>
        <v>0</v>
      </c>
    </row>
    <row r="87" spans="1:35" ht="20.100000000000001" hidden="1" customHeight="1">
      <c r="A87" s="24" t="str">
        <f>ÖSSZES!$A$14</f>
        <v>Név12</v>
      </c>
      <c r="B87" s="39"/>
      <c r="C87" s="37"/>
      <c r="D87" s="39" t="s">
        <v>2</v>
      </c>
      <c r="E87" s="39" t="s">
        <v>2</v>
      </c>
      <c r="F87" s="39"/>
      <c r="G87" s="37"/>
      <c r="H87" s="39"/>
      <c r="I87" s="37"/>
      <c r="J87" s="39"/>
      <c r="K87" s="37"/>
      <c r="L87" s="39" t="s">
        <v>2</v>
      </c>
      <c r="M87" s="39" t="s">
        <v>2</v>
      </c>
      <c r="N87" s="39"/>
      <c r="O87" s="37"/>
      <c r="P87" s="39"/>
      <c r="Q87" s="37"/>
      <c r="R87" s="39"/>
      <c r="S87" s="37"/>
      <c r="T87" s="39" t="s">
        <v>2</v>
      </c>
      <c r="U87" s="39" t="s">
        <v>2</v>
      </c>
      <c r="V87" s="39"/>
      <c r="W87" s="37"/>
      <c r="X87" s="39"/>
      <c r="Y87" s="37"/>
      <c r="Z87" s="39"/>
      <c r="AA87" s="37"/>
      <c r="AB87" s="39" t="s">
        <v>2</v>
      </c>
      <c r="AC87" s="39" t="s">
        <v>2</v>
      </c>
      <c r="AD87" s="39"/>
      <c r="AE87" s="37"/>
      <c r="AF87" s="27"/>
      <c r="AH87" s="20">
        <f t="shared" si="10"/>
        <v>0</v>
      </c>
      <c r="AI87" s="20">
        <f t="shared" si="11"/>
        <v>0</v>
      </c>
    </row>
    <row r="88" spans="1:35" ht="20.100000000000001" hidden="1" customHeight="1">
      <c r="A88" s="24" t="str">
        <f>ÖSSZES!$A$15</f>
        <v>Név13</v>
      </c>
      <c r="B88" s="39"/>
      <c r="C88" s="37"/>
      <c r="D88" s="39" t="s">
        <v>2</v>
      </c>
      <c r="E88" s="39" t="s">
        <v>2</v>
      </c>
      <c r="F88" s="39"/>
      <c r="G88" s="37"/>
      <c r="H88" s="39"/>
      <c r="I88" s="37"/>
      <c r="J88" s="39"/>
      <c r="K88" s="37"/>
      <c r="L88" s="39" t="s">
        <v>2</v>
      </c>
      <c r="M88" s="39" t="s">
        <v>2</v>
      </c>
      <c r="N88" s="39"/>
      <c r="O88" s="37"/>
      <c r="P88" s="39"/>
      <c r="Q88" s="37"/>
      <c r="R88" s="39"/>
      <c r="S88" s="37"/>
      <c r="T88" s="39" t="s">
        <v>2</v>
      </c>
      <c r="U88" s="39" t="s">
        <v>2</v>
      </c>
      <c r="V88" s="39"/>
      <c r="W88" s="37"/>
      <c r="X88" s="39"/>
      <c r="Y88" s="37"/>
      <c r="Z88" s="39"/>
      <c r="AA88" s="37"/>
      <c r="AB88" s="39" t="s">
        <v>2</v>
      </c>
      <c r="AC88" s="39" t="s">
        <v>2</v>
      </c>
      <c r="AD88" s="39"/>
      <c r="AE88" s="37"/>
      <c r="AF88" s="27"/>
      <c r="AH88" s="20">
        <f t="shared" si="10"/>
        <v>0</v>
      </c>
      <c r="AI88" s="20">
        <f t="shared" si="11"/>
        <v>0</v>
      </c>
    </row>
    <row r="89" spans="1:35" ht="20.100000000000001" hidden="1" customHeight="1">
      <c r="A89" s="24" t="str">
        <f>ÖSSZES!$A$16</f>
        <v>Név14</v>
      </c>
      <c r="B89" s="39"/>
      <c r="C89" s="37"/>
      <c r="D89" s="39" t="s">
        <v>2</v>
      </c>
      <c r="E89" s="39" t="s">
        <v>2</v>
      </c>
      <c r="F89" s="39"/>
      <c r="G89" s="37"/>
      <c r="H89" s="39"/>
      <c r="I89" s="37"/>
      <c r="J89" s="39"/>
      <c r="K89" s="37"/>
      <c r="L89" s="39" t="s">
        <v>2</v>
      </c>
      <c r="M89" s="39" t="s">
        <v>2</v>
      </c>
      <c r="N89" s="39"/>
      <c r="O89" s="37"/>
      <c r="P89" s="39"/>
      <c r="Q89" s="37"/>
      <c r="R89" s="39"/>
      <c r="S89" s="37"/>
      <c r="T89" s="39" t="s">
        <v>2</v>
      </c>
      <c r="U89" s="39" t="s">
        <v>2</v>
      </c>
      <c r="V89" s="39"/>
      <c r="W89" s="37"/>
      <c r="X89" s="39"/>
      <c r="Y89" s="37"/>
      <c r="Z89" s="39"/>
      <c r="AA89" s="37"/>
      <c r="AB89" s="39" t="s">
        <v>2</v>
      </c>
      <c r="AC89" s="39" t="s">
        <v>2</v>
      </c>
      <c r="AD89" s="39"/>
      <c r="AE89" s="37"/>
      <c r="AF89" s="27"/>
      <c r="AH89" s="20">
        <f t="shared" si="10"/>
        <v>0</v>
      </c>
      <c r="AI89" s="20">
        <f t="shared" si="11"/>
        <v>0</v>
      </c>
    </row>
    <row r="90" spans="1:35" ht="20.100000000000001" hidden="1" customHeight="1">
      <c r="A90" s="24" t="str">
        <f>ÖSSZES!$A$17</f>
        <v>Név15</v>
      </c>
      <c r="B90" s="39"/>
      <c r="C90" s="37"/>
      <c r="D90" s="39" t="s">
        <v>2</v>
      </c>
      <c r="E90" s="39" t="s">
        <v>2</v>
      </c>
      <c r="F90" s="39"/>
      <c r="G90" s="37"/>
      <c r="H90" s="39"/>
      <c r="I90" s="37"/>
      <c r="J90" s="39"/>
      <c r="K90" s="37"/>
      <c r="L90" s="39" t="s">
        <v>2</v>
      </c>
      <c r="M90" s="39" t="s">
        <v>2</v>
      </c>
      <c r="N90" s="39"/>
      <c r="O90" s="37"/>
      <c r="P90" s="39"/>
      <c r="Q90" s="37"/>
      <c r="R90" s="39"/>
      <c r="S90" s="37"/>
      <c r="T90" s="39" t="s">
        <v>2</v>
      </c>
      <c r="U90" s="39" t="s">
        <v>2</v>
      </c>
      <c r="V90" s="39"/>
      <c r="W90" s="37"/>
      <c r="X90" s="39"/>
      <c r="Y90" s="37"/>
      <c r="Z90" s="39"/>
      <c r="AA90" s="37"/>
      <c r="AB90" s="39" t="s">
        <v>2</v>
      </c>
      <c r="AC90" s="39" t="s">
        <v>2</v>
      </c>
      <c r="AD90" s="39"/>
      <c r="AE90" s="37"/>
      <c r="AF90" s="27"/>
      <c r="AH90" s="20">
        <f t="shared" si="10"/>
        <v>0</v>
      </c>
      <c r="AI90" s="20">
        <f t="shared" si="11"/>
        <v>0</v>
      </c>
    </row>
    <row r="91" spans="1:35" ht="20.100000000000001" hidden="1" customHeight="1">
      <c r="A91" s="24" t="str">
        <f>ÖSSZES!$A$18</f>
        <v>Név16</v>
      </c>
      <c r="B91" s="39"/>
      <c r="C91" s="37"/>
      <c r="D91" s="39" t="s">
        <v>2</v>
      </c>
      <c r="E91" s="39" t="s">
        <v>2</v>
      </c>
      <c r="F91" s="39"/>
      <c r="G91" s="37"/>
      <c r="H91" s="39"/>
      <c r="I91" s="37"/>
      <c r="J91" s="39"/>
      <c r="K91" s="37"/>
      <c r="L91" s="39" t="s">
        <v>2</v>
      </c>
      <c r="M91" s="39" t="s">
        <v>2</v>
      </c>
      <c r="N91" s="39"/>
      <c r="O91" s="37"/>
      <c r="P91" s="39"/>
      <c r="Q91" s="37"/>
      <c r="R91" s="39"/>
      <c r="S91" s="37"/>
      <c r="T91" s="39" t="s">
        <v>2</v>
      </c>
      <c r="U91" s="39" t="s">
        <v>2</v>
      </c>
      <c r="V91" s="39"/>
      <c r="W91" s="37"/>
      <c r="X91" s="39"/>
      <c r="Y91" s="37"/>
      <c r="Z91" s="39"/>
      <c r="AA91" s="37"/>
      <c r="AB91" s="39" t="s">
        <v>2</v>
      </c>
      <c r="AC91" s="39" t="s">
        <v>2</v>
      </c>
      <c r="AD91" s="39"/>
      <c r="AE91" s="37"/>
      <c r="AF91" s="27"/>
      <c r="AH91" s="20">
        <f t="shared" si="10"/>
        <v>0</v>
      </c>
      <c r="AI91" s="20">
        <f t="shared" si="11"/>
        <v>0</v>
      </c>
    </row>
    <row r="92" spans="1:35" ht="20.100000000000001" hidden="1" customHeight="1">
      <c r="A92" s="24" t="str">
        <f>ÖSSZES!$A$19</f>
        <v>Név17</v>
      </c>
      <c r="B92" s="39"/>
      <c r="C92" s="37"/>
      <c r="D92" s="39" t="s">
        <v>2</v>
      </c>
      <c r="E92" s="39" t="s">
        <v>2</v>
      </c>
      <c r="F92" s="39"/>
      <c r="G92" s="37"/>
      <c r="H92" s="39"/>
      <c r="I92" s="37"/>
      <c r="J92" s="39"/>
      <c r="K92" s="37"/>
      <c r="L92" s="39" t="s">
        <v>2</v>
      </c>
      <c r="M92" s="39" t="s">
        <v>2</v>
      </c>
      <c r="N92" s="39"/>
      <c r="O92" s="37"/>
      <c r="P92" s="39"/>
      <c r="Q92" s="37"/>
      <c r="R92" s="39"/>
      <c r="S92" s="37"/>
      <c r="T92" s="39" t="s">
        <v>2</v>
      </c>
      <c r="U92" s="39" t="s">
        <v>2</v>
      </c>
      <c r="V92" s="39"/>
      <c r="W92" s="37"/>
      <c r="X92" s="39"/>
      <c r="Y92" s="37"/>
      <c r="Z92" s="39"/>
      <c r="AA92" s="37"/>
      <c r="AB92" s="39" t="s">
        <v>2</v>
      </c>
      <c r="AC92" s="39" t="s">
        <v>2</v>
      </c>
      <c r="AD92" s="39"/>
      <c r="AE92" s="37"/>
      <c r="AF92" s="27"/>
      <c r="AH92" s="20">
        <f t="shared" si="10"/>
        <v>0</v>
      </c>
      <c r="AI92" s="20">
        <f t="shared" si="11"/>
        <v>0</v>
      </c>
    </row>
    <row r="93" spans="1:35" ht="20.100000000000001" hidden="1" customHeight="1">
      <c r="A93" s="24" t="str">
        <f>ÖSSZES!$A$20</f>
        <v>Név18</v>
      </c>
      <c r="B93" s="39"/>
      <c r="C93" s="37"/>
      <c r="D93" s="39" t="s">
        <v>2</v>
      </c>
      <c r="E93" s="39" t="s">
        <v>2</v>
      </c>
      <c r="F93" s="39"/>
      <c r="G93" s="37"/>
      <c r="H93" s="39"/>
      <c r="I93" s="37"/>
      <c r="J93" s="39"/>
      <c r="K93" s="37"/>
      <c r="L93" s="39" t="s">
        <v>2</v>
      </c>
      <c r="M93" s="39" t="s">
        <v>2</v>
      </c>
      <c r="N93" s="39"/>
      <c r="O93" s="37"/>
      <c r="P93" s="39"/>
      <c r="Q93" s="37"/>
      <c r="R93" s="39"/>
      <c r="S93" s="37"/>
      <c r="T93" s="39" t="s">
        <v>2</v>
      </c>
      <c r="U93" s="39" t="s">
        <v>2</v>
      </c>
      <c r="V93" s="39"/>
      <c r="W93" s="37"/>
      <c r="X93" s="39"/>
      <c r="Y93" s="37"/>
      <c r="Z93" s="39"/>
      <c r="AA93" s="37"/>
      <c r="AB93" s="39" t="s">
        <v>2</v>
      </c>
      <c r="AC93" s="39" t="s">
        <v>2</v>
      </c>
      <c r="AD93" s="39"/>
      <c r="AE93" s="37"/>
      <c r="AF93" s="27"/>
      <c r="AH93" s="20">
        <f t="shared" si="10"/>
        <v>0</v>
      </c>
      <c r="AI93" s="20">
        <f t="shared" si="11"/>
        <v>0</v>
      </c>
    </row>
    <row r="94" spans="1:35" ht="20.100000000000001" hidden="1" customHeight="1">
      <c r="A94" s="24" t="str">
        <f>ÖSSZES!$A$21</f>
        <v>Név19</v>
      </c>
      <c r="B94" s="39"/>
      <c r="C94" s="37"/>
      <c r="D94" s="39" t="s">
        <v>2</v>
      </c>
      <c r="E94" s="39" t="s">
        <v>2</v>
      </c>
      <c r="F94" s="39"/>
      <c r="G94" s="37"/>
      <c r="H94" s="39"/>
      <c r="I94" s="37"/>
      <c r="J94" s="39"/>
      <c r="K94" s="37"/>
      <c r="L94" s="39" t="s">
        <v>2</v>
      </c>
      <c r="M94" s="39" t="s">
        <v>2</v>
      </c>
      <c r="N94" s="39"/>
      <c r="O94" s="37"/>
      <c r="P94" s="39"/>
      <c r="Q94" s="37"/>
      <c r="R94" s="39"/>
      <c r="S94" s="37"/>
      <c r="T94" s="39" t="s">
        <v>2</v>
      </c>
      <c r="U94" s="39" t="s">
        <v>2</v>
      </c>
      <c r="V94" s="39"/>
      <c r="W94" s="37"/>
      <c r="X94" s="39"/>
      <c r="Y94" s="37"/>
      <c r="Z94" s="39"/>
      <c r="AA94" s="37"/>
      <c r="AB94" s="39" t="s">
        <v>2</v>
      </c>
      <c r="AC94" s="39" t="s">
        <v>2</v>
      </c>
      <c r="AD94" s="39"/>
      <c r="AE94" s="37"/>
      <c r="AF94" s="27"/>
      <c r="AH94" s="20">
        <f t="shared" si="10"/>
        <v>0</v>
      </c>
      <c r="AI94" s="20">
        <f t="shared" si="11"/>
        <v>0</v>
      </c>
    </row>
    <row r="95" spans="1:35" ht="20.100000000000001" hidden="1" customHeight="1">
      <c r="A95" s="24" t="str">
        <f>ÖSSZES!$A$17</f>
        <v>Név15</v>
      </c>
      <c r="B95" s="39"/>
      <c r="C95" s="37"/>
      <c r="D95" s="39" t="s">
        <v>2</v>
      </c>
      <c r="E95" s="39" t="s">
        <v>2</v>
      </c>
      <c r="F95" s="39"/>
      <c r="G95" s="37"/>
      <c r="H95" s="39"/>
      <c r="I95" s="37"/>
      <c r="J95" s="39"/>
      <c r="K95" s="37"/>
      <c r="L95" s="39" t="s">
        <v>2</v>
      </c>
      <c r="M95" s="39" t="s">
        <v>2</v>
      </c>
      <c r="N95" s="39"/>
      <c r="O95" s="37"/>
      <c r="P95" s="39"/>
      <c r="Q95" s="37"/>
      <c r="R95" s="39"/>
      <c r="S95" s="37"/>
      <c r="T95" s="39" t="s">
        <v>2</v>
      </c>
      <c r="U95" s="39" t="s">
        <v>2</v>
      </c>
      <c r="V95" s="39"/>
      <c r="W95" s="37"/>
      <c r="X95" s="39"/>
      <c r="Y95" s="37"/>
      <c r="Z95" s="39"/>
      <c r="AA95" s="37"/>
      <c r="AB95" s="39" t="s">
        <v>2</v>
      </c>
      <c r="AC95" s="39" t="s">
        <v>2</v>
      </c>
      <c r="AD95" s="39"/>
      <c r="AE95" s="37"/>
      <c r="AF95" s="27"/>
      <c r="AH95" s="20">
        <f t="shared" si="10"/>
        <v>0</v>
      </c>
      <c r="AI95" s="20">
        <f t="shared" si="11"/>
        <v>0</v>
      </c>
    </row>
    <row r="96" spans="1:35" ht="20.100000000000001" customHeight="1"/>
    <row r="97" spans="1:35" s="31" customFormat="1" ht="20.100000000000001" customHeight="1">
      <c r="A97" s="54" t="s">
        <v>9</v>
      </c>
      <c r="B97" s="29">
        <v>1</v>
      </c>
      <c r="C97" s="30">
        <v>2</v>
      </c>
      <c r="D97" s="30">
        <v>3</v>
      </c>
      <c r="E97" s="30">
        <v>4</v>
      </c>
      <c r="F97" s="30">
        <v>5</v>
      </c>
      <c r="G97" s="30">
        <v>6</v>
      </c>
      <c r="H97" s="30">
        <v>7</v>
      </c>
      <c r="I97" s="30">
        <v>8</v>
      </c>
      <c r="J97" s="30">
        <v>9</v>
      </c>
      <c r="K97" s="30">
        <v>10</v>
      </c>
      <c r="L97" s="30">
        <v>11</v>
      </c>
      <c r="M97" s="30">
        <v>12</v>
      </c>
      <c r="N97" s="30">
        <v>13</v>
      </c>
      <c r="O97" s="30">
        <v>14</v>
      </c>
      <c r="P97" s="30">
        <v>15</v>
      </c>
      <c r="Q97" s="30">
        <v>16</v>
      </c>
      <c r="R97" s="30">
        <v>17</v>
      </c>
      <c r="S97" s="30">
        <v>18</v>
      </c>
      <c r="T97" s="30">
        <v>19</v>
      </c>
      <c r="U97" s="30">
        <v>20</v>
      </c>
      <c r="V97" s="30">
        <v>21</v>
      </c>
      <c r="W97" s="30">
        <v>22</v>
      </c>
      <c r="X97" s="30">
        <v>23</v>
      </c>
      <c r="Y97" s="30">
        <v>24</v>
      </c>
      <c r="Z97" s="30">
        <v>25</v>
      </c>
      <c r="AA97" s="30">
        <v>26</v>
      </c>
      <c r="AB97" s="30">
        <v>27</v>
      </c>
      <c r="AC97" s="30">
        <v>28</v>
      </c>
      <c r="AD97" s="30">
        <v>29</v>
      </c>
      <c r="AE97" s="30">
        <v>30</v>
      </c>
      <c r="AF97" s="30">
        <v>31</v>
      </c>
      <c r="AH97" s="54" t="s">
        <v>18</v>
      </c>
      <c r="AI97" s="54" t="s">
        <v>19</v>
      </c>
    </row>
    <row r="98" spans="1:35" ht="20.100000000000001" customHeight="1">
      <c r="A98" s="56"/>
      <c r="B98" s="35" t="str">
        <f>'2021'!B36</f>
        <v>Szo</v>
      </c>
      <c r="C98" s="35" t="str">
        <f>'2021'!C36</f>
        <v>V</v>
      </c>
      <c r="D98" s="35" t="str">
        <f>'2021'!D36</f>
        <v>H</v>
      </c>
      <c r="E98" s="35" t="str">
        <f>'2021'!E36</f>
        <v>K</v>
      </c>
      <c r="F98" s="35" t="str">
        <f>'2021'!F36</f>
        <v>Sze</v>
      </c>
      <c r="G98" s="35" t="str">
        <f>'2021'!G36</f>
        <v>Cs</v>
      </c>
      <c r="H98" s="35" t="str">
        <f>'2021'!H36</f>
        <v>P</v>
      </c>
      <c r="I98" s="35" t="str">
        <f>'2021'!I36</f>
        <v>Szo</v>
      </c>
      <c r="J98" s="35" t="str">
        <f>'2021'!J36</f>
        <v>V</v>
      </c>
      <c r="K98" s="35" t="str">
        <f>'2021'!K36</f>
        <v>H</v>
      </c>
      <c r="L98" s="35" t="str">
        <f>'2021'!L36</f>
        <v>K</v>
      </c>
      <c r="M98" s="35" t="str">
        <f>'2021'!M36</f>
        <v>Sze</v>
      </c>
      <c r="N98" s="35" t="str">
        <f>'2021'!N36</f>
        <v>Cs</v>
      </c>
      <c r="O98" s="35" t="str">
        <f>'2021'!O36</f>
        <v>P</v>
      </c>
      <c r="P98" s="35" t="str">
        <f>'2021'!P36</f>
        <v>Szo</v>
      </c>
      <c r="Q98" s="35" t="str">
        <f>'2021'!Q36</f>
        <v>V</v>
      </c>
      <c r="R98" s="35" t="str">
        <f>'2021'!R36</f>
        <v>H</v>
      </c>
      <c r="S98" s="35" t="str">
        <f>'2021'!S36</f>
        <v>K</v>
      </c>
      <c r="T98" s="35" t="str">
        <f>'2021'!T36</f>
        <v>Sze</v>
      </c>
      <c r="U98" s="35" t="str">
        <f>'2021'!U36</f>
        <v>Cs</v>
      </c>
      <c r="V98" s="35" t="str">
        <f>'2021'!V36</f>
        <v>P</v>
      </c>
      <c r="W98" s="35" t="str">
        <f>'2021'!W36</f>
        <v>Szo</v>
      </c>
      <c r="X98" s="35" t="str">
        <f>'2021'!X36</f>
        <v>V</v>
      </c>
      <c r="Y98" s="35" t="str">
        <f>'2021'!Y36</f>
        <v>H</v>
      </c>
      <c r="Z98" s="35" t="str">
        <f>'2021'!Z36</f>
        <v>K</v>
      </c>
      <c r="AA98" s="35" t="str">
        <f>'2021'!AA36</f>
        <v>Sze</v>
      </c>
      <c r="AB98" s="35" t="str">
        <f>'2021'!AB36</f>
        <v>Cs</v>
      </c>
      <c r="AC98" s="35" t="str">
        <f>'2021'!AC36</f>
        <v>P</v>
      </c>
      <c r="AD98" s="35" t="str">
        <f>'2021'!AD36</f>
        <v>Szo</v>
      </c>
      <c r="AE98" s="35" t="str">
        <f>'2021'!AE36</f>
        <v>V</v>
      </c>
      <c r="AF98" s="35" t="str">
        <f>'2021'!AF36</f>
        <v>H</v>
      </c>
      <c r="AH98" s="55"/>
      <c r="AI98" s="55"/>
    </row>
    <row r="99" spans="1:35" ht="20.100000000000001" customHeight="1">
      <c r="A99" s="55"/>
      <c r="B99" s="32">
        <f>'2021'!B37</f>
        <v>2</v>
      </c>
      <c r="C99" s="32">
        <f>'2021'!C37</f>
        <v>2</v>
      </c>
      <c r="D99" s="32">
        <f>'2021'!D37</f>
        <v>2</v>
      </c>
      <c r="E99" s="32">
        <f>'2021'!E37</f>
        <v>2</v>
      </c>
      <c r="F99" s="32" t="str">
        <f>'2021'!F37</f>
        <v>X</v>
      </c>
      <c r="G99" s="32" t="str">
        <f>'2021'!G37</f>
        <v>X</v>
      </c>
      <c r="H99" s="32">
        <f>'2021'!H37</f>
        <v>1</v>
      </c>
      <c r="I99" s="32">
        <f>'2021'!I37</f>
        <v>1</v>
      </c>
      <c r="J99" s="32">
        <f>'2021'!J37</f>
        <v>1</v>
      </c>
      <c r="K99" s="32">
        <f>'2021'!K37</f>
        <v>1</v>
      </c>
      <c r="L99" s="32">
        <f>'2021'!L37</f>
        <v>1</v>
      </c>
      <c r="M99" s="32">
        <f>'2021'!M37</f>
        <v>1</v>
      </c>
      <c r="N99" s="32" t="str">
        <f>'2021'!N37</f>
        <v>X</v>
      </c>
      <c r="O99" s="32" t="str">
        <f>'2021'!O37</f>
        <v>X</v>
      </c>
      <c r="P99" s="32">
        <f>'2021'!P37</f>
        <v>3</v>
      </c>
      <c r="Q99" s="32">
        <f>'2021'!Q37</f>
        <v>3</v>
      </c>
      <c r="R99" s="32">
        <f>'2021'!R37</f>
        <v>3</v>
      </c>
      <c r="S99" s="32">
        <f>'2021'!S37</f>
        <v>3</v>
      </c>
      <c r="T99" s="32">
        <f>'2021'!T37</f>
        <v>3</v>
      </c>
      <c r="U99" s="32">
        <f>'2021'!U37</f>
        <v>3</v>
      </c>
      <c r="V99" s="32" t="str">
        <f>'2021'!V37</f>
        <v>X</v>
      </c>
      <c r="W99" s="32" t="str">
        <f>'2021'!W37</f>
        <v>X</v>
      </c>
      <c r="X99" s="32">
        <f>'2021'!X37</f>
        <v>2</v>
      </c>
      <c r="Y99" s="32">
        <f>'2021'!Y37</f>
        <v>2</v>
      </c>
      <c r="Z99" s="32">
        <f>'2021'!Z37</f>
        <v>2</v>
      </c>
      <c r="AA99" s="32">
        <f>'2021'!AA37</f>
        <v>2</v>
      </c>
      <c r="AB99" s="32">
        <f>'2021'!AB37</f>
        <v>2</v>
      </c>
      <c r="AC99" s="32">
        <f>'2021'!AC37</f>
        <v>2</v>
      </c>
      <c r="AD99" s="32" t="str">
        <f>'2021'!AD37</f>
        <v>X</v>
      </c>
      <c r="AE99" s="32" t="str">
        <f>'2021'!AE37</f>
        <v>X</v>
      </c>
      <c r="AF99" s="32">
        <f>'2021'!AF37</f>
        <v>1</v>
      </c>
      <c r="AH99" s="55"/>
      <c r="AI99" s="55"/>
    </row>
    <row r="100" spans="1:35" ht="20.100000000000001" customHeight="1">
      <c r="A100" s="24" t="str">
        <f>ÖSSZES!$A$3</f>
        <v>Csuka Lajos</v>
      </c>
      <c r="B100" s="39"/>
      <c r="C100" s="39"/>
      <c r="D100" s="39"/>
      <c r="E100" s="39"/>
      <c r="F100" s="39" t="s">
        <v>2</v>
      </c>
      <c r="G100" s="39" t="s">
        <v>2</v>
      </c>
      <c r="H100" s="39"/>
      <c r="I100" s="39"/>
      <c r="J100" s="39"/>
      <c r="K100" s="39"/>
      <c r="L100" s="39"/>
      <c r="M100" s="39"/>
      <c r="N100" s="39" t="s">
        <v>2</v>
      </c>
      <c r="O100" s="39" t="s">
        <v>2</v>
      </c>
      <c r="P100" s="39"/>
      <c r="Q100" s="39"/>
      <c r="R100" s="39"/>
      <c r="S100" s="39"/>
      <c r="T100" s="39"/>
      <c r="U100" s="39"/>
      <c r="V100" s="39" t="s">
        <v>2</v>
      </c>
      <c r="W100" s="39" t="s">
        <v>2</v>
      </c>
      <c r="X100" s="39"/>
      <c r="Y100" s="39"/>
      <c r="Z100" s="39"/>
      <c r="AA100" s="39"/>
      <c r="AB100" s="39"/>
      <c r="AC100" s="37"/>
      <c r="AD100" s="39" t="s">
        <v>2</v>
      </c>
      <c r="AE100" s="39" t="s">
        <v>2</v>
      </c>
      <c r="AF100" s="37"/>
      <c r="AH100" s="20">
        <f>1*COUNTIF(A100:AF100,"+")</f>
        <v>0</v>
      </c>
      <c r="AI100" s="20">
        <f t="shared" ref="AI100" si="12">1*COUNTIF(B100:AF100,"szf")</f>
        <v>0</v>
      </c>
    </row>
    <row r="101" spans="1:35" ht="20.100000000000001" customHeight="1">
      <c r="A101" s="24" t="str">
        <f>ÖSSZES!$A$4</f>
        <v>Batiz Attila</v>
      </c>
      <c r="B101" s="39"/>
      <c r="C101" s="39"/>
      <c r="D101" s="39"/>
      <c r="E101" s="39"/>
      <c r="F101" s="39" t="s">
        <v>2</v>
      </c>
      <c r="G101" s="39" t="s">
        <v>2</v>
      </c>
      <c r="H101" s="39"/>
      <c r="I101" s="39"/>
      <c r="J101" s="39"/>
      <c r="K101" s="39"/>
      <c r="L101" s="39"/>
      <c r="M101" s="39"/>
      <c r="N101" s="39" t="s">
        <v>2</v>
      </c>
      <c r="O101" s="39" t="s">
        <v>2</v>
      </c>
      <c r="P101" s="39"/>
      <c r="Q101" s="39"/>
      <c r="R101" s="39"/>
      <c r="S101" s="39"/>
      <c r="T101" s="39"/>
      <c r="U101" s="39"/>
      <c r="V101" s="39" t="s">
        <v>2</v>
      </c>
      <c r="W101" s="39" t="s">
        <v>2</v>
      </c>
      <c r="X101" s="39"/>
      <c r="Y101" s="39"/>
      <c r="Z101" s="39"/>
      <c r="AA101" s="39"/>
      <c r="AB101" s="39"/>
      <c r="AC101" s="37"/>
      <c r="AD101" s="39" t="s">
        <v>2</v>
      </c>
      <c r="AE101" s="39" t="s">
        <v>2</v>
      </c>
      <c r="AF101" s="37"/>
      <c r="AH101" s="20">
        <f t="shared" ref="AH101:AH119" si="13">1*COUNTIF(A101:AF101,"+")</f>
        <v>0</v>
      </c>
      <c r="AI101" s="20">
        <f t="shared" ref="AI101:AI119" si="14">1*COUNTIF(B101:AF101,"szf")</f>
        <v>0</v>
      </c>
    </row>
    <row r="102" spans="1:35" ht="20.100000000000001" customHeight="1">
      <c r="A102" s="24" t="str">
        <f>ÖSSZES!$A$5</f>
        <v>Füredi Antal</v>
      </c>
      <c r="B102" s="39"/>
      <c r="C102" s="39"/>
      <c r="D102" s="39"/>
      <c r="E102" s="39"/>
      <c r="F102" s="39" t="s">
        <v>2</v>
      </c>
      <c r="G102" s="39" t="s">
        <v>2</v>
      </c>
      <c r="H102" s="39"/>
      <c r="I102" s="39"/>
      <c r="J102" s="39"/>
      <c r="K102" s="39"/>
      <c r="L102" s="39"/>
      <c r="M102" s="39"/>
      <c r="N102" s="39" t="s">
        <v>2</v>
      </c>
      <c r="O102" s="39" t="s">
        <v>2</v>
      </c>
      <c r="P102" s="39"/>
      <c r="Q102" s="39"/>
      <c r="R102" s="39"/>
      <c r="S102" s="39"/>
      <c r="T102" s="39"/>
      <c r="U102" s="39"/>
      <c r="V102" s="39" t="s">
        <v>2</v>
      </c>
      <c r="W102" s="39" t="s">
        <v>2</v>
      </c>
      <c r="X102" s="39"/>
      <c r="Y102" s="39"/>
      <c r="Z102" s="39"/>
      <c r="AA102" s="39"/>
      <c r="AB102" s="39"/>
      <c r="AC102" s="37"/>
      <c r="AD102" s="39" t="s">
        <v>2</v>
      </c>
      <c r="AE102" s="39" t="s">
        <v>2</v>
      </c>
      <c r="AF102" s="37"/>
      <c r="AH102" s="20">
        <f t="shared" si="13"/>
        <v>0</v>
      </c>
      <c r="AI102" s="20">
        <f t="shared" si="14"/>
        <v>0</v>
      </c>
    </row>
    <row r="103" spans="1:35" ht="20.100000000000001" customHeight="1">
      <c r="A103" s="24" t="str">
        <f>ÖSSZES!$A$6</f>
        <v>Iványi István</v>
      </c>
      <c r="B103" s="39"/>
      <c r="C103" s="39"/>
      <c r="D103" s="39"/>
      <c r="E103" s="39"/>
      <c r="F103" s="39" t="s">
        <v>2</v>
      </c>
      <c r="G103" s="39" t="s">
        <v>2</v>
      </c>
      <c r="H103" s="39"/>
      <c r="I103" s="39"/>
      <c r="J103" s="39"/>
      <c r="K103" s="39"/>
      <c r="L103" s="39"/>
      <c r="M103" s="39"/>
      <c r="N103" s="39" t="s">
        <v>2</v>
      </c>
      <c r="O103" s="39" t="s">
        <v>2</v>
      </c>
      <c r="P103" s="39"/>
      <c r="Q103" s="39"/>
      <c r="R103" s="39"/>
      <c r="S103" s="39"/>
      <c r="T103" s="39"/>
      <c r="U103" s="39"/>
      <c r="V103" s="39" t="s">
        <v>2</v>
      </c>
      <c r="W103" s="39" t="s">
        <v>2</v>
      </c>
      <c r="X103" s="39"/>
      <c r="Y103" s="39"/>
      <c r="Z103" s="39"/>
      <c r="AA103" s="39"/>
      <c r="AB103" s="39"/>
      <c r="AC103" s="37"/>
      <c r="AD103" s="39" t="s">
        <v>2</v>
      </c>
      <c r="AE103" s="39" t="s">
        <v>2</v>
      </c>
      <c r="AF103" s="37"/>
      <c r="AH103" s="20">
        <f t="shared" si="13"/>
        <v>0</v>
      </c>
      <c r="AI103" s="20">
        <f t="shared" si="14"/>
        <v>0</v>
      </c>
    </row>
    <row r="104" spans="1:35" ht="20.100000000000001" customHeight="1">
      <c r="A104" s="24" t="str">
        <f>ÖSSZES!$A$7</f>
        <v>Katonka Tibor</v>
      </c>
      <c r="B104" s="39"/>
      <c r="C104" s="39"/>
      <c r="D104" s="39"/>
      <c r="E104" s="39"/>
      <c r="F104" s="39" t="s">
        <v>2</v>
      </c>
      <c r="G104" s="39" t="s">
        <v>2</v>
      </c>
      <c r="H104" s="39"/>
      <c r="I104" s="39"/>
      <c r="J104" s="39"/>
      <c r="K104" s="39"/>
      <c r="L104" s="39"/>
      <c r="M104" s="39"/>
      <c r="N104" s="39" t="s">
        <v>2</v>
      </c>
      <c r="O104" s="39" t="s">
        <v>2</v>
      </c>
      <c r="P104" s="39"/>
      <c r="Q104" s="39"/>
      <c r="R104" s="39"/>
      <c r="S104" s="39"/>
      <c r="T104" s="39"/>
      <c r="U104" s="39"/>
      <c r="V104" s="39" t="s">
        <v>2</v>
      </c>
      <c r="W104" s="39" t="s">
        <v>2</v>
      </c>
      <c r="X104" s="39"/>
      <c r="Y104" s="39"/>
      <c r="Z104" s="39"/>
      <c r="AA104" s="39"/>
      <c r="AB104" s="39"/>
      <c r="AC104" s="37"/>
      <c r="AD104" s="39" t="s">
        <v>2</v>
      </c>
      <c r="AE104" s="39" t="s">
        <v>2</v>
      </c>
      <c r="AF104" s="37"/>
      <c r="AH104" s="20">
        <f t="shared" si="13"/>
        <v>0</v>
      </c>
      <c r="AI104" s="20">
        <f t="shared" si="14"/>
        <v>0</v>
      </c>
    </row>
    <row r="105" spans="1:35" ht="20.100000000000001" customHeight="1">
      <c r="A105" s="24" t="str">
        <f>ÖSSZES!$A$8</f>
        <v>Mizsák Péter</v>
      </c>
      <c r="B105" s="39"/>
      <c r="C105" s="39"/>
      <c r="D105" s="39"/>
      <c r="E105" s="39"/>
      <c r="F105" s="39" t="s">
        <v>2</v>
      </c>
      <c r="G105" s="39" t="s">
        <v>2</v>
      </c>
      <c r="H105" s="39"/>
      <c r="I105" s="39"/>
      <c r="J105" s="39"/>
      <c r="K105" s="39"/>
      <c r="L105" s="39"/>
      <c r="M105" s="39"/>
      <c r="N105" s="39" t="s">
        <v>2</v>
      </c>
      <c r="O105" s="39" t="s">
        <v>2</v>
      </c>
      <c r="P105" s="39"/>
      <c r="Q105" s="39"/>
      <c r="R105" s="39"/>
      <c r="S105" s="39"/>
      <c r="T105" s="39"/>
      <c r="U105" s="39"/>
      <c r="V105" s="39" t="s">
        <v>2</v>
      </c>
      <c r="W105" s="39" t="s">
        <v>2</v>
      </c>
      <c r="X105" s="39"/>
      <c r="Y105" s="39"/>
      <c r="Z105" s="39"/>
      <c r="AA105" s="39"/>
      <c r="AB105" s="39"/>
      <c r="AC105" s="37"/>
      <c r="AD105" s="39" t="s">
        <v>2</v>
      </c>
      <c r="AE105" s="39" t="s">
        <v>2</v>
      </c>
      <c r="AF105" s="37"/>
      <c r="AH105" s="20">
        <f t="shared" si="13"/>
        <v>0</v>
      </c>
      <c r="AI105" s="20">
        <f t="shared" si="14"/>
        <v>0</v>
      </c>
    </row>
    <row r="106" spans="1:35" ht="20.100000000000001" customHeight="1">
      <c r="A106" s="24" t="str">
        <f>ÖSSZES!$A$9</f>
        <v>Vatamány Gergő</v>
      </c>
      <c r="B106" s="39"/>
      <c r="C106" s="39"/>
      <c r="D106" s="39"/>
      <c r="E106" s="39"/>
      <c r="F106" s="39" t="s">
        <v>2</v>
      </c>
      <c r="G106" s="39" t="s">
        <v>2</v>
      </c>
      <c r="H106" s="39"/>
      <c r="I106" s="39"/>
      <c r="J106" s="39"/>
      <c r="K106" s="39"/>
      <c r="L106" s="39"/>
      <c r="M106" s="39"/>
      <c r="N106" s="39" t="s">
        <v>2</v>
      </c>
      <c r="O106" s="39" t="s">
        <v>2</v>
      </c>
      <c r="P106" s="39"/>
      <c r="Q106" s="39"/>
      <c r="R106" s="39"/>
      <c r="S106" s="39"/>
      <c r="T106" s="39"/>
      <c r="U106" s="39"/>
      <c r="V106" s="39" t="s">
        <v>2</v>
      </c>
      <c r="W106" s="39" t="s">
        <v>2</v>
      </c>
      <c r="X106" s="39"/>
      <c r="Y106" s="39"/>
      <c r="Z106" s="39"/>
      <c r="AA106" s="39"/>
      <c r="AB106" s="39"/>
      <c r="AC106" s="37"/>
      <c r="AD106" s="39" t="s">
        <v>2</v>
      </c>
      <c r="AE106" s="39" t="s">
        <v>2</v>
      </c>
      <c r="AF106" s="37"/>
      <c r="AH106" s="20">
        <f t="shared" si="13"/>
        <v>0</v>
      </c>
      <c r="AI106" s="20">
        <f t="shared" si="14"/>
        <v>0</v>
      </c>
    </row>
    <row r="107" spans="1:35" ht="20.100000000000001" hidden="1" customHeight="1">
      <c r="A107" s="24" t="str">
        <f>ÖSSZES!$A$10</f>
        <v>Név8</v>
      </c>
      <c r="B107" s="39"/>
      <c r="C107" s="39"/>
      <c r="D107" s="39"/>
      <c r="E107" s="39"/>
      <c r="F107" s="39" t="s">
        <v>2</v>
      </c>
      <c r="G107" s="39" t="s">
        <v>2</v>
      </c>
      <c r="H107" s="39"/>
      <c r="I107" s="39"/>
      <c r="J107" s="39"/>
      <c r="K107" s="39"/>
      <c r="L107" s="39"/>
      <c r="M107" s="39"/>
      <c r="N107" s="39" t="s">
        <v>2</v>
      </c>
      <c r="O107" s="39" t="s">
        <v>2</v>
      </c>
      <c r="P107" s="39"/>
      <c r="Q107" s="39"/>
      <c r="R107" s="39"/>
      <c r="S107" s="39"/>
      <c r="T107" s="39"/>
      <c r="U107" s="39"/>
      <c r="V107" s="39" t="s">
        <v>2</v>
      </c>
      <c r="W107" s="39" t="s">
        <v>2</v>
      </c>
      <c r="X107" s="39"/>
      <c r="Y107" s="39"/>
      <c r="Z107" s="39"/>
      <c r="AA107" s="39"/>
      <c r="AB107" s="39"/>
      <c r="AC107" s="37"/>
      <c r="AD107" s="39" t="s">
        <v>2</v>
      </c>
      <c r="AE107" s="39" t="s">
        <v>2</v>
      </c>
      <c r="AF107" s="37"/>
      <c r="AH107" s="20">
        <f t="shared" si="13"/>
        <v>0</v>
      </c>
      <c r="AI107" s="20">
        <f t="shared" si="14"/>
        <v>0</v>
      </c>
    </row>
    <row r="108" spans="1:35" ht="20.100000000000001" hidden="1" customHeight="1">
      <c r="A108" s="24" t="str">
        <f>ÖSSZES!$A$11</f>
        <v>Név9</v>
      </c>
      <c r="B108" s="39"/>
      <c r="C108" s="39"/>
      <c r="D108" s="39"/>
      <c r="E108" s="39"/>
      <c r="F108" s="39" t="s">
        <v>2</v>
      </c>
      <c r="G108" s="39" t="s">
        <v>2</v>
      </c>
      <c r="H108" s="39"/>
      <c r="I108" s="39"/>
      <c r="J108" s="39"/>
      <c r="K108" s="39"/>
      <c r="L108" s="39"/>
      <c r="M108" s="39"/>
      <c r="N108" s="39" t="s">
        <v>2</v>
      </c>
      <c r="O108" s="39" t="s">
        <v>2</v>
      </c>
      <c r="P108" s="39"/>
      <c r="Q108" s="39"/>
      <c r="R108" s="39"/>
      <c r="S108" s="39"/>
      <c r="T108" s="39"/>
      <c r="U108" s="39"/>
      <c r="V108" s="39" t="s">
        <v>2</v>
      </c>
      <c r="W108" s="39" t="s">
        <v>2</v>
      </c>
      <c r="X108" s="39"/>
      <c r="Y108" s="39"/>
      <c r="Z108" s="39"/>
      <c r="AA108" s="39"/>
      <c r="AB108" s="39"/>
      <c r="AC108" s="37"/>
      <c r="AD108" s="39" t="s">
        <v>2</v>
      </c>
      <c r="AE108" s="39" t="s">
        <v>2</v>
      </c>
      <c r="AF108" s="37"/>
      <c r="AH108" s="20">
        <f t="shared" si="13"/>
        <v>0</v>
      </c>
      <c r="AI108" s="20">
        <f t="shared" si="14"/>
        <v>0</v>
      </c>
    </row>
    <row r="109" spans="1:35" ht="20.100000000000001" hidden="1" customHeight="1">
      <c r="A109" s="24" t="str">
        <f>ÖSSZES!$A$12</f>
        <v>Név10</v>
      </c>
      <c r="B109" s="39"/>
      <c r="C109" s="39"/>
      <c r="D109" s="39"/>
      <c r="E109" s="39"/>
      <c r="F109" s="39" t="s">
        <v>2</v>
      </c>
      <c r="G109" s="39" t="s">
        <v>2</v>
      </c>
      <c r="H109" s="39"/>
      <c r="I109" s="39"/>
      <c r="J109" s="39"/>
      <c r="K109" s="39"/>
      <c r="L109" s="39"/>
      <c r="M109" s="39"/>
      <c r="N109" s="39" t="s">
        <v>2</v>
      </c>
      <c r="O109" s="39" t="s">
        <v>2</v>
      </c>
      <c r="P109" s="39"/>
      <c r="Q109" s="39"/>
      <c r="R109" s="39"/>
      <c r="S109" s="39"/>
      <c r="T109" s="39"/>
      <c r="U109" s="39"/>
      <c r="V109" s="39" t="s">
        <v>2</v>
      </c>
      <c r="W109" s="39" t="s">
        <v>2</v>
      </c>
      <c r="X109" s="39"/>
      <c r="Y109" s="39"/>
      <c r="Z109" s="39"/>
      <c r="AA109" s="39"/>
      <c r="AB109" s="39"/>
      <c r="AC109" s="37"/>
      <c r="AD109" s="39" t="s">
        <v>2</v>
      </c>
      <c r="AE109" s="39" t="s">
        <v>2</v>
      </c>
      <c r="AF109" s="37"/>
      <c r="AH109" s="20">
        <f t="shared" si="13"/>
        <v>0</v>
      </c>
      <c r="AI109" s="20">
        <f t="shared" si="14"/>
        <v>0</v>
      </c>
    </row>
    <row r="110" spans="1:35" ht="20.100000000000001" hidden="1" customHeight="1">
      <c r="A110" s="24" t="str">
        <f>ÖSSZES!$A$13</f>
        <v>Név11</v>
      </c>
      <c r="B110" s="39"/>
      <c r="C110" s="39"/>
      <c r="D110" s="39"/>
      <c r="E110" s="39"/>
      <c r="F110" s="39" t="s">
        <v>2</v>
      </c>
      <c r="G110" s="39" t="s">
        <v>2</v>
      </c>
      <c r="H110" s="39"/>
      <c r="I110" s="39"/>
      <c r="J110" s="39"/>
      <c r="K110" s="39"/>
      <c r="L110" s="39"/>
      <c r="M110" s="39"/>
      <c r="N110" s="39" t="s">
        <v>2</v>
      </c>
      <c r="O110" s="39" t="s">
        <v>2</v>
      </c>
      <c r="P110" s="39"/>
      <c r="Q110" s="39"/>
      <c r="R110" s="39"/>
      <c r="S110" s="39"/>
      <c r="T110" s="39"/>
      <c r="U110" s="39"/>
      <c r="V110" s="39" t="s">
        <v>2</v>
      </c>
      <c r="W110" s="39" t="s">
        <v>2</v>
      </c>
      <c r="X110" s="39"/>
      <c r="Y110" s="39"/>
      <c r="Z110" s="39"/>
      <c r="AA110" s="39"/>
      <c r="AB110" s="39"/>
      <c r="AC110" s="37"/>
      <c r="AD110" s="39" t="s">
        <v>2</v>
      </c>
      <c r="AE110" s="39" t="s">
        <v>2</v>
      </c>
      <c r="AF110" s="37"/>
      <c r="AH110" s="20">
        <f t="shared" si="13"/>
        <v>0</v>
      </c>
      <c r="AI110" s="20">
        <f t="shared" si="14"/>
        <v>0</v>
      </c>
    </row>
    <row r="111" spans="1:35" ht="20.100000000000001" hidden="1" customHeight="1">
      <c r="A111" s="24" t="str">
        <f>ÖSSZES!$A$14</f>
        <v>Név12</v>
      </c>
      <c r="B111" s="39"/>
      <c r="C111" s="39"/>
      <c r="D111" s="39"/>
      <c r="E111" s="39"/>
      <c r="F111" s="39" t="s">
        <v>2</v>
      </c>
      <c r="G111" s="39" t="s">
        <v>2</v>
      </c>
      <c r="H111" s="39"/>
      <c r="I111" s="39"/>
      <c r="J111" s="39"/>
      <c r="K111" s="39"/>
      <c r="L111" s="39"/>
      <c r="M111" s="39"/>
      <c r="N111" s="39" t="s">
        <v>2</v>
      </c>
      <c r="O111" s="39" t="s">
        <v>2</v>
      </c>
      <c r="P111" s="39"/>
      <c r="Q111" s="39"/>
      <c r="R111" s="39"/>
      <c r="S111" s="39"/>
      <c r="T111" s="39"/>
      <c r="U111" s="39"/>
      <c r="V111" s="39" t="s">
        <v>2</v>
      </c>
      <c r="W111" s="39" t="s">
        <v>2</v>
      </c>
      <c r="X111" s="39"/>
      <c r="Y111" s="39"/>
      <c r="Z111" s="39"/>
      <c r="AA111" s="39"/>
      <c r="AB111" s="39"/>
      <c r="AC111" s="37"/>
      <c r="AD111" s="39" t="s">
        <v>2</v>
      </c>
      <c r="AE111" s="39" t="s">
        <v>2</v>
      </c>
      <c r="AF111" s="37"/>
      <c r="AH111" s="20">
        <f t="shared" si="13"/>
        <v>0</v>
      </c>
      <c r="AI111" s="20">
        <f t="shared" si="14"/>
        <v>0</v>
      </c>
    </row>
    <row r="112" spans="1:35" ht="20.100000000000001" hidden="1" customHeight="1">
      <c r="A112" s="24" t="str">
        <f>ÖSSZES!$A$15</f>
        <v>Név13</v>
      </c>
      <c r="B112" s="39"/>
      <c r="C112" s="39"/>
      <c r="D112" s="39"/>
      <c r="E112" s="39"/>
      <c r="F112" s="39" t="s">
        <v>2</v>
      </c>
      <c r="G112" s="39" t="s">
        <v>2</v>
      </c>
      <c r="H112" s="39"/>
      <c r="I112" s="39"/>
      <c r="J112" s="39"/>
      <c r="K112" s="39"/>
      <c r="L112" s="39"/>
      <c r="M112" s="39"/>
      <c r="N112" s="39" t="s">
        <v>2</v>
      </c>
      <c r="O112" s="39" t="s">
        <v>2</v>
      </c>
      <c r="P112" s="39"/>
      <c r="Q112" s="39"/>
      <c r="R112" s="39"/>
      <c r="S112" s="39"/>
      <c r="T112" s="39"/>
      <c r="U112" s="39"/>
      <c r="V112" s="39" t="s">
        <v>2</v>
      </c>
      <c r="W112" s="39" t="s">
        <v>2</v>
      </c>
      <c r="X112" s="39"/>
      <c r="Y112" s="39"/>
      <c r="Z112" s="39"/>
      <c r="AA112" s="39"/>
      <c r="AB112" s="39"/>
      <c r="AC112" s="37"/>
      <c r="AD112" s="39" t="s">
        <v>2</v>
      </c>
      <c r="AE112" s="39" t="s">
        <v>2</v>
      </c>
      <c r="AF112" s="37"/>
      <c r="AH112" s="20">
        <f t="shared" si="13"/>
        <v>0</v>
      </c>
      <c r="AI112" s="20">
        <f t="shared" si="14"/>
        <v>0</v>
      </c>
    </row>
    <row r="113" spans="1:35" ht="20.100000000000001" hidden="1" customHeight="1">
      <c r="A113" s="24" t="str">
        <f>ÖSSZES!$A$16</f>
        <v>Név14</v>
      </c>
      <c r="B113" s="39"/>
      <c r="C113" s="39"/>
      <c r="D113" s="39"/>
      <c r="E113" s="39"/>
      <c r="F113" s="39" t="s">
        <v>2</v>
      </c>
      <c r="G113" s="39" t="s">
        <v>2</v>
      </c>
      <c r="H113" s="39"/>
      <c r="I113" s="39"/>
      <c r="J113" s="39"/>
      <c r="K113" s="39"/>
      <c r="L113" s="39"/>
      <c r="M113" s="39"/>
      <c r="N113" s="39" t="s">
        <v>2</v>
      </c>
      <c r="O113" s="39" t="s">
        <v>2</v>
      </c>
      <c r="P113" s="39"/>
      <c r="Q113" s="39"/>
      <c r="R113" s="39"/>
      <c r="S113" s="39"/>
      <c r="T113" s="39"/>
      <c r="U113" s="39"/>
      <c r="V113" s="39" t="s">
        <v>2</v>
      </c>
      <c r="W113" s="39" t="s">
        <v>2</v>
      </c>
      <c r="X113" s="39"/>
      <c r="Y113" s="39"/>
      <c r="Z113" s="39"/>
      <c r="AA113" s="39"/>
      <c r="AB113" s="39"/>
      <c r="AC113" s="37"/>
      <c r="AD113" s="39" t="s">
        <v>2</v>
      </c>
      <c r="AE113" s="39" t="s">
        <v>2</v>
      </c>
      <c r="AF113" s="37"/>
      <c r="AH113" s="20">
        <f t="shared" si="13"/>
        <v>0</v>
      </c>
      <c r="AI113" s="20">
        <f t="shared" si="14"/>
        <v>0</v>
      </c>
    </row>
    <row r="114" spans="1:35" ht="20.100000000000001" hidden="1" customHeight="1">
      <c r="A114" s="24" t="str">
        <f>ÖSSZES!$A$17</f>
        <v>Név15</v>
      </c>
      <c r="B114" s="39"/>
      <c r="C114" s="39"/>
      <c r="D114" s="39"/>
      <c r="E114" s="39"/>
      <c r="F114" s="39" t="s">
        <v>2</v>
      </c>
      <c r="G114" s="39" t="s">
        <v>2</v>
      </c>
      <c r="H114" s="39"/>
      <c r="I114" s="39"/>
      <c r="J114" s="39"/>
      <c r="K114" s="39"/>
      <c r="L114" s="39"/>
      <c r="M114" s="39"/>
      <c r="N114" s="39" t="s">
        <v>2</v>
      </c>
      <c r="O114" s="39" t="s">
        <v>2</v>
      </c>
      <c r="P114" s="39"/>
      <c r="Q114" s="39"/>
      <c r="R114" s="39"/>
      <c r="S114" s="39"/>
      <c r="T114" s="39"/>
      <c r="U114" s="39"/>
      <c r="V114" s="39" t="s">
        <v>2</v>
      </c>
      <c r="W114" s="39" t="s">
        <v>2</v>
      </c>
      <c r="X114" s="39"/>
      <c r="Y114" s="39"/>
      <c r="Z114" s="39"/>
      <c r="AA114" s="39"/>
      <c r="AB114" s="39"/>
      <c r="AC114" s="37"/>
      <c r="AD114" s="39" t="s">
        <v>2</v>
      </c>
      <c r="AE114" s="39" t="s">
        <v>2</v>
      </c>
      <c r="AF114" s="37"/>
      <c r="AH114" s="20">
        <f t="shared" si="13"/>
        <v>0</v>
      </c>
      <c r="AI114" s="20">
        <f t="shared" si="14"/>
        <v>0</v>
      </c>
    </row>
    <row r="115" spans="1:35" ht="20.100000000000001" hidden="1" customHeight="1">
      <c r="A115" s="24" t="str">
        <f>ÖSSZES!$A$18</f>
        <v>Név16</v>
      </c>
      <c r="B115" s="39"/>
      <c r="C115" s="39"/>
      <c r="D115" s="39"/>
      <c r="E115" s="39"/>
      <c r="F115" s="39" t="s">
        <v>2</v>
      </c>
      <c r="G115" s="39" t="s">
        <v>2</v>
      </c>
      <c r="H115" s="39"/>
      <c r="I115" s="39"/>
      <c r="J115" s="39"/>
      <c r="K115" s="39"/>
      <c r="L115" s="39"/>
      <c r="M115" s="39"/>
      <c r="N115" s="39" t="s">
        <v>2</v>
      </c>
      <c r="O115" s="39" t="s">
        <v>2</v>
      </c>
      <c r="P115" s="39"/>
      <c r="Q115" s="39"/>
      <c r="R115" s="39"/>
      <c r="S115" s="39"/>
      <c r="T115" s="39"/>
      <c r="U115" s="39"/>
      <c r="V115" s="39" t="s">
        <v>2</v>
      </c>
      <c r="W115" s="39" t="s">
        <v>2</v>
      </c>
      <c r="X115" s="39"/>
      <c r="Y115" s="39"/>
      <c r="Z115" s="39"/>
      <c r="AA115" s="39"/>
      <c r="AB115" s="39"/>
      <c r="AC115" s="37"/>
      <c r="AD115" s="39" t="s">
        <v>2</v>
      </c>
      <c r="AE115" s="39" t="s">
        <v>2</v>
      </c>
      <c r="AF115" s="37"/>
      <c r="AH115" s="20">
        <f t="shared" si="13"/>
        <v>0</v>
      </c>
      <c r="AI115" s="20">
        <f t="shared" si="14"/>
        <v>0</v>
      </c>
    </row>
    <row r="116" spans="1:35" ht="20.100000000000001" hidden="1" customHeight="1">
      <c r="A116" s="24" t="str">
        <f>ÖSSZES!$A$19</f>
        <v>Név17</v>
      </c>
      <c r="B116" s="39"/>
      <c r="C116" s="39"/>
      <c r="D116" s="39"/>
      <c r="E116" s="39"/>
      <c r="F116" s="39" t="s">
        <v>2</v>
      </c>
      <c r="G116" s="39" t="s">
        <v>2</v>
      </c>
      <c r="H116" s="39"/>
      <c r="I116" s="39"/>
      <c r="J116" s="39"/>
      <c r="K116" s="39"/>
      <c r="L116" s="39"/>
      <c r="M116" s="39"/>
      <c r="N116" s="39" t="s">
        <v>2</v>
      </c>
      <c r="O116" s="39" t="s">
        <v>2</v>
      </c>
      <c r="P116" s="39"/>
      <c r="Q116" s="39"/>
      <c r="R116" s="39"/>
      <c r="S116" s="39"/>
      <c r="T116" s="39"/>
      <c r="U116" s="39"/>
      <c r="V116" s="39" t="s">
        <v>2</v>
      </c>
      <c r="W116" s="39" t="s">
        <v>2</v>
      </c>
      <c r="X116" s="39"/>
      <c r="Y116" s="39"/>
      <c r="Z116" s="39"/>
      <c r="AA116" s="39"/>
      <c r="AB116" s="39"/>
      <c r="AC116" s="37"/>
      <c r="AD116" s="39" t="s">
        <v>2</v>
      </c>
      <c r="AE116" s="39" t="s">
        <v>2</v>
      </c>
      <c r="AF116" s="37"/>
      <c r="AH116" s="20">
        <f t="shared" si="13"/>
        <v>0</v>
      </c>
      <c r="AI116" s="20">
        <f t="shared" si="14"/>
        <v>0</v>
      </c>
    </row>
    <row r="117" spans="1:35" ht="20.100000000000001" hidden="1" customHeight="1">
      <c r="A117" s="24" t="str">
        <f>ÖSSZES!$A$20</f>
        <v>Név18</v>
      </c>
      <c r="B117" s="39"/>
      <c r="C117" s="39"/>
      <c r="D117" s="39"/>
      <c r="E117" s="39"/>
      <c r="F117" s="39" t="s">
        <v>2</v>
      </c>
      <c r="G117" s="39" t="s">
        <v>2</v>
      </c>
      <c r="H117" s="39"/>
      <c r="I117" s="39"/>
      <c r="J117" s="39"/>
      <c r="K117" s="39"/>
      <c r="L117" s="39"/>
      <c r="M117" s="39"/>
      <c r="N117" s="39" t="s">
        <v>2</v>
      </c>
      <c r="O117" s="39" t="s">
        <v>2</v>
      </c>
      <c r="P117" s="39"/>
      <c r="Q117" s="39"/>
      <c r="R117" s="39"/>
      <c r="S117" s="39"/>
      <c r="T117" s="39"/>
      <c r="U117" s="39"/>
      <c r="V117" s="39" t="s">
        <v>2</v>
      </c>
      <c r="W117" s="39" t="s">
        <v>2</v>
      </c>
      <c r="X117" s="39"/>
      <c r="Y117" s="39"/>
      <c r="Z117" s="39"/>
      <c r="AA117" s="39"/>
      <c r="AB117" s="39"/>
      <c r="AC117" s="37"/>
      <c r="AD117" s="39" t="s">
        <v>2</v>
      </c>
      <c r="AE117" s="39" t="s">
        <v>2</v>
      </c>
      <c r="AF117" s="37"/>
      <c r="AH117" s="20">
        <f t="shared" si="13"/>
        <v>0</v>
      </c>
      <c r="AI117" s="20">
        <f t="shared" si="14"/>
        <v>0</v>
      </c>
    </row>
    <row r="118" spans="1:35" ht="20.100000000000001" hidden="1" customHeight="1">
      <c r="A118" s="24" t="str">
        <f>ÖSSZES!$A$21</f>
        <v>Név19</v>
      </c>
      <c r="B118" s="39"/>
      <c r="C118" s="39"/>
      <c r="D118" s="39"/>
      <c r="E118" s="39"/>
      <c r="F118" s="39" t="s">
        <v>2</v>
      </c>
      <c r="G118" s="39" t="s">
        <v>2</v>
      </c>
      <c r="H118" s="39"/>
      <c r="I118" s="39"/>
      <c r="J118" s="39"/>
      <c r="K118" s="39"/>
      <c r="L118" s="39"/>
      <c r="M118" s="39"/>
      <c r="N118" s="39" t="s">
        <v>2</v>
      </c>
      <c r="O118" s="39" t="s">
        <v>2</v>
      </c>
      <c r="P118" s="39"/>
      <c r="Q118" s="39"/>
      <c r="R118" s="39"/>
      <c r="S118" s="39"/>
      <c r="T118" s="39"/>
      <c r="U118" s="39"/>
      <c r="V118" s="39" t="s">
        <v>2</v>
      </c>
      <c r="W118" s="39" t="s">
        <v>2</v>
      </c>
      <c r="X118" s="39"/>
      <c r="Y118" s="39"/>
      <c r="Z118" s="39"/>
      <c r="AA118" s="39"/>
      <c r="AB118" s="39"/>
      <c r="AC118" s="37"/>
      <c r="AD118" s="39" t="s">
        <v>2</v>
      </c>
      <c r="AE118" s="39" t="s">
        <v>2</v>
      </c>
      <c r="AF118" s="37"/>
      <c r="AH118" s="20">
        <f t="shared" si="13"/>
        <v>0</v>
      </c>
      <c r="AI118" s="20">
        <f t="shared" si="14"/>
        <v>0</v>
      </c>
    </row>
    <row r="119" spans="1:35" ht="20.100000000000001" hidden="1" customHeight="1">
      <c r="A119" s="24" t="str">
        <f>ÖSSZES!$A$17</f>
        <v>Név15</v>
      </c>
      <c r="B119" s="39"/>
      <c r="C119" s="39"/>
      <c r="D119" s="39"/>
      <c r="E119" s="39"/>
      <c r="F119" s="39" t="s">
        <v>2</v>
      </c>
      <c r="G119" s="39" t="s">
        <v>2</v>
      </c>
      <c r="H119" s="39"/>
      <c r="I119" s="39"/>
      <c r="J119" s="39"/>
      <c r="K119" s="39"/>
      <c r="L119" s="39"/>
      <c r="M119" s="39"/>
      <c r="N119" s="39" t="s">
        <v>2</v>
      </c>
      <c r="O119" s="39" t="s">
        <v>2</v>
      </c>
      <c r="P119" s="39"/>
      <c r="Q119" s="39"/>
      <c r="R119" s="39"/>
      <c r="S119" s="39"/>
      <c r="T119" s="39"/>
      <c r="U119" s="39"/>
      <c r="V119" s="39" t="s">
        <v>2</v>
      </c>
      <c r="W119" s="39" t="s">
        <v>2</v>
      </c>
      <c r="X119" s="39"/>
      <c r="Y119" s="39"/>
      <c r="Z119" s="39"/>
      <c r="AA119" s="39"/>
      <c r="AB119" s="39"/>
      <c r="AC119" s="37"/>
      <c r="AD119" s="39" t="s">
        <v>2</v>
      </c>
      <c r="AE119" s="39" t="s">
        <v>2</v>
      </c>
      <c r="AF119" s="37"/>
      <c r="AH119" s="20">
        <f t="shared" si="13"/>
        <v>0</v>
      </c>
      <c r="AI119" s="20">
        <f t="shared" si="14"/>
        <v>0</v>
      </c>
    </row>
    <row r="120" spans="1:35" ht="20.100000000000001" customHeight="1"/>
    <row r="121" spans="1:35" s="31" customFormat="1" ht="20.100000000000001" customHeight="1">
      <c r="A121" s="54" t="s">
        <v>10</v>
      </c>
      <c r="B121" s="30">
        <v>1</v>
      </c>
      <c r="C121" s="30">
        <v>2</v>
      </c>
      <c r="D121" s="30">
        <v>3</v>
      </c>
      <c r="E121" s="30">
        <v>4</v>
      </c>
      <c r="F121" s="30">
        <v>5</v>
      </c>
      <c r="G121" s="30">
        <v>6</v>
      </c>
      <c r="H121" s="30">
        <v>7</v>
      </c>
      <c r="I121" s="30">
        <v>8</v>
      </c>
      <c r="J121" s="30">
        <v>9</v>
      </c>
      <c r="K121" s="30">
        <v>10</v>
      </c>
      <c r="L121" s="30">
        <v>11</v>
      </c>
      <c r="M121" s="30">
        <v>12</v>
      </c>
      <c r="N121" s="30">
        <v>13</v>
      </c>
      <c r="O121" s="30">
        <v>14</v>
      </c>
      <c r="P121" s="30">
        <v>15</v>
      </c>
      <c r="Q121" s="30">
        <v>16</v>
      </c>
      <c r="R121" s="30">
        <v>17</v>
      </c>
      <c r="S121" s="30">
        <v>18</v>
      </c>
      <c r="T121" s="30">
        <v>19</v>
      </c>
      <c r="U121" s="30">
        <v>20</v>
      </c>
      <c r="V121" s="30">
        <v>21</v>
      </c>
      <c r="W121" s="30">
        <v>22</v>
      </c>
      <c r="X121" s="30">
        <v>23</v>
      </c>
      <c r="Y121" s="30">
        <v>24</v>
      </c>
      <c r="Z121" s="30">
        <v>25</v>
      </c>
      <c r="AA121" s="30">
        <v>26</v>
      </c>
      <c r="AB121" s="30">
        <v>27</v>
      </c>
      <c r="AC121" s="30">
        <v>28</v>
      </c>
      <c r="AD121" s="30">
        <v>29</v>
      </c>
      <c r="AE121" s="30">
        <v>30</v>
      </c>
      <c r="AH121" s="54" t="s">
        <v>18</v>
      </c>
      <c r="AI121" s="54" t="s">
        <v>19</v>
      </c>
    </row>
    <row r="122" spans="1:35" ht="20.100000000000001" customHeight="1">
      <c r="A122" s="56"/>
      <c r="B122" s="32" t="str">
        <f>'2021'!B44</f>
        <v>K</v>
      </c>
      <c r="C122" s="32" t="str">
        <f>'2021'!C44</f>
        <v>Sze</v>
      </c>
      <c r="D122" s="32" t="str">
        <f>'2021'!D44</f>
        <v>Cs</v>
      </c>
      <c r="E122" s="32" t="str">
        <f>'2021'!E44</f>
        <v>P</v>
      </c>
      <c r="F122" s="32" t="str">
        <f>'2021'!F44</f>
        <v>Szo</v>
      </c>
      <c r="G122" s="32" t="str">
        <f>'2021'!G44</f>
        <v>V</v>
      </c>
      <c r="H122" s="32" t="str">
        <f>'2021'!H44</f>
        <v>H</v>
      </c>
      <c r="I122" s="32" t="str">
        <f>'2021'!I44</f>
        <v>K</v>
      </c>
      <c r="J122" s="32" t="str">
        <f>'2021'!J44</f>
        <v>Sze</v>
      </c>
      <c r="K122" s="32" t="str">
        <f>'2021'!K44</f>
        <v>Cs</v>
      </c>
      <c r="L122" s="32" t="str">
        <f>'2021'!L44</f>
        <v>P</v>
      </c>
      <c r="M122" s="32" t="str">
        <f>'2021'!M44</f>
        <v>Szo</v>
      </c>
      <c r="N122" s="32" t="str">
        <f>'2021'!N44</f>
        <v>V</v>
      </c>
      <c r="O122" s="32" t="str">
        <f>'2021'!O44</f>
        <v>H</v>
      </c>
      <c r="P122" s="32" t="str">
        <f>'2021'!P44</f>
        <v>K</v>
      </c>
      <c r="Q122" s="32" t="str">
        <f>'2021'!Q44</f>
        <v>Sze</v>
      </c>
      <c r="R122" s="32" t="str">
        <f>'2021'!R44</f>
        <v>Cs</v>
      </c>
      <c r="S122" s="32" t="str">
        <f>'2021'!S44</f>
        <v>P</v>
      </c>
      <c r="T122" s="32" t="str">
        <f>'2021'!T44</f>
        <v>Szo</v>
      </c>
      <c r="U122" s="32" t="str">
        <f>'2021'!U44</f>
        <v>V</v>
      </c>
      <c r="V122" s="32" t="str">
        <f>'2021'!V44</f>
        <v>H</v>
      </c>
      <c r="W122" s="32" t="str">
        <f>'2021'!W44</f>
        <v>K</v>
      </c>
      <c r="X122" s="32" t="str">
        <f>'2021'!X44</f>
        <v>Sze</v>
      </c>
      <c r="Y122" s="32" t="str">
        <f>'2021'!Y44</f>
        <v>Cs</v>
      </c>
      <c r="Z122" s="32" t="str">
        <f>'2021'!Z44</f>
        <v>P</v>
      </c>
      <c r="AA122" s="32" t="str">
        <f>'2021'!AA44</f>
        <v>Szo</v>
      </c>
      <c r="AB122" s="32" t="str">
        <f>'2021'!AB44</f>
        <v>V</v>
      </c>
      <c r="AC122" s="32" t="str">
        <f>'2021'!AC44</f>
        <v>H</v>
      </c>
      <c r="AD122" s="32" t="str">
        <f>'2021'!AD44</f>
        <v>K</v>
      </c>
      <c r="AE122" s="32" t="str">
        <f>'2021'!AE44</f>
        <v>Sze</v>
      </c>
      <c r="AF122" s="27"/>
      <c r="AH122" s="55"/>
      <c r="AI122" s="55"/>
    </row>
    <row r="123" spans="1:35" ht="20.100000000000001" customHeight="1">
      <c r="A123" s="55"/>
      <c r="B123" s="32">
        <f>'2021'!B45</f>
        <v>1</v>
      </c>
      <c r="C123" s="32">
        <f>'2021'!C45</f>
        <v>1</v>
      </c>
      <c r="D123" s="32">
        <f>'2021'!D45</f>
        <v>1</v>
      </c>
      <c r="E123" s="32">
        <f>'2021'!E45</f>
        <v>1</v>
      </c>
      <c r="F123" s="32">
        <f>'2021'!F45</f>
        <v>1</v>
      </c>
      <c r="G123" s="32" t="str">
        <f>'2021'!G45</f>
        <v>X</v>
      </c>
      <c r="H123" s="32" t="str">
        <f>'2021'!H45</f>
        <v>X</v>
      </c>
      <c r="I123" s="32">
        <f>'2021'!I45</f>
        <v>3</v>
      </c>
      <c r="J123" s="32">
        <f>'2021'!J45</f>
        <v>3</v>
      </c>
      <c r="K123" s="32">
        <f>'2021'!K45</f>
        <v>3</v>
      </c>
      <c r="L123" s="32">
        <f>'2021'!L45</f>
        <v>3</v>
      </c>
      <c r="M123" s="32">
        <f>'2021'!M45</f>
        <v>3</v>
      </c>
      <c r="N123" s="32">
        <f>'2021'!N45</f>
        <v>3</v>
      </c>
      <c r="O123" s="32" t="str">
        <f>'2021'!O45</f>
        <v>X</v>
      </c>
      <c r="P123" s="32" t="str">
        <f>'2021'!P45</f>
        <v>X</v>
      </c>
      <c r="Q123" s="32">
        <f>'2021'!Q45</f>
        <v>2</v>
      </c>
      <c r="R123" s="32">
        <f>'2021'!R45</f>
        <v>2</v>
      </c>
      <c r="S123" s="32">
        <f>'2021'!S45</f>
        <v>2</v>
      </c>
      <c r="T123" s="32">
        <f>'2021'!T45</f>
        <v>2</v>
      </c>
      <c r="U123" s="32">
        <f>'2021'!U45</f>
        <v>2</v>
      </c>
      <c r="V123" s="32">
        <f>'2021'!V45</f>
        <v>2</v>
      </c>
      <c r="W123" s="32" t="str">
        <f>'2021'!W45</f>
        <v>X</v>
      </c>
      <c r="X123" s="32" t="str">
        <f>'2021'!X45</f>
        <v>X</v>
      </c>
      <c r="Y123" s="32">
        <f>'2021'!Y45</f>
        <v>1</v>
      </c>
      <c r="Z123" s="32">
        <f>'2021'!Z45</f>
        <v>1</v>
      </c>
      <c r="AA123" s="32">
        <f>'2021'!AA45</f>
        <v>1</v>
      </c>
      <c r="AB123" s="32">
        <f>'2021'!AB45</f>
        <v>1</v>
      </c>
      <c r="AC123" s="32">
        <f>'2021'!AC45</f>
        <v>1</v>
      </c>
      <c r="AD123" s="32">
        <f>'2021'!AD45</f>
        <v>1</v>
      </c>
      <c r="AE123" s="32" t="str">
        <f>'2021'!AE45</f>
        <v>X</v>
      </c>
      <c r="AF123" s="27"/>
      <c r="AH123" s="55"/>
      <c r="AI123" s="55"/>
    </row>
    <row r="124" spans="1:35" ht="20.100000000000001" customHeight="1">
      <c r="A124" s="24" t="str">
        <f>ÖSSZES!$A$3</f>
        <v>Csuka Lajos</v>
      </c>
      <c r="B124" s="39"/>
      <c r="C124" s="39"/>
      <c r="D124" s="39"/>
      <c r="E124" s="39"/>
      <c r="F124" s="39"/>
      <c r="G124" s="39" t="s">
        <v>2</v>
      </c>
      <c r="H124" s="39" t="s">
        <v>2</v>
      </c>
      <c r="I124" s="39"/>
      <c r="J124" s="39"/>
      <c r="K124" s="39"/>
      <c r="L124" s="39"/>
      <c r="M124" s="39"/>
      <c r="N124" s="39"/>
      <c r="O124" s="39" t="s">
        <v>2</v>
      </c>
      <c r="P124" s="39" t="s">
        <v>2</v>
      </c>
      <c r="Q124" s="39"/>
      <c r="R124" s="39"/>
      <c r="S124" s="39"/>
      <c r="T124" s="39"/>
      <c r="U124" s="39"/>
      <c r="V124" s="39"/>
      <c r="W124" s="39" t="s">
        <v>2</v>
      </c>
      <c r="X124" s="39" t="s">
        <v>2</v>
      </c>
      <c r="Y124" s="39"/>
      <c r="Z124" s="39"/>
      <c r="AA124" s="39"/>
      <c r="AB124" s="39"/>
      <c r="AC124" s="39"/>
      <c r="AD124" s="39"/>
      <c r="AE124" s="39" t="s">
        <v>2</v>
      </c>
      <c r="AF124" s="27"/>
      <c r="AH124" s="20">
        <f>1*COUNTIF(A124:AF124,"+")</f>
        <v>0</v>
      </c>
      <c r="AI124" s="20">
        <f t="shared" ref="AI124" si="15">1*COUNTIF(B124:AF124,"szf")</f>
        <v>0</v>
      </c>
    </row>
    <row r="125" spans="1:35" ht="20.100000000000001" customHeight="1">
      <c r="A125" s="24" t="str">
        <f>ÖSSZES!$A$4</f>
        <v>Batiz Attila</v>
      </c>
      <c r="B125" s="39"/>
      <c r="C125" s="39"/>
      <c r="D125" s="39"/>
      <c r="E125" s="39"/>
      <c r="F125" s="39"/>
      <c r="G125" s="39" t="s">
        <v>2</v>
      </c>
      <c r="H125" s="39" t="s">
        <v>2</v>
      </c>
      <c r="I125" s="39"/>
      <c r="J125" s="39"/>
      <c r="K125" s="39"/>
      <c r="L125" s="39"/>
      <c r="M125" s="39"/>
      <c r="N125" s="39"/>
      <c r="O125" s="39" t="s">
        <v>2</v>
      </c>
      <c r="P125" s="39" t="s">
        <v>2</v>
      </c>
      <c r="Q125" s="39"/>
      <c r="R125" s="39"/>
      <c r="S125" s="39"/>
      <c r="T125" s="39"/>
      <c r="U125" s="39"/>
      <c r="V125" s="39"/>
      <c r="W125" s="39" t="s">
        <v>2</v>
      </c>
      <c r="X125" s="39" t="s">
        <v>2</v>
      </c>
      <c r="Y125" s="39"/>
      <c r="Z125" s="39"/>
      <c r="AA125" s="39"/>
      <c r="AB125" s="39"/>
      <c r="AC125" s="39"/>
      <c r="AD125" s="39"/>
      <c r="AE125" s="39" t="s">
        <v>2</v>
      </c>
      <c r="AF125" s="27"/>
      <c r="AH125" s="20">
        <f t="shared" ref="AH125:AH143" si="16">1*COUNTIF(A125:AF125,"+")</f>
        <v>0</v>
      </c>
      <c r="AI125" s="20">
        <f t="shared" ref="AI125:AI143" si="17">1*COUNTIF(B125:AF125,"szf")</f>
        <v>0</v>
      </c>
    </row>
    <row r="126" spans="1:35" ht="20.100000000000001" customHeight="1">
      <c r="A126" s="24" t="str">
        <f>ÖSSZES!$A$5</f>
        <v>Füredi Antal</v>
      </c>
      <c r="B126" s="39"/>
      <c r="C126" s="39"/>
      <c r="D126" s="39"/>
      <c r="E126" s="39"/>
      <c r="F126" s="39"/>
      <c r="G126" s="39" t="s">
        <v>2</v>
      </c>
      <c r="H126" s="39" t="s">
        <v>2</v>
      </c>
      <c r="I126" s="39"/>
      <c r="J126" s="39"/>
      <c r="K126" s="39"/>
      <c r="L126" s="39"/>
      <c r="M126" s="39"/>
      <c r="N126" s="39"/>
      <c r="O126" s="39" t="s">
        <v>2</v>
      </c>
      <c r="P126" s="39" t="s">
        <v>2</v>
      </c>
      <c r="Q126" s="39"/>
      <c r="R126" s="39"/>
      <c r="S126" s="39"/>
      <c r="T126" s="39"/>
      <c r="U126" s="39"/>
      <c r="V126" s="39"/>
      <c r="W126" s="39" t="s">
        <v>2</v>
      </c>
      <c r="X126" s="39" t="s">
        <v>2</v>
      </c>
      <c r="Y126" s="39"/>
      <c r="Z126" s="39"/>
      <c r="AA126" s="39"/>
      <c r="AB126" s="39"/>
      <c r="AC126" s="39"/>
      <c r="AD126" s="39"/>
      <c r="AE126" s="39" t="s">
        <v>2</v>
      </c>
      <c r="AF126" s="27"/>
      <c r="AH126" s="20">
        <f t="shared" si="16"/>
        <v>0</v>
      </c>
      <c r="AI126" s="20">
        <f t="shared" si="17"/>
        <v>0</v>
      </c>
    </row>
    <row r="127" spans="1:35" ht="20.100000000000001" customHeight="1">
      <c r="A127" s="24" t="str">
        <f>ÖSSZES!$A$6</f>
        <v>Iványi István</v>
      </c>
      <c r="B127" s="39"/>
      <c r="C127" s="39"/>
      <c r="D127" s="39"/>
      <c r="E127" s="39"/>
      <c r="F127" s="39"/>
      <c r="G127" s="39" t="s">
        <v>2</v>
      </c>
      <c r="H127" s="39" t="s">
        <v>2</v>
      </c>
      <c r="I127" s="39"/>
      <c r="J127" s="39"/>
      <c r="K127" s="39"/>
      <c r="L127" s="39"/>
      <c r="M127" s="39"/>
      <c r="N127" s="39"/>
      <c r="O127" s="39" t="s">
        <v>2</v>
      </c>
      <c r="P127" s="39" t="s">
        <v>2</v>
      </c>
      <c r="Q127" s="39"/>
      <c r="R127" s="39"/>
      <c r="S127" s="39"/>
      <c r="T127" s="39"/>
      <c r="U127" s="39"/>
      <c r="V127" s="39"/>
      <c r="W127" s="39" t="s">
        <v>2</v>
      </c>
      <c r="X127" s="39" t="s">
        <v>2</v>
      </c>
      <c r="Y127" s="39"/>
      <c r="Z127" s="39"/>
      <c r="AA127" s="39"/>
      <c r="AB127" s="39"/>
      <c r="AC127" s="39"/>
      <c r="AD127" s="39"/>
      <c r="AE127" s="39" t="s">
        <v>2</v>
      </c>
      <c r="AF127" s="27"/>
      <c r="AH127" s="20">
        <f t="shared" si="16"/>
        <v>0</v>
      </c>
      <c r="AI127" s="20">
        <f t="shared" si="17"/>
        <v>0</v>
      </c>
    </row>
    <row r="128" spans="1:35" ht="20.100000000000001" customHeight="1">
      <c r="A128" s="24" t="str">
        <f>ÖSSZES!$A$7</f>
        <v>Katonka Tibor</v>
      </c>
      <c r="B128" s="39"/>
      <c r="C128" s="39"/>
      <c r="D128" s="39"/>
      <c r="E128" s="39"/>
      <c r="F128" s="39"/>
      <c r="G128" s="39" t="s">
        <v>2</v>
      </c>
      <c r="H128" s="39" t="s">
        <v>2</v>
      </c>
      <c r="I128" s="39"/>
      <c r="J128" s="39"/>
      <c r="K128" s="39"/>
      <c r="L128" s="39"/>
      <c r="M128" s="39"/>
      <c r="N128" s="39"/>
      <c r="O128" s="39" t="s">
        <v>2</v>
      </c>
      <c r="P128" s="39" t="s">
        <v>2</v>
      </c>
      <c r="Q128" s="39"/>
      <c r="R128" s="39"/>
      <c r="S128" s="39"/>
      <c r="T128" s="39"/>
      <c r="U128" s="39"/>
      <c r="V128" s="39"/>
      <c r="W128" s="39" t="s">
        <v>2</v>
      </c>
      <c r="X128" s="39" t="s">
        <v>2</v>
      </c>
      <c r="Y128" s="39"/>
      <c r="Z128" s="39"/>
      <c r="AA128" s="39"/>
      <c r="AB128" s="39"/>
      <c r="AC128" s="39"/>
      <c r="AD128" s="39"/>
      <c r="AE128" s="39" t="s">
        <v>2</v>
      </c>
      <c r="AF128" s="27"/>
      <c r="AH128" s="20">
        <f t="shared" si="16"/>
        <v>0</v>
      </c>
      <c r="AI128" s="20">
        <f t="shared" si="17"/>
        <v>0</v>
      </c>
    </row>
    <row r="129" spans="1:35" ht="20.100000000000001" customHeight="1">
      <c r="A129" s="24" t="str">
        <f>ÖSSZES!$A$8</f>
        <v>Mizsák Péter</v>
      </c>
      <c r="B129" s="39"/>
      <c r="C129" s="39"/>
      <c r="D129" s="39"/>
      <c r="E129" s="39"/>
      <c r="F129" s="39"/>
      <c r="G129" s="39" t="s">
        <v>2</v>
      </c>
      <c r="H129" s="39" t="s">
        <v>2</v>
      </c>
      <c r="I129" s="39"/>
      <c r="J129" s="39"/>
      <c r="K129" s="39"/>
      <c r="L129" s="39"/>
      <c r="M129" s="39"/>
      <c r="N129" s="39"/>
      <c r="O129" s="39" t="s">
        <v>2</v>
      </c>
      <c r="P129" s="39" t="s">
        <v>2</v>
      </c>
      <c r="Q129" s="39"/>
      <c r="R129" s="39"/>
      <c r="S129" s="39"/>
      <c r="T129" s="39"/>
      <c r="U129" s="39"/>
      <c r="V129" s="39"/>
      <c r="W129" s="39" t="s">
        <v>2</v>
      </c>
      <c r="X129" s="39" t="s">
        <v>2</v>
      </c>
      <c r="Y129" s="39"/>
      <c r="Z129" s="39"/>
      <c r="AA129" s="39"/>
      <c r="AB129" s="39"/>
      <c r="AC129" s="39"/>
      <c r="AD129" s="39"/>
      <c r="AE129" s="39" t="s">
        <v>2</v>
      </c>
      <c r="AF129" s="27"/>
      <c r="AH129" s="20">
        <f t="shared" si="16"/>
        <v>0</v>
      </c>
      <c r="AI129" s="20">
        <f t="shared" si="17"/>
        <v>0</v>
      </c>
    </row>
    <row r="130" spans="1:35" ht="20.100000000000001" customHeight="1">
      <c r="A130" s="24" t="str">
        <f>ÖSSZES!$A$9</f>
        <v>Vatamány Gergő</v>
      </c>
      <c r="B130" s="39"/>
      <c r="C130" s="39"/>
      <c r="D130" s="39"/>
      <c r="E130" s="39"/>
      <c r="F130" s="39"/>
      <c r="G130" s="39" t="s">
        <v>2</v>
      </c>
      <c r="H130" s="39" t="s">
        <v>2</v>
      </c>
      <c r="I130" s="39"/>
      <c r="J130" s="39"/>
      <c r="K130" s="39"/>
      <c r="L130" s="39"/>
      <c r="M130" s="39"/>
      <c r="N130" s="39"/>
      <c r="O130" s="39" t="s">
        <v>2</v>
      </c>
      <c r="P130" s="39" t="s">
        <v>2</v>
      </c>
      <c r="Q130" s="39"/>
      <c r="R130" s="39"/>
      <c r="S130" s="39"/>
      <c r="T130" s="39"/>
      <c r="U130" s="39"/>
      <c r="V130" s="39"/>
      <c r="W130" s="39" t="s">
        <v>2</v>
      </c>
      <c r="X130" s="39" t="s">
        <v>2</v>
      </c>
      <c r="Y130" s="39"/>
      <c r="Z130" s="39"/>
      <c r="AA130" s="39"/>
      <c r="AB130" s="39"/>
      <c r="AC130" s="39"/>
      <c r="AD130" s="39"/>
      <c r="AE130" s="39" t="s">
        <v>2</v>
      </c>
      <c r="AF130" s="27"/>
      <c r="AH130" s="20">
        <f t="shared" si="16"/>
        <v>0</v>
      </c>
      <c r="AI130" s="20">
        <f t="shared" si="17"/>
        <v>0</v>
      </c>
    </row>
    <row r="131" spans="1:35" ht="20.100000000000001" hidden="1" customHeight="1">
      <c r="A131" s="24" t="str">
        <f>ÖSSZES!$A$10</f>
        <v>Név8</v>
      </c>
      <c r="B131" s="39"/>
      <c r="C131" s="39"/>
      <c r="D131" s="39"/>
      <c r="E131" s="39"/>
      <c r="F131" s="39"/>
      <c r="G131" s="39" t="s">
        <v>2</v>
      </c>
      <c r="H131" s="39" t="s">
        <v>2</v>
      </c>
      <c r="I131" s="39"/>
      <c r="J131" s="39"/>
      <c r="K131" s="39"/>
      <c r="L131" s="39"/>
      <c r="M131" s="39"/>
      <c r="N131" s="39"/>
      <c r="O131" s="39" t="s">
        <v>2</v>
      </c>
      <c r="P131" s="39" t="s">
        <v>2</v>
      </c>
      <c r="Q131" s="39"/>
      <c r="R131" s="39"/>
      <c r="S131" s="39"/>
      <c r="T131" s="39"/>
      <c r="U131" s="39"/>
      <c r="V131" s="39"/>
      <c r="W131" s="39" t="s">
        <v>2</v>
      </c>
      <c r="X131" s="39" t="s">
        <v>2</v>
      </c>
      <c r="Y131" s="39"/>
      <c r="Z131" s="39"/>
      <c r="AA131" s="39"/>
      <c r="AB131" s="39"/>
      <c r="AC131" s="39"/>
      <c r="AD131" s="39"/>
      <c r="AE131" s="39" t="s">
        <v>2</v>
      </c>
      <c r="AF131" s="27"/>
      <c r="AH131" s="20">
        <f t="shared" si="16"/>
        <v>0</v>
      </c>
      <c r="AI131" s="20">
        <f t="shared" si="17"/>
        <v>0</v>
      </c>
    </row>
    <row r="132" spans="1:35" ht="20.100000000000001" hidden="1" customHeight="1">
      <c r="A132" s="24" t="str">
        <f>ÖSSZES!$A$11</f>
        <v>Név9</v>
      </c>
      <c r="B132" s="39"/>
      <c r="C132" s="39"/>
      <c r="D132" s="39"/>
      <c r="E132" s="39"/>
      <c r="F132" s="39"/>
      <c r="G132" s="39" t="s">
        <v>2</v>
      </c>
      <c r="H132" s="39" t="s">
        <v>2</v>
      </c>
      <c r="I132" s="39"/>
      <c r="J132" s="39"/>
      <c r="K132" s="39"/>
      <c r="L132" s="39"/>
      <c r="M132" s="39"/>
      <c r="N132" s="39"/>
      <c r="O132" s="39" t="s">
        <v>2</v>
      </c>
      <c r="P132" s="39" t="s">
        <v>2</v>
      </c>
      <c r="Q132" s="39"/>
      <c r="R132" s="39"/>
      <c r="S132" s="39"/>
      <c r="T132" s="39"/>
      <c r="U132" s="39"/>
      <c r="V132" s="39"/>
      <c r="W132" s="39" t="s">
        <v>2</v>
      </c>
      <c r="X132" s="39" t="s">
        <v>2</v>
      </c>
      <c r="Y132" s="39"/>
      <c r="Z132" s="39"/>
      <c r="AA132" s="39"/>
      <c r="AB132" s="39"/>
      <c r="AC132" s="39"/>
      <c r="AD132" s="39"/>
      <c r="AE132" s="39" t="s">
        <v>2</v>
      </c>
      <c r="AF132" s="27"/>
      <c r="AH132" s="20">
        <f t="shared" si="16"/>
        <v>0</v>
      </c>
      <c r="AI132" s="20">
        <f t="shared" si="17"/>
        <v>0</v>
      </c>
    </row>
    <row r="133" spans="1:35" ht="20.100000000000001" hidden="1" customHeight="1">
      <c r="A133" s="24" t="str">
        <f>ÖSSZES!$A$12</f>
        <v>Név10</v>
      </c>
      <c r="B133" s="39"/>
      <c r="C133" s="39"/>
      <c r="D133" s="39"/>
      <c r="E133" s="39"/>
      <c r="F133" s="39"/>
      <c r="G133" s="39" t="s">
        <v>2</v>
      </c>
      <c r="H133" s="39" t="s">
        <v>2</v>
      </c>
      <c r="I133" s="39"/>
      <c r="J133" s="39"/>
      <c r="K133" s="39"/>
      <c r="L133" s="39"/>
      <c r="M133" s="39"/>
      <c r="N133" s="39"/>
      <c r="O133" s="39" t="s">
        <v>2</v>
      </c>
      <c r="P133" s="39" t="s">
        <v>2</v>
      </c>
      <c r="Q133" s="39"/>
      <c r="R133" s="39"/>
      <c r="S133" s="39"/>
      <c r="T133" s="39"/>
      <c r="U133" s="39"/>
      <c r="V133" s="39"/>
      <c r="W133" s="39" t="s">
        <v>2</v>
      </c>
      <c r="X133" s="39" t="s">
        <v>2</v>
      </c>
      <c r="Y133" s="39"/>
      <c r="Z133" s="39"/>
      <c r="AA133" s="39"/>
      <c r="AB133" s="39"/>
      <c r="AC133" s="39"/>
      <c r="AD133" s="39"/>
      <c r="AE133" s="39" t="s">
        <v>2</v>
      </c>
      <c r="AF133" s="27"/>
      <c r="AH133" s="20">
        <f t="shared" si="16"/>
        <v>0</v>
      </c>
      <c r="AI133" s="20">
        <f t="shared" si="17"/>
        <v>0</v>
      </c>
    </row>
    <row r="134" spans="1:35" ht="20.100000000000001" hidden="1" customHeight="1">
      <c r="A134" s="24" t="str">
        <f>ÖSSZES!$A$13</f>
        <v>Név11</v>
      </c>
      <c r="B134" s="39"/>
      <c r="C134" s="39"/>
      <c r="D134" s="39"/>
      <c r="E134" s="39"/>
      <c r="F134" s="39"/>
      <c r="G134" s="39" t="s">
        <v>2</v>
      </c>
      <c r="H134" s="39" t="s">
        <v>2</v>
      </c>
      <c r="I134" s="39"/>
      <c r="J134" s="39"/>
      <c r="K134" s="39"/>
      <c r="L134" s="39"/>
      <c r="M134" s="39"/>
      <c r="N134" s="39"/>
      <c r="O134" s="39" t="s">
        <v>2</v>
      </c>
      <c r="P134" s="39" t="s">
        <v>2</v>
      </c>
      <c r="Q134" s="39"/>
      <c r="R134" s="39"/>
      <c r="S134" s="39"/>
      <c r="T134" s="39"/>
      <c r="U134" s="39"/>
      <c r="V134" s="39"/>
      <c r="W134" s="39" t="s">
        <v>2</v>
      </c>
      <c r="X134" s="39" t="s">
        <v>2</v>
      </c>
      <c r="Y134" s="39"/>
      <c r="Z134" s="39"/>
      <c r="AA134" s="39"/>
      <c r="AB134" s="39"/>
      <c r="AC134" s="39"/>
      <c r="AD134" s="39"/>
      <c r="AE134" s="39" t="s">
        <v>2</v>
      </c>
      <c r="AF134" s="27"/>
      <c r="AH134" s="20">
        <f t="shared" si="16"/>
        <v>0</v>
      </c>
      <c r="AI134" s="20">
        <f t="shared" si="17"/>
        <v>0</v>
      </c>
    </row>
    <row r="135" spans="1:35" ht="20.100000000000001" hidden="1" customHeight="1">
      <c r="A135" s="24" t="str">
        <f>ÖSSZES!$A$14</f>
        <v>Név12</v>
      </c>
      <c r="B135" s="39"/>
      <c r="C135" s="39"/>
      <c r="D135" s="39"/>
      <c r="E135" s="39"/>
      <c r="F135" s="39"/>
      <c r="G135" s="39" t="s">
        <v>2</v>
      </c>
      <c r="H135" s="39" t="s">
        <v>2</v>
      </c>
      <c r="I135" s="39"/>
      <c r="J135" s="39"/>
      <c r="K135" s="39"/>
      <c r="L135" s="39"/>
      <c r="M135" s="39"/>
      <c r="N135" s="39"/>
      <c r="O135" s="39" t="s">
        <v>2</v>
      </c>
      <c r="P135" s="39" t="s">
        <v>2</v>
      </c>
      <c r="Q135" s="39"/>
      <c r="R135" s="39"/>
      <c r="S135" s="39"/>
      <c r="T135" s="39"/>
      <c r="U135" s="39"/>
      <c r="V135" s="39"/>
      <c r="W135" s="39" t="s">
        <v>2</v>
      </c>
      <c r="X135" s="39" t="s">
        <v>2</v>
      </c>
      <c r="Y135" s="39"/>
      <c r="Z135" s="39"/>
      <c r="AA135" s="39"/>
      <c r="AB135" s="39"/>
      <c r="AC135" s="39"/>
      <c r="AD135" s="39"/>
      <c r="AE135" s="39" t="s">
        <v>2</v>
      </c>
      <c r="AF135" s="27"/>
      <c r="AH135" s="20">
        <f t="shared" si="16"/>
        <v>0</v>
      </c>
      <c r="AI135" s="20">
        <f t="shared" si="17"/>
        <v>0</v>
      </c>
    </row>
    <row r="136" spans="1:35" ht="20.100000000000001" hidden="1" customHeight="1">
      <c r="A136" s="24" t="str">
        <f>ÖSSZES!$A$15</f>
        <v>Név13</v>
      </c>
      <c r="B136" s="39"/>
      <c r="C136" s="39"/>
      <c r="D136" s="39"/>
      <c r="E136" s="39"/>
      <c r="F136" s="39"/>
      <c r="G136" s="39" t="s">
        <v>2</v>
      </c>
      <c r="H136" s="39" t="s">
        <v>2</v>
      </c>
      <c r="I136" s="39"/>
      <c r="J136" s="39"/>
      <c r="K136" s="39"/>
      <c r="L136" s="39"/>
      <c r="M136" s="39"/>
      <c r="N136" s="39"/>
      <c r="O136" s="39" t="s">
        <v>2</v>
      </c>
      <c r="P136" s="39" t="s">
        <v>2</v>
      </c>
      <c r="Q136" s="39"/>
      <c r="R136" s="39"/>
      <c r="S136" s="39"/>
      <c r="T136" s="39"/>
      <c r="U136" s="39"/>
      <c r="V136" s="39"/>
      <c r="W136" s="39" t="s">
        <v>2</v>
      </c>
      <c r="X136" s="39" t="s">
        <v>2</v>
      </c>
      <c r="Y136" s="39"/>
      <c r="Z136" s="39"/>
      <c r="AA136" s="39"/>
      <c r="AB136" s="39"/>
      <c r="AC136" s="39"/>
      <c r="AD136" s="39"/>
      <c r="AE136" s="39" t="s">
        <v>2</v>
      </c>
      <c r="AF136" s="27"/>
      <c r="AH136" s="20">
        <f t="shared" si="16"/>
        <v>0</v>
      </c>
      <c r="AI136" s="20">
        <f t="shared" si="17"/>
        <v>0</v>
      </c>
    </row>
    <row r="137" spans="1:35" ht="20.100000000000001" hidden="1" customHeight="1">
      <c r="A137" s="24" t="str">
        <f>ÖSSZES!$A$16</f>
        <v>Név14</v>
      </c>
      <c r="B137" s="39"/>
      <c r="C137" s="39"/>
      <c r="D137" s="39"/>
      <c r="E137" s="39"/>
      <c r="F137" s="39"/>
      <c r="G137" s="39" t="s">
        <v>2</v>
      </c>
      <c r="H137" s="39" t="s">
        <v>2</v>
      </c>
      <c r="I137" s="39"/>
      <c r="J137" s="39"/>
      <c r="K137" s="39"/>
      <c r="L137" s="39"/>
      <c r="M137" s="39"/>
      <c r="N137" s="39"/>
      <c r="O137" s="39" t="s">
        <v>2</v>
      </c>
      <c r="P137" s="39" t="s">
        <v>2</v>
      </c>
      <c r="Q137" s="39"/>
      <c r="R137" s="39"/>
      <c r="S137" s="39"/>
      <c r="T137" s="39"/>
      <c r="U137" s="39"/>
      <c r="V137" s="39"/>
      <c r="W137" s="39" t="s">
        <v>2</v>
      </c>
      <c r="X137" s="39" t="s">
        <v>2</v>
      </c>
      <c r="Y137" s="39"/>
      <c r="Z137" s="39"/>
      <c r="AA137" s="39"/>
      <c r="AB137" s="39"/>
      <c r="AC137" s="39"/>
      <c r="AD137" s="39"/>
      <c r="AE137" s="39" t="s">
        <v>2</v>
      </c>
      <c r="AF137" s="27"/>
      <c r="AH137" s="20">
        <f t="shared" si="16"/>
        <v>0</v>
      </c>
      <c r="AI137" s="20">
        <f t="shared" si="17"/>
        <v>0</v>
      </c>
    </row>
    <row r="138" spans="1:35" ht="20.100000000000001" hidden="1" customHeight="1">
      <c r="A138" s="24" t="str">
        <f>ÖSSZES!$A$17</f>
        <v>Név15</v>
      </c>
      <c r="B138" s="39"/>
      <c r="C138" s="39"/>
      <c r="D138" s="39"/>
      <c r="E138" s="39"/>
      <c r="F138" s="39"/>
      <c r="G138" s="39" t="s">
        <v>2</v>
      </c>
      <c r="H138" s="39" t="s">
        <v>2</v>
      </c>
      <c r="I138" s="39"/>
      <c r="J138" s="39"/>
      <c r="K138" s="39"/>
      <c r="L138" s="39"/>
      <c r="M138" s="39"/>
      <c r="N138" s="39"/>
      <c r="O138" s="39" t="s">
        <v>2</v>
      </c>
      <c r="P138" s="39" t="s">
        <v>2</v>
      </c>
      <c r="Q138" s="39"/>
      <c r="R138" s="39"/>
      <c r="S138" s="39"/>
      <c r="T138" s="39"/>
      <c r="U138" s="39"/>
      <c r="V138" s="39"/>
      <c r="W138" s="39" t="s">
        <v>2</v>
      </c>
      <c r="X138" s="39" t="s">
        <v>2</v>
      </c>
      <c r="Y138" s="39"/>
      <c r="Z138" s="39"/>
      <c r="AA138" s="39"/>
      <c r="AB138" s="39"/>
      <c r="AC138" s="39"/>
      <c r="AD138" s="39"/>
      <c r="AE138" s="39" t="s">
        <v>2</v>
      </c>
      <c r="AF138" s="27"/>
      <c r="AH138" s="20">
        <f t="shared" si="16"/>
        <v>0</v>
      </c>
      <c r="AI138" s="20">
        <f t="shared" si="17"/>
        <v>0</v>
      </c>
    </row>
    <row r="139" spans="1:35" ht="20.100000000000001" hidden="1" customHeight="1">
      <c r="A139" s="24" t="str">
        <f>ÖSSZES!$A$18</f>
        <v>Név16</v>
      </c>
      <c r="B139" s="39"/>
      <c r="C139" s="39"/>
      <c r="D139" s="39"/>
      <c r="E139" s="39"/>
      <c r="F139" s="39"/>
      <c r="G139" s="39" t="s">
        <v>2</v>
      </c>
      <c r="H139" s="39" t="s">
        <v>2</v>
      </c>
      <c r="I139" s="39"/>
      <c r="J139" s="39"/>
      <c r="K139" s="39"/>
      <c r="L139" s="39"/>
      <c r="M139" s="39"/>
      <c r="N139" s="39"/>
      <c r="O139" s="39" t="s">
        <v>2</v>
      </c>
      <c r="P139" s="39" t="s">
        <v>2</v>
      </c>
      <c r="Q139" s="39"/>
      <c r="R139" s="39"/>
      <c r="S139" s="39"/>
      <c r="T139" s="39"/>
      <c r="U139" s="39"/>
      <c r="V139" s="39"/>
      <c r="W139" s="39" t="s">
        <v>2</v>
      </c>
      <c r="X139" s="39" t="s">
        <v>2</v>
      </c>
      <c r="Y139" s="39"/>
      <c r="Z139" s="39"/>
      <c r="AA139" s="39"/>
      <c r="AB139" s="39"/>
      <c r="AC139" s="39"/>
      <c r="AD139" s="39"/>
      <c r="AE139" s="39" t="s">
        <v>2</v>
      </c>
      <c r="AF139" s="27"/>
      <c r="AH139" s="20">
        <f t="shared" si="16"/>
        <v>0</v>
      </c>
      <c r="AI139" s="20">
        <f t="shared" si="17"/>
        <v>0</v>
      </c>
    </row>
    <row r="140" spans="1:35" ht="20.100000000000001" hidden="1" customHeight="1">
      <c r="A140" s="24" t="str">
        <f>ÖSSZES!$A$19</f>
        <v>Név17</v>
      </c>
      <c r="B140" s="39"/>
      <c r="C140" s="39"/>
      <c r="D140" s="39"/>
      <c r="E140" s="39"/>
      <c r="F140" s="39"/>
      <c r="G140" s="39" t="s">
        <v>2</v>
      </c>
      <c r="H140" s="39" t="s">
        <v>2</v>
      </c>
      <c r="I140" s="39"/>
      <c r="J140" s="39"/>
      <c r="K140" s="39"/>
      <c r="L140" s="39"/>
      <c r="M140" s="39"/>
      <c r="N140" s="39"/>
      <c r="O140" s="39" t="s">
        <v>2</v>
      </c>
      <c r="P140" s="39" t="s">
        <v>2</v>
      </c>
      <c r="Q140" s="39"/>
      <c r="R140" s="39"/>
      <c r="S140" s="39"/>
      <c r="T140" s="39"/>
      <c r="U140" s="39"/>
      <c r="V140" s="39"/>
      <c r="W140" s="39" t="s">
        <v>2</v>
      </c>
      <c r="X140" s="39" t="s">
        <v>2</v>
      </c>
      <c r="Y140" s="39"/>
      <c r="Z140" s="39"/>
      <c r="AA140" s="39"/>
      <c r="AB140" s="39"/>
      <c r="AC140" s="39"/>
      <c r="AD140" s="39"/>
      <c r="AE140" s="39" t="s">
        <v>2</v>
      </c>
      <c r="AF140" s="27"/>
      <c r="AH140" s="20">
        <f t="shared" si="16"/>
        <v>0</v>
      </c>
      <c r="AI140" s="20">
        <f t="shared" si="17"/>
        <v>0</v>
      </c>
    </row>
    <row r="141" spans="1:35" ht="20.100000000000001" hidden="1" customHeight="1">
      <c r="A141" s="24" t="str">
        <f>ÖSSZES!$A$20</f>
        <v>Név18</v>
      </c>
      <c r="B141" s="39"/>
      <c r="C141" s="39"/>
      <c r="D141" s="39"/>
      <c r="E141" s="39"/>
      <c r="F141" s="39"/>
      <c r="G141" s="39" t="s">
        <v>2</v>
      </c>
      <c r="H141" s="39" t="s">
        <v>2</v>
      </c>
      <c r="I141" s="39"/>
      <c r="J141" s="39"/>
      <c r="K141" s="39"/>
      <c r="L141" s="39"/>
      <c r="M141" s="39"/>
      <c r="N141" s="39"/>
      <c r="O141" s="39" t="s">
        <v>2</v>
      </c>
      <c r="P141" s="39" t="s">
        <v>2</v>
      </c>
      <c r="Q141" s="39"/>
      <c r="R141" s="39"/>
      <c r="S141" s="39"/>
      <c r="T141" s="39"/>
      <c r="U141" s="39"/>
      <c r="V141" s="39"/>
      <c r="W141" s="39" t="s">
        <v>2</v>
      </c>
      <c r="X141" s="39" t="s">
        <v>2</v>
      </c>
      <c r="Y141" s="39"/>
      <c r="Z141" s="39"/>
      <c r="AA141" s="39"/>
      <c r="AB141" s="39"/>
      <c r="AC141" s="39"/>
      <c r="AD141" s="39"/>
      <c r="AE141" s="39" t="s">
        <v>2</v>
      </c>
      <c r="AF141" s="27"/>
      <c r="AH141" s="20">
        <f t="shared" si="16"/>
        <v>0</v>
      </c>
      <c r="AI141" s="20">
        <f t="shared" si="17"/>
        <v>0</v>
      </c>
    </row>
    <row r="142" spans="1:35" ht="20.100000000000001" hidden="1" customHeight="1">
      <c r="A142" s="24" t="str">
        <f>ÖSSZES!$A$21</f>
        <v>Név19</v>
      </c>
      <c r="B142" s="39"/>
      <c r="C142" s="39"/>
      <c r="D142" s="39"/>
      <c r="E142" s="39"/>
      <c r="F142" s="39"/>
      <c r="G142" s="39" t="s">
        <v>2</v>
      </c>
      <c r="H142" s="39" t="s">
        <v>2</v>
      </c>
      <c r="I142" s="39"/>
      <c r="J142" s="39"/>
      <c r="K142" s="39"/>
      <c r="L142" s="39"/>
      <c r="M142" s="39"/>
      <c r="N142" s="39"/>
      <c r="O142" s="39" t="s">
        <v>2</v>
      </c>
      <c r="P142" s="39" t="s">
        <v>2</v>
      </c>
      <c r="Q142" s="39"/>
      <c r="R142" s="39"/>
      <c r="S142" s="39"/>
      <c r="T142" s="39"/>
      <c r="U142" s="39"/>
      <c r="V142" s="39"/>
      <c r="W142" s="39" t="s">
        <v>2</v>
      </c>
      <c r="X142" s="39" t="s">
        <v>2</v>
      </c>
      <c r="Y142" s="39"/>
      <c r="Z142" s="39"/>
      <c r="AA142" s="39"/>
      <c r="AB142" s="39"/>
      <c r="AC142" s="39"/>
      <c r="AD142" s="39"/>
      <c r="AE142" s="39" t="s">
        <v>2</v>
      </c>
      <c r="AF142" s="27"/>
      <c r="AH142" s="20">
        <f t="shared" si="16"/>
        <v>0</v>
      </c>
      <c r="AI142" s="20">
        <f t="shared" si="17"/>
        <v>0</v>
      </c>
    </row>
    <row r="143" spans="1:35" ht="20.100000000000001" hidden="1" customHeight="1">
      <c r="A143" s="24" t="str">
        <f>ÖSSZES!$A$17</f>
        <v>Név15</v>
      </c>
      <c r="B143" s="39"/>
      <c r="C143" s="39"/>
      <c r="D143" s="39"/>
      <c r="E143" s="39"/>
      <c r="F143" s="39"/>
      <c r="G143" s="39" t="s">
        <v>2</v>
      </c>
      <c r="H143" s="39" t="s">
        <v>2</v>
      </c>
      <c r="I143" s="39"/>
      <c r="J143" s="39"/>
      <c r="K143" s="39"/>
      <c r="L143" s="39"/>
      <c r="M143" s="39"/>
      <c r="N143" s="39"/>
      <c r="O143" s="39" t="s">
        <v>2</v>
      </c>
      <c r="P143" s="39" t="s">
        <v>2</v>
      </c>
      <c r="Q143" s="39"/>
      <c r="R143" s="39"/>
      <c r="S143" s="39"/>
      <c r="T143" s="39"/>
      <c r="U143" s="39"/>
      <c r="V143" s="39"/>
      <c r="W143" s="39" t="s">
        <v>2</v>
      </c>
      <c r="X143" s="39" t="s">
        <v>2</v>
      </c>
      <c r="Y143" s="39"/>
      <c r="Z143" s="39"/>
      <c r="AA143" s="39"/>
      <c r="AB143" s="39"/>
      <c r="AC143" s="39"/>
      <c r="AD143" s="39"/>
      <c r="AE143" s="39" t="s">
        <v>2</v>
      </c>
      <c r="AF143" s="27"/>
      <c r="AH143" s="20">
        <f t="shared" si="16"/>
        <v>0</v>
      </c>
      <c r="AI143" s="20">
        <f t="shared" si="17"/>
        <v>0</v>
      </c>
    </row>
    <row r="144" spans="1:35" ht="20.100000000000001" customHeight="1"/>
    <row r="145" spans="1:35" s="31" customFormat="1" ht="20.100000000000001" customHeight="1">
      <c r="A145" s="54" t="s">
        <v>11</v>
      </c>
      <c r="B145" s="30">
        <v>1</v>
      </c>
      <c r="C145" s="30">
        <v>2</v>
      </c>
      <c r="D145" s="30">
        <v>3</v>
      </c>
      <c r="E145" s="30">
        <v>4</v>
      </c>
      <c r="F145" s="30">
        <v>5</v>
      </c>
      <c r="G145" s="30">
        <v>6</v>
      </c>
      <c r="H145" s="30">
        <v>7</v>
      </c>
      <c r="I145" s="30">
        <v>8</v>
      </c>
      <c r="J145" s="30">
        <v>9</v>
      </c>
      <c r="K145" s="30">
        <v>10</v>
      </c>
      <c r="L145" s="30">
        <v>11</v>
      </c>
      <c r="M145" s="30">
        <v>12</v>
      </c>
      <c r="N145" s="30">
        <v>13</v>
      </c>
      <c r="O145" s="30">
        <v>14</v>
      </c>
      <c r="P145" s="30">
        <v>15</v>
      </c>
      <c r="Q145" s="30">
        <v>16</v>
      </c>
      <c r="R145" s="30">
        <v>17</v>
      </c>
      <c r="S145" s="30">
        <v>18</v>
      </c>
      <c r="T145" s="30">
        <v>19</v>
      </c>
      <c r="U145" s="30">
        <v>20</v>
      </c>
      <c r="V145" s="30">
        <v>21</v>
      </c>
      <c r="W145" s="30">
        <v>22</v>
      </c>
      <c r="X145" s="30">
        <v>23</v>
      </c>
      <c r="Y145" s="30">
        <v>24</v>
      </c>
      <c r="Z145" s="30">
        <v>25</v>
      </c>
      <c r="AA145" s="30">
        <v>26</v>
      </c>
      <c r="AB145" s="30">
        <v>27</v>
      </c>
      <c r="AC145" s="30">
        <v>28</v>
      </c>
      <c r="AD145" s="30">
        <v>29</v>
      </c>
      <c r="AE145" s="30">
        <v>30</v>
      </c>
      <c r="AF145" s="30">
        <v>31</v>
      </c>
      <c r="AH145" s="54" t="s">
        <v>18</v>
      </c>
      <c r="AI145" s="54" t="s">
        <v>19</v>
      </c>
    </row>
    <row r="146" spans="1:35" ht="20.100000000000001" customHeight="1">
      <c r="A146" s="56"/>
      <c r="B146" s="32" t="str">
        <f>'2021'!B52</f>
        <v>Cs</v>
      </c>
      <c r="C146" s="32" t="str">
        <f>'2021'!C52</f>
        <v>P</v>
      </c>
      <c r="D146" s="32" t="str">
        <f>'2021'!D52</f>
        <v>Szo</v>
      </c>
      <c r="E146" s="32" t="str">
        <f>'2021'!E52</f>
        <v>V</v>
      </c>
      <c r="F146" s="32" t="str">
        <f>'2021'!F52</f>
        <v>H</v>
      </c>
      <c r="G146" s="32" t="str">
        <f>'2021'!G52</f>
        <v>K</v>
      </c>
      <c r="H146" s="32" t="str">
        <f>'2021'!H52</f>
        <v>Sze</v>
      </c>
      <c r="I146" s="32" t="str">
        <f>'2021'!I52</f>
        <v>Cs</v>
      </c>
      <c r="J146" s="32" t="str">
        <f>'2021'!J52</f>
        <v>P</v>
      </c>
      <c r="K146" s="32" t="str">
        <f>'2021'!K52</f>
        <v>Szo</v>
      </c>
      <c r="L146" s="32" t="str">
        <f>'2021'!L52</f>
        <v>V</v>
      </c>
      <c r="M146" s="32" t="str">
        <f>'2021'!M52</f>
        <v>H</v>
      </c>
      <c r="N146" s="32" t="str">
        <f>'2021'!N52</f>
        <v>K</v>
      </c>
      <c r="O146" s="32" t="str">
        <f>'2021'!O52</f>
        <v>Sze</v>
      </c>
      <c r="P146" s="32" t="str">
        <f>'2021'!P52</f>
        <v>Cs</v>
      </c>
      <c r="Q146" s="32" t="str">
        <f>'2021'!Q52</f>
        <v>P</v>
      </c>
      <c r="R146" s="32" t="str">
        <f>'2021'!R52</f>
        <v>Szo</v>
      </c>
      <c r="S146" s="32" t="str">
        <f>'2021'!S52</f>
        <v>V</v>
      </c>
      <c r="T146" s="32" t="str">
        <f>'2021'!T52</f>
        <v>H</v>
      </c>
      <c r="U146" s="32" t="str">
        <f>'2021'!U52</f>
        <v>K</v>
      </c>
      <c r="V146" s="32" t="str">
        <f>'2021'!V52</f>
        <v>Sze</v>
      </c>
      <c r="W146" s="32" t="str">
        <f>'2021'!W52</f>
        <v>Cs</v>
      </c>
      <c r="X146" s="32" t="str">
        <f>'2021'!X52</f>
        <v>P</v>
      </c>
      <c r="Y146" s="32" t="str">
        <f>'2021'!Y52</f>
        <v>Szo</v>
      </c>
      <c r="Z146" s="32" t="str">
        <f>'2021'!Z52</f>
        <v>V</v>
      </c>
      <c r="AA146" s="32" t="str">
        <f>'2021'!AA52</f>
        <v>H</v>
      </c>
      <c r="AB146" s="32" t="str">
        <f>'2021'!AB52</f>
        <v>K</v>
      </c>
      <c r="AC146" s="32" t="str">
        <f>'2021'!AC52</f>
        <v>Sze</v>
      </c>
      <c r="AD146" s="32" t="str">
        <f>'2021'!AD52</f>
        <v>Cs</v>
      </c>
      <c r="AE146" s="32" t="str">
        <f>'2021'!AE52</f>
        <v>P</v>
      </c>
      <c r="AF146" s="32" t="str">
        <f>'2021'!AF52</f>
        <v>Szo</v>
      </c>
      <c r="AH146" s="55"/>
      <c r="AI146" s="55"/>
    </row>
    <row r="147" spans="1:35" ht="20.100000000000001" customHeight="1">
      <c r="A147" s="55"/>
      <c r="B147" s="32" t="str">
        <f>'2021'!B53</f>
        <v>X</v>
      </c>
      <c r="C147" s="32">
        <f>'2021'!C53</f>
        <v>3</v>
      </c>
      <c r="D147" s="32">
        <f>'2021'!D53</f>
        <v>3</v>
      </c>
      <c r="E147" s="32">
        <f>'2021'!E53</f>
        <v>3</v>
      </c>
      <c r="F147" s="32">
        <f>'2021'!F53</f>
        <v>3</v>
      </c>
      <c r="G147" s="32">
        <f>'2021'!G53</f>
        <v>3</v>
      </c>
      <c r="H147" s="32">
        <f>'2021'!H53</f>
        <v>3</v>
      </c>
      <c r="I147" s="32" t="str">
        <f>'2021'!I53</f>
        <v>X</v>
      </c>
      <c r="J147" s="32" t="str">
        <f>'2021'!J53</f>
        <v>X</v>
      </c>
      <c r="K147" s="32">
        <f>'2021'!K53</f>
        <v>2</v>
      </c>
      <c r="L147" s="32">
        <f>'2021'!L53</f>
        <v>2</v>
      </c>
      <c r="M147" s="32">
        <f>'2021'!M53</f>
        <v>2</v>
      </c>
      <c r="N147" s="32">
        <f>'2021'!N53</f>
        <v>2</v>
      </c>
      <c r="O147" s="32">
        <f>'2021'!O53</f>
        <v>2</v>
      </c>
      <c r="P147" s="32">
        <f>'2021'!P53</f>
        <v>2</v>
      </c>
      <c r="Q147" s="32" t="str">
        <f>'2021'!Q53</f>
        <v>X</v>
      </c>
      <c r="R147" s="32" t="str">
        <f>'2021'!R53</f>
        <v>X</v>
      </c>
      <c r="S147" s="32">
        <f>'2021'!S53</f>
        <v>1</v>
      </c>
      <c r="T147" s="32">
        <f>'2021'!T53</f>
        <v>1</v>
      </c>
      <c r="U147" s="32">
        <f>'2021'!U53</f>
        <v>1</v>
      </c>
      <c r="V147" s="32">
        <f>'2021'!V53</f>
        <v>1</v>
      </c>
      <c r="W147" s="32">
        <f>'2021'!W53</f>
        <v>1</v>
      </c>
      <c r="X147" s="32">
        <f>'2021'!X53</f>
        <v>1</v>
      </c>
      <c r="Y147" s="32" t="str">
        <f>'2021'!Y53</f>
        <v>X</v>
      </c>
      <c r="Z147" s="32" t="str">
        <f>'2021'!Z53</f>
        <v>X</v>
      </c>
      <c r="AA147" s="32">
        <f>'2021'!AA53</f>
        <v>3</v>
      </c>
      <c r="AB147" s="32">
        <f>'2021'!AB53</f>
        <v>3</v>
      </c>
      <c r="AC147" s="32">
        <f>'2021'!AC53</f>
        <v>3</v>
      </c>
      <c r="AD147" s="32">
        <f>'2021'!AD53</f>
        <v>3</v>
      </c>
      <c r="AE147" s="32">
        <f>'2021'!AE53</f>
        <v>3</v>
      </c>
      <c r="AF147" s="32">
        <f>'2021'!AF53</f>
        <v>3</v>
      </c>
      <c r="AH147" s="55"/>
      <c r="AI147" s="55"/>
    </row>
    <row r="148" spans="1:35" ht="20.100000000000001" customHeight="1">
      <c r="A148" s="24" t="str">
        <f>ÖSSZES!$A$3</f>
        <v>Csuka Lajos</v>
      </c>
      <c r="B148" s="39" t="s">
        <v>2</v>
      </c>
      <c r="C148" s="39"/>
      <c r="D148" s="39"/>
      <c r="E148" s="39"/>
      <c r="F148" s="39"/>
      <c r="G148" s="39"/>
      <c r="H148" s="39"/>
      <c r="I148" s="39" t="s">
        <v>2</v>
      </c>
      <c r="J148" s="39" t="s">
        <v>2</v>
      </c>
      <c r="K148" s="39"/>
      <c r="L148" s="39"/>
      <c r="M148" s="39"/>
      <c r="N148" s="39"/>
      <c r="O148" s="39"/>
      <c r="P148" s="39"/>
      <c r="Q148" s="39" t="s">
        <v>2</v>
      </c>
      <c r="R148" s="39" t="s">
        <v>2</v>
      </c>
      <c r="S148" s="39"/>
      <c r="T148" s="39"/>
      <c r="U148" s="39"/>
      <c r="V148" s="39"/>
      <c r="W148" s="39"/>
      <c r="X148" s="39"/>
      <c r="Y148" s="39" t="s">
        <v>2</v>
      </c>
      <c r="Z148" s="39" t="s">
        <v>2</v>
      </c>
      <c r="AA148" s="39"/>
      <c r="AB148" s="39"/>
      <c r="AC148" s="39"/>
      <c r="AD148" s="39"/>
      <c r="AE148" s="39"/>
      <c r="AF148" s="37"/>
      <c r="AH148" s="20">
        <f>1*COUNTIF(A148:AF148,"+")</f>
        <v>0</v>
      </c>
      <c r="AI148" s="20">
        <f t="shared" ref="AI148" si="18">1*COUNTIF(B148:AF148,"szf")</f>
        <v>0</v>
      </c>
    </row>
    <row r="149" spans="1:35" ht="20.100000000000001" customHeight="1">
      <c r="A149" s="24" t="str">
        <f>ÖSSZES!$A$4</f>
        <v>Batiz Attila</v>
      </c>
      <c r="B149" s="39" t="s">
        <v>2</v>
      </c>
      <c r="C149" s="39"/>
      <c r="D149" s="39"/>
      <c r="E149" s="39"/>
      <c r="F149" s="39"/>
      <c r="G149" s="39"/>
      <c r="H149" s="39"/>
      <c r="I149" s="39" t="s">
        <v>2</v>
      </c>
      <c r="J149" s="39" t="s">
        <v>2</v>
      </c>
      <c r="K149" s="39"/>
      <c r="L149" s="39"/>
      <c r="M149" s="39"/>
      <c r="N149" s="39"/>
      <c r="O149" s="39"/>
      <c r="P149" s="39"/>
      <c r="Q149" s="39" t="s">
        <v>2</v>
      </c>
      <c r="R149" s="39" t="s">
        <v>2</v>
      </c>
      <c r="S149" s="39"/>
      <c r="T149" s="39"/>
      <c r="U149" s="39"/>
      <c r="V149" s="39"/>
      <c r="W149" s="39"/>
      <c r="X149" s="39"/>
      <c r="Y149" s="39" t="s">
        <v>2</v>
      </c>
      <c r="Z149" s="39" t="s">
        <v>2</v>
      </c>
      <c r="AA149" s="39"/>
      <c r="AB149" s="39"/>
      <c r="AC149" s="39"/>
      <c r="AD149" s="39"/>
      <c r="AE149" s="39"/>
      <c r="AF149" s="37"/>
      <c r="AH149" s="20">
        <f t="shared" ref="AH149:AH167" si="19">1*COUNTIF(A149:AF149,"+")</f>
        <v>0</v>
      </c>
      <c r="AI149" s="20">
        <f t="shared" ref="AI149:AI167" si="20">1*COUNTIF(B149:AF149,"szf")</f>
        <v>0</v>
      </c>
    </row>
    <row r="150" spans="1:35" ht="20.100000000000001" customHeight="1">
      <c r="A150" s="24" t="str">
        <f>ÖSSZES!$A$5</f>
        <v>Füredi Antal</v>
      </c>
      <c r="B150" s="39" t="s">
        <v>2</v>
      </c>
      <c r="C150" s="39"/>
      <c r="D150" s="39"/>
      <c r="E150" s="39"/>
      <c r="F150" s="39"/>
      <c r="G150" s="39"/>
      <c r="H150" s="39"/>
      <c r="I150" s="39" t="s">
        <v>2</v>
      </c>
      <c r="J150" s="39" t="s">
        <v>2</v>
      </c>
      <c r="K150" s="39"/>
      <c r="L150" s="39"/>
      <c r="M150" s="39"/>
      <c r="N150" s="39"/>
      <c r="O150" s="39"/>
      <c r="P150" s="39"/>
      <c r="Q150" s="39" t="s">
        <v>2</v>
      </c>
      <c r="R150" s="39" t="s">
        <v>2</v>
      </c>
      <c r="S150" s="39"/>
      <c r="T150" s="39"/>
      <c r="U150" s="39"/>
      <c r="V150" s="39"/>
      <c r="W150" s="39"/>
      <c r="X150" s="39"/>
      <c r="Y150" s="39" t="s">
        <v>2</v>
      </c>
      <c r="Z150" s="39" t="s">
        <v>2</v>
      </c>
      <c r="AA150" s="39"/>
      <c r="AB150" s="39"/>
      <c r="AC150" s="39"/>
      <c r="AD150" s="39"/>
      <c r="AE150" s="39"/>
      <c r="AF150" s="37"/>
      <c r="AH150" s="20">
        <f t="shared" si="19"/>
        <v>0</v>
      </c>
      <c r="AI150" s="20">
        <f t="shared" si="20"/>
        <v>0</v>
      </c>
    </row>
    <row r="151" spans="1:35" ht="20.100000000000001" customHeight="1">
      <c r="A151" s="24" t="str">
        <f>ÖSSZES!$A$6</f>
        <v>Iványi István</v>
      </c>
      <c r="B151" s="39" t="s">
        <v>2</v>
      </c>
      <c r="C151" s="39"/>
      <c r="D151" s="39"/>
      <c r="E151" s="39"/>
      <c r="F151" s="39"/>
      <c r="G151" s="39"/>
      <c r="H151" s="39"/>
      <c r="I151" s="39" t="s">
        <v>2</v>
      </c>
      <c r="J151" s="39" t="s">
        <v>2</v>
      </c>
      <c r="K151" s="39"/>
      <c r="L151" s="39"/>
      <c r="M151" s="39"/>
      <c r="N151" s="39"/>
      <c r="O151" s="39"/>
      <c r="P151" s="39"/>
      <c r="Q151" s="39" t="s">
        <v>2</v>
      </c>
      <c r="R151" s="39" t="s">
        <v>2</v>
      </c>
      <c r="S151" s="39"/>
      <c r="T151" s="39"/>
      <c r="U151" s="39"/>
      <c r="V151" s="39"/>
      <c r="W151" s="39"/>
      <c r="X151" s="39"/>
      <c r="Y151" s="39" t="s">
        <v>2</v>
      </c>
      <c r="Z151" s="39" t="s">
        <v>2</v>
      </c>
      <c r="AA151" s="39"/>
      <c r="AB151" s="39"/>
      <c r="AC151" s="39"/>
      <c r="AD151" s="39"/>
      <c r="AE151" s="39"/>
      <c r="AF151" s="37"/>
      <c r="AH151" s="20">
        <f t="shared" si="19"/>
        <v>0</v>
      </c>
      <c r="AI151" s="20">
        <f t="shared" si="20"/>
        <v>0</v>
      </c>
    </row>
    <row r="152" spans="1:35" ht="20.100000000000001" customHeight="1">
      <c r="A152" s="24" t="str">
        <f>ÖSSZES!$A$7</f>
        <v>Katonka Tibor</v>
      </c>
      <c r="B152" s="39" t="s">
        <v>2</v>
      </c>
      <c r="C152" s="39"/>
      <c r="D152" s="39"/>
      <c r="E152" s="39"/>
      <c r="F152" s="39"/>
      <c r="G152" s="39"/>
      <c r="H152" s="39"/>
      <c r="I152" s="39" t="s">
        <v>2</v>
      </c>
      <c r="J152" s="39" t="s">
        <v>2</v>
      </c>
      <c r="K152" s="39"/>
      <c r="L152" s="39"/>
      <c r="M152" s="39"/>
      <c r="N152" s="39"/>
      <c r="O152" s="39"/>
      <c r="P152" s="39"/>
      <c r="Q152" s="39" t="s">
        <v>2</v>
      </c>
      <c r="R152" s="39" t="s">
        <v>2</v>
      </c>
      <c r="S152" s="39"/>
      <c r="T152" s="39"/>
      <c r="U152" s="39"/>
      <c r="V152" s="39"/>
      <c r="W152" s="39"/>
      <c r="X152" s="39"/>
      <c r="Y152" s="39" t="s">
        <v>2</v>
      </c>
      <c r="Z152" s="39" t="s">
        <v>2</v>
      </c>
      <c r="AA152" s="39"/>
      <c r="AB152" s="39"/>
      <c r="AC152" s="39"/>
      <c r="AD152" s="39"/>
      <c r="AE152" s="39"/>
      <c r="AF152" s="37"/>
      <c r="AH152" s="20">
        <f t="shared" si="19"/>
        <v>0</v>
      </c>
      <c r="AI152" s="20">
        <f t="shared" si="20"/>
        <v>0</v>
      </c>
    </row>
    <row r="153" spans="1:35" ht="20.100000000000001" customHeight="1">
      <c r="A153" s="24" t="str">
        <f>ÖSSZES!$A$8</f>
        <v>Mizsák Péter</v>
      </c>
      <c r="B153" s="39" t="s">
        <v>2</v>
      </c>
      <c r="C153" s="39"/>
      <c r="D153" s="39"/>
      <c r="E153" s="39"/>
      <c r="F153" s="39"/>
      <c r="G153" s="39"/>
      <c r="H153" s="39"/>
      <c r="I153" s="39" t="s">
        <v>2</v>
      </c>
      <c r="J153" s="39" t="s">
        <v>2</v>
      </c>
      <c r="K153" s="39"/>
      <c r="L153" s="39"/>
      <c r="M153" s="39"/>
      <c r="N153" s="39"/>
      <c r="O153" s="39"/>
      <c r="P153" s="39"/>
      <c r="Q153" s="39" t="s">
        <v>2</v>
      </c>
      <c r="R153" s="39" t="s">
        <v>2</v>
      </c>
      <c r="S153" s="39"/>
      <c r="T153" s="39"/>
      <c r="U153" s="39"/>
      <c r="V153" s="39"/>
      <c r="W153" s="39"/>
      <c r="X153" s="39"/>
      <c r="Y153" s="39" t="s">
        <v>2</v>
      </c>
      <c r="Z153" s="39" t="s">
        <v>2</v>
      </c>
      <c r="AA153" s="39"/>
      <c r="AB153" s="39"/>
      <c r="AC153" s="39"/>
      <c r="AD153" s="39"/>
      <c r="AE153" s="39"/>
      <c r="AF153" s="37"/>
      <c r="AH153" s="20">
        <f t="shared" si="19"/>
        <v>0</v>
      </c>
      <c r="AI153" s="20">
        <f t="shared" si="20"/>
        <v>0</v>
      </c>
    </row>
    <row r="154" spans="1:35" ht="20.100000000000001" customHeight="1">
      <c r="A154" s="24" t="str">
        <f>ÖSSZES!$A$9</f>
        <v>Vatamány Gergő</v>
      </c>
      <c r="B154" s="39" t="s">
        <v>2</v>
      </c>
      <c r="C154" s="39"/>
      <c r="D154" s="39"/>
      <c r="E154" s="39"/>
      <c r="F154" s="39"/>
      <c r="G154" s="39"/>
      <c r="H154" s="39"/>
      <c r="I154" s="39" t="s">
        <v>2</v>
      </c>
      <c r="J154" s="39" t="s">
        <v>2</v>
      </c>
      <c r="K154" s="39"/>
      <c r="L154" s="39"/>
      <c r="M154" s="39"/>
      <c r="N154" s="39"/>
      <c r="O154" s="39"/>
      <c r="P154" s="39"/>
      <c r="Q154" s="39" t="s">
        <v>2</v>
      </c>
      <c r="R154" s="39" t="s">
        <v>2</v>
      </c>
      <c r="S154" s="39"/>
      <c r="T154" s="39"/>
      <c r="U154" s="39"/>
      <c r="V154" s="39"/>
      <c r="W154" s="39"/>
      <c r="X154" s="39"/>
      <c r="Y154" s="39" t="s">
        <v>2</v>
      </c>
      <c r="Z154" s="39" t="s">
        <v>2</v>
      </c>
      <c r="AA154" s="39"/>
      <c r="AB154" s="39"/>
      <c r="AC154" s="39"/>
      <c r="AD154" s="39"/>
      <c r="AE154" s="39"/>
      <c r="AF154" s="37"/>
      <c r="AH154" s="20">
        <f t="shared" si="19"/>
        <v>0</v>
      </c>
      <c r="AI154" s="20">
        <f t="shared" si="20"/>
        <v>0</v>
      </c>
    </row>
    <row r="155" spans="1:35" ht="20.100000000000001" hidden="1" customHeight="1">
      <c r="A155" s="24" t="str">
        <f>ÖSSZES!$A$10</f>
        <v>Név8</v>
      </c>
      <c r="B155" s="39" t="s">
        <v>2</v>
      </c>
      <c r="C155" s="39"/>
      <c r="D155" s="39"/>
      <c r="E155" s="39"/>
      <c r="F155" s="39"/>
      <c r="G155" s="39"/>
      <c r="H155" s="39"/>
      <c r="I155" s="39" t="s">
        <v>2</v>
      </c>
      <c r="J155" s="39" t="s">
        <v>2</v>
      </c>
      <c r="K155" s="39"/>
      <c r="L155" s="39"/>
      <c r="M155" s="39"/>
      <c r="N155" s="39"/>
      <c r="O155" s="39"/>
      <c r="P155" s="39"/>
      <c r="Q155" s="39" t="s">
        <v>2</v>
      </c>
      <c r="R155" s="39" t="s">
        <v>2</v>
      </c>
      <c r="S155" s="39"/>
      <c r="T155" s="39"/>
      <c r="U155" s="39"/>
      <c r="V155" s="39"/>
      <c r="W155" s="39"/>
      <c r="X155" s="39"/>
      <c r="Y155" s="39" t="s">
        <v>2</v>
      </c>
      <c r="Z155" s="39" t="s">
        <v>2</v>
      </c>
      <c r="AA155" s="39"/>
      <c r="AB155" s="39"/>
      <c r="AC155" s="39"/>
      <c r="AD155" s="39"/>
      <c r="AE155" s="39"/>
      <c r="AF155" s="37"/>
      <c r="AH155" s="20">
        <f t="shared" si="19"/>
        <v>0</v>
      </c>
      <c r="AI155" s="20">
        <f t="shared" si="20"/>
        <v>0</v>
      </c>
    </row>
    <row r="156" spans="1:35" ht="20.100000000000001" hidden="1" customHeight="1">
      <c r="A156" s="24" t="str">
        <f>ÖSSZES!$A$11</f>
        <v>Név9</v>
      </c>
      <c r="B156" s="39" t="s">
        <v>2</v>
      </c>
      <c r="C156" s="39"/>
      <c r="D156" s="39"/>
      <c r="E156" s="39"/>
      <c r="F156" s="39"/>
      <c r="G156" s="39"/>
      <c r="H156" s="39"/>
      <c r="I156" s="39" t="s">
        <v>2</v>
      </c>
      <c r="J156" s="39" t="s">
        <v>2</v>
      </c>
      <c r="K156" s="39"/>
      <c r="L156" s="39"/>
      <c r="M156" s="39"/>
      <c r="N156" s="39"/>
      <c r="O156" s="39"/>
      <c r="P156" s="39"/>
      <c r="Q156" s="39" t="s">
        <v>2</v>
      </c>
      <c r="R156" s="39" t="s">
        <v>2</v>
      </c>
      <c r="S156" s="39"/>
      <c r="T156" s="39"/>
      <c r="U156" s="39"/>
      <c r="V156" s="39"/>
      <c r="W156" s="39"/>
      <c r="X156" s="39"/>
      <c r="Y156" s="39" t="s">
        <v>2</v>
      </c>
      <c r="Z156" s="39" t="s">
        <v>2</v>
      </c>
      <c r="AA156" s="39"/>
      <c r="AB156" s="39"/>
      <c r="AC156" s="39"/>
      <c r="AD156" s="39"/>
      <c r="AE156" s="39"/>
      <c r="AF156" s="37"/>
      <c r="AH156" s="20">
        <f t="shared" si="19"/>
        <v>0</v>
      </c>
      <c r="AI156" s="20">
        <f t="shared" si="20"/>
        <v>0</v>
      </c>
    </row>
    <row r="157" spans="1:35" ht="20.100000000000001" hidden="1" customHeight="1">
      <c r="A157" s="24" t="str">
        <f>ÖSSZES!$A$12</f>
        <v>Név10</v>
      </c>
      <c r="B157" s="39" t="s">
        <v>2</v>
      </c>
      <c r="C157" s="39"/>
      <c r="D157" s="39"/>
      <c r="E157" s="39"/>
      <c r="F157" s="39"/>
      <c r="G157" s="39"/>
      <c r="H157" s="39"/>
      <c r="I157" s="39" t="s">
        <v>2</v>
      </c>
      <c r="J157" s="39" t="s">
        <v>2</v>
      </c>
      <c r="K157" s="39"/>
      <c r="L157" s="39"/>
      <c r="M157" s="39"/>
      <c r="N157" s="39"/>
      <c r="O157" s="39"/>
      <c r="P157" s="39"/>
      <c r="Q157" s="39" t="s">
        <v>2</v>
      </c>
      <c r="R157" s="39" t="s">
        <v>2</v>
      </c>
      <c r="S157" s="39"/>
      <c r="T157" s="39"/>
      <c r="U157" s="39"/>
      <c r="V157" s="39"/>
      <c r="W157" s="39"/>
      <c r="X157" s="39"/>
      <c r="Y157" s="39" t="s">
        <v>2</v>
      </c>
      <c r="Z157" s="39" t="s">
        <v>2</v>
      </c>
      <c r="AA157" s="39"/>
      <c r="AB157" s="39"/>
      <c r="AC157" s="39"/>
      <c r="AD157" s="39"/>
      <c r="AE157" s="39"/>
      <c r="AF157" s="37"/>
      <c r="AH157" s="20">
        <f t="shared" si="19"/>
        <v>0</v>
      </c>
      <c r="AI157" s="20">
        <f t="shared" si="20"/>
        <v>0</v>
      </c>
    </row>
    <row r="158" spans="1:35" ht="20.100000000000001" hidden="1" customHeight="1">
      <c r="A158" s="24" t="str">
        <f>ÖSSZES!$A$13</f>
        <v>Név11</v>
      </c>
      <c r="B158" s="39" t="s">
        <v>2</v>
      </c>
      <c r="C158" s="39"/>
      <c r="D158" s="39"/>
      <c r="E158" s="39"/>
      <c r="F158" s="39"/>
      <c r="G158" s="39"/>
      <c r="H158" s="39"/>
      <c r="I158" s="39" t="s">
        <v>2</v>
      </c>
      <c r="J158" s="39" t="s">
        <v>2</v>
      </c>
      <c r="K158" s="39"/>
      <c r="L158" s="39"/>
      <c r="M158" s="39"/>
      <c r="N158" s="39"/>
      <c r="O158" s="39"/>
      <c r="P158" s="39"/>
      <c r="Q158" s="39" t="s">
        <v>2</v>
      </c>
      <c r="R158" s="39" t="s">
        <v>2</v>
      </c>
      <c r="S158" s="39"/>
      <c r="T158" s="39"/>
      <c r="U158" s="39"/>
      <c r="V158" s="39"/>
      <c r="W158" s="39"/>
      <c r="X158" s="39"/>
      <c r="Y158" s="39" t="s">
        <v>2</v>
      </c>
      <c r="Z158" s="39" t="s">
        <v>2</v>
      </c>
      <c r="AA158" s="39"/>
      <c r="AB158" s="39"/>
      <c r="AC158" s="39"/>
      <c r="AD158" s="39"/>
      <c r="AE158" s="39"/>
      <c r="AF158" s="37"/>
      <c r="AH158" s="20">
        <f t="shared" si="19"/>
        <v>0</v>
      </c>
      <c r="AI158" s="20">
        <f t="shared" si="20"/>
        <v>0</v>
      </c>
    </row>
    <row r="159" spans="1:35" ht="20.100000000000001" hidden="1" customHeight="1">
      <c r="A159" s="24" t="str">
        <f>ÖSSZES!$A$14</f>
        <v>Név12</v>
      </c>
      <c r="B159" s="39" t="s">
        <v>2</v>
      </c>
      <c r="C159" s="39"/>
      <c r="D159" s="39"/>
      <c r="E159" s="39"/>
      <c r="F159" s="39"/>
      <c r="G159" s="39"/>
      <c r="H159" s="39"/>
      <c r="I159" s="39" t="s">
        <v>2</v>
      </c>
      <c r="J159" s="39" t="s">
        <v>2</v>
      </c>
      <c r="K159" s="39"/>
      <c r="L159" s="39"/>
      <c r="M159" s="39"/>
      <c r="N159" s="39"/>
      <c r="O159" s="39"/>
      <c r="P159" s="39"/>
      <c r="Q159" s="39" t="s">
        <v>2</v>
      </c>
      <c r="R159" s="39" t="s">
        <v>2</v>
      </c>
      <c r="S159" s="39"/>
      <c r="T159" s="39"/>
      <c r="U159" s="39"/>
      <c r="V159" s="39"/>
      <c r="W159" s="39"/>
      <c r="X159" s="39"/>
      <c r="Y159" s="39" t="s">
        <v>2</v>
      </c>
      <c r="Z159" s="39" t="s">
        <v>2</v>
      </c>
      <c r="AA159" s="39"/>
      <c r="AB159" s="39"/>
      <c r="AC159" s="39"/>
      <c r="AD159" s="39"/>
      <c r="AE159" s="39"/>
      <c r="AF159" s="37"/>
      <c r="AH159" s="20">
        <f t="shared" si="19"/>
        <v>0</v>
      </c>
      <c r="AI159" s="20">
        <f t="shared" si="20"/>
        <v>0</v>
      </c>
    </row>
    <row r="160" spans="1:35" ht="20.100000000000001" hidden="1" customHeight="1">
      <c r="A160" s="24" t="str">
        <f>ÖSSZES!$A$15</f>
        <v>Név13</v>
      </c>
      <c r="B160" s="39" t="s">
        <v>2</v>
      </c>
      <c r="C160" s="39"/>
      <c r="D160" s="39"/>
      <c r="E160" s="39"/>
      <c r="F160" s="39"/>
      <c r="G160" s="39"/>
      <c r="H160" s="39"/>
      <c r="I160" s="39" t="s">
        <v>2</v>
      </c>
      <c r="J160" s="39" t="s">
        <v>2</v>
      </c>
      <c r="K160" s="39"/>
      <c r="L160" s="39"/>
      <c r="M160" s="39"/>
      <c r="N160" s="39"/>
      <c r="O160" s="39"/>
      <c r="P160" s="39"/>
      <c r="Q160" s="39" t="s">
        <v>2</v>
      </c>
      <c r="R160" s="39" t="s">
        <v>2</v>
      </c>
      <c r="S160" s="39"/>
      <c r="T160" s="39"/>
      <c r="U160" s="39"/>
      <c r="V160" s="39"/>
      <c r="W160" s="39"/>
      <c r="X160" s="39"/>
      <c r="Y160" s="39" t="s">
        <v>2</v>
      </c>
      <c r="Z160" s="39" t="s">
        <v>2</v>
      </c>
      <c r="AA160" s="39"/>
      <c r="AB160" s="39"/>
      <c r="AC160" s="39"/>
      <c r="AD160" s="39"/>
      <c r="AE160" s="39"/>
      <c r="AF160" s="37"/>
      <c r="AH160" s="20">
        <f t="shared" si="19"/>
        <v>0</v>
      </c>
      <c r="AI160" s="20">
        <f t="shared" si="20"/>
        <v>0</v>
      </c>
    </row>
    <row r="161" spans="1:35" ht="20.100000000000001" hidden="1" customHeight="1">
      <c r="A161" s="24" t="str">
        <f>ÖSSZES!$A$16</f>
        <v>Név14</v>
      </c>
      <c r="B161" s="39" t="s">
        <v>2</v>
      </c>
      <c r="C161" s="39"/>
      <c r="D161" s="39"/>
      <c r="E161" s="39"/>
      <c r="F161" s="39"/>
      <c r="G161" s="39"/>
      <c r="H161" s="39"/>
      <c r="I161" s="39" t="s">
        <v>2</v>
      </c>
      <c r="J161" s="39" t="s">
        <v>2</v>
      </c>
      <c r="K161" s="39"/>
      <c r="L161" s="39"/>
      <c r="M161" s="39"/>
      <c r="N161" s="39"/>
      <c r="O161" s="39"/>
      <c r="P161" s="39"/>
      <c r="Q161" s="39" t="s">
        <v>2</v>
      </c>
      <c r="R161" s="39" t="s">
        <v>2</v>
      </c>
      <c r="S161" s="39"/>
      <c r="T161" s="39"/>
      <c r="U161" s="39"/>
      <c r="V161" s="39"/>
      <c r="W161" s="39"/>
      <c r="X161" s="39"/>
      <c r="Y161" s="39" t="s">
        <v>2</v>
      </c>
      <c r="Z161" s="39" t="s">
        <v>2</v>
      </c>
      <c r="AA161" s="39"/>
      <c r="AB161" s="39"/>
      <c r="AC161" s="39"/>
      <c r="AD161" s="39"/>
      <c r="AE161" s="39"/>
      <c r="AF161" s="37"/>
      <c r="AH161" s="20">
        <f t="shared" si="19"/>
        <v>0</v>
      </c>
      <c r="AI161" s="20">
        <f t="shared" si="20"/>
        <v>0</v>
      </c>
    </row>
    <row r="162" spans="1:35" ht="20.100000000000001" hidden="1" customHeight="1">
      <c r="A162" s="24" t="str">
        <f>ÖSSZES!$A$17</f>
        <v>Név15</v>
      </c>
      <c r="B162" s="39" t="s">
        <v>2</v>
      </c>
      <c r="C162" s="39"/>
      <c r="D162" s="39"/>
      <c r="E162" s="39"/>
      <c r="F162" s="39"/>
      <c r="G162" s="39"/>
      <c r="H162" s="39"/>
      <c r="I162" s="39" t="s">
        <v>2</v>
      </c>
      <c r="J162" s="39" t="s">
        <v>2</v>
      </c>
      <c r="K162" s="39"/>
      <c r="L162" s="39"/>
      <c r="M162" s="39"/>
      <c r="N162" s="39"/>
      <c r="O162" s="39"/>
      <c r="P162" s="39"/>
      <c r="Q162" s="39" t="s">
        <v>2</v>
      </c>
      <c r="R162" s="39" t="s">
        <v>2</v>
      </c>
      <c r="S162" s="39"/>
      <c r="T162" s="39"/>
      <c r="U162" s="39"/>
      <c r="V162" s="39"/>
      <c r="W162" s="39"/>
      <c r="X162" s="39"/>
      <c r="Y162" s="39" t="s">
        <v>2</v>
      </c>
      <c r="Z162" s="39" t="s">
        <v>2</v>
      </c>
      <c r="AA162" s="39"/>
      <c r="AB162" s="39"/>
      <c r="AC162" s="39"/>
      <c r="AD162" s="39"/>
      <c r="AE162" s="39"/>
      <c r="AF162" s="37"/>
      <c r="AH162" s="20">
        <f t="shared" si="19"/>
        <v>0</v>
      </c>
      <c r="AI162" s="20">
        <f t="shared" si="20"/>
        <v>0</v>
      </c>
    </row>
    <row r="163" spans="1:35" ht="20.100000000000001" hidden="1" customHeight="1">
      <c r="A163" s="24" t="str">
        <f>ÖSSZES!$A$18</f>
        <v>Név16</v>
      </c>
      <c r="B163" s="39" t="s">
        <v>2</v>
      </c>
      <c r="C163" s="39"/>
      <c r="D163" s="39"/>
      <c r="E163" s="39"/>
      <c r="F163" s="39"/>
      <c r="G163" s="39"/>
      <c r="H163" s="39"/>
      <c r="I163" s="39" t="s">
        <v>2</v>
      </c>
      <c r="J163" s="39" t="s">
        <v>2</v>
      </c>
      <c r="K163" s="39"/>
      <c r="L163" s="39"/>
      <c r="M163" s="39"/>
      <c r="N163" s="39"/>
      <c r="O163" s="39"/>
      <c r="P163" s="39"/>
      <c r="Q163" s="39" t="s">
        <v>2</v>
      </c>
      <c r="R163" s="39" t="s">
        <v>2</v>
      </c>
      <c r="S163" s="39"/>
      <c r="T163" s="39"/>
      <c r="U163" s="39"/>
      <c r="V163" s="39"/>
      <c r="W163" s="39"/>
      <c r="X163" s="39"/>
      <c r="Y163" s="39" t="s">
        <v>2</v>
      </c>
      <c r="Z163" s="39" t="s">
        <v>2</v>
      </c>
      <c r="AA163" s="39"/>
      <c r="AB163" s="39"/>
      <c r="AC163" s="39"/>
      <c r="AD163" s="39"/>
      <c r="AE163" s="39"/>
      <c r="AF163" s="37"/>
      <c r="AH163" s="20">
        <f t="shared" si="19"/>
        <v>0</v>
      </c>
      <c r="AI163" s="20">
        <f t="shared" si="20"/>
        <v>0</v>
      </c>
    </row>
    <row r="164" spans="1:35" ht="20.100000000000001" hidden="1" customHeight="1">
      <c r="A164" s="24" t="str">
        <f>ÖSSZES!$A$19</f>
        <v>Név17</v>
      </c>
      <c r="B164" s="39" t="s">
        <v>2</v>
      </c>
      <c r="C164" s="39"/>
      <c r="D164" s="39"/>
      <c r="E164" s="39"/>
      <c r="F164" s="39"/>
      <c r="G164" s="39"/>
      <c r="H164" s="39"/>
      <c r="I164" s="39" t="s">
        <v>2</v>
      </c>
      <c r="J164" s="39" t="s">
        <v>2</v>
      </c>
      <c r="K164" s="39"/>
      <c r="L164" s="39"/>
      <c r="M164" s="39"/>
      <c r="N164" s="39"/>
      <c r="O164" s="39"/>
      <c r="P164" s="39"/>
      <c r="Q164" s="39" t="s">
        <v>2</v>
      </c>
      <c r="R164" s="39" t="s">
        <v>2</v>
      </c>
      <c r="S164" s="39"/>
      <c r="T164" s="39"/>
      <c r="U164" s="39"/>
      <c r="V164" s="39"/>
      <c r="W164" s="39"/>
      <c r="X164" s="39"/>
      <c r="Y164" s="39" t="s">
        <v>2</v>
      </c>
      <c r="Z164" s="39" t="s">
        <v>2</v>
      </c>
      <c r="AA164" s="39"/>
      <c r="AB164" s="39"/>
      <c r="AC164" s="39"/>
      <c r="AD164" s="39"/>
      <c r="AE164" s="39"/>
      <c r="AF164" s="37"/>
      <c r="AH164" s="20">
        <f t="shared" si="19"/>
        <v>0</v>
      </c>
      <c r="AI164" s="20">
        <f t="shared" si="20"/>
        <v>0</v>
      </c>
    </row>
    <row r="165" spans="1:35" ht="20.100000000000001" hidden="1" customHeight="1">
      <c r="A165" s="24" t="str">
        <f>ÖSSZES!$A$20</f>
        <v>Név18</v>
      </c>
      <c r="B165" s="39" t="s">
        <v>2</v>
      </c>
      <c r="C165" s="39"/>
      <c r="D165" s="39"/>
      <c r="E165" s="39"/>
      <c r="F165" s="39"/>
      <c r="G165" s="39"/>
      <c r="H165" s="39"/>
      <c r="I165" s="39" t="s">
        <v>2</v>
      </c>
      <c r="J165" s="39" t="s">
        <v>2</v>
      </c>
      <c r="K165" s="39"/>
      <c r="L165" s="39"/>
      <c r="M165" s="39"/>
      <c r="N165" s="39"/>
      <c r="O165" s="39"/>
      <c r="P165" s="39"/>
      <c r="Q165" s="39" t="s">
        <v>2</v>
      </c>
      <c r="R165" s="39" t="s">
        <v>2</v>
      </c>
      <c r="S165" s="39"/>
      <c r="T165" s="39"/>
      <c r="U165" s="39"/>
      <c r="V165" s="39"/>
      <c r="W165" s="39"/>
      <c r="X165" s="39"/>
      <c r="Y165" s="39" t="s">
        <v>2</v>
      </c>
      <c r="Z165" s="39" t="s">
        <v>2</v>
      </c>
      <c r="AA165" s="39"/>
      <c r="AB165" s="39"/>
      <c r="AC165" s="39"/>
      <c r="AD165" s="39"/>
      <c r="AE165" s="39"/>
      <c r="AF165" s="37"/>
      <c r="AH165" s="20">
        <f t="shared" si="19"/>
        <v>0</v>
      </c>
      <c r="AI165" s="20">
        <f t="shared" si="20"/>
        <v>0</v>
      </c>
    </row>
    <row r="166" spans="1:35" ht="20.100000000000001" hidden="1" customHeight="1">
      <c r="A166" s="24" t="str">
        <f>ÖSSZES!$A$21</f>
        <v>Név19</v>
      </c>
      <c r="B166" s="39" t="s">
        <v>2</v>
      </c>
      <c r="C166" s="39"/>
      <c r="D166" s="39"/>
      <c r="E166" s="39"/>
      <c r="F166" s="39"/>
      <c r="G166" s="39"/>
      <c r="H166" s="39"/>
      <c r="I166" s="39" t="s">
        <v>2</v>
      </c>
      <c r="J166" s="39" t="s">
        <v>2</v>
      </c>
      <c r="K166" s="39"/>
      <c r="L166" s="39"/>
      <c r="M166" s="39"/>
      <c r="N166" s="39"/>
      <c r="O166" s="39"/>
      <c r="P166" s="39"/>
      <c r="Q166" s="39" t="s">
        <v>2</v>
      </c>
      <c r="R166" s="39" t="s">
        <v>2</v>
      </c>
      <c r="S166" s="39"/>
      <c r="T166" s="39"/>
      <c r="U166" s="39"/>
      <c r="V166" s="39"/>
      <c r="W166" s="39"/>
      <c r="X166" s="39"/>
      <c r="Y166" s="39" t="s">
        <v>2</v>
      </c>
      <c r="Z166" s="39" t="s">
        <v>2</v>
      </c>
      <c r="AA166" s="39"/>
      <c r="AB166" s="39"/>
      <c r="AC166" s="39"/>
      <c r="AD166" s="39"/>
      <c r="AE166" s="39"/>
      <c r="AF166" s="37"/>
      <c r="AH166" s="20">
        <f t="shared" si="19"/>
        <v>0</v>
      </c>
      <c r="AI166" s="20">
        <f t="shared" si="20"/>
        <v>0</v>
      </c>
    </row>
    <row r="167" spans="1:35" ht="20.100000000000001" hidden="1" customHeight="1">
      <c r="A167" s="24" t="str">
        <f>ÖSSZES!$A$17</f>
        <v>Név15</v>
      </c>
      <c r="B167" s="39" t="s">
        <v>2</v>
      </c>
      <c r="C167" s="39"/>
      <c r="D167" s="39"/>
      <c r="E167" s="39"/>
      <c r="F167" s="39"/>
      <c r="G167" s="39"/>
      <c r="H167" s="39"/>
      <c r="I167" s="39" t="s">
        <v>2</v>
      </c>
      <c r="J167" s="39" t="s">
        <v>2</v>
      </c>
      <c r="K167" s="39"/>
      <c r="L167" s="39"/>
      <c r="M167" s="39"/>
      <c r="N167" s="39"/>
      <c r="O167" s="39"/>
      <c r="P167" s="39"/>
      <c r="Q167" s="39" t="s">
        <v>2</v>
      </c>
      <c r="R167" s="39" t="s">
        <v>2</v>
      </c>
      <c r="S167" s="39"/>
      <c r="T167" s="39"/>
      <c r="U167" s="39"/>
      <c r="V167" s="39"/>
      <c r="W167" s="39"/>
      <c r="X167" s="39"/>
      <c r="Y167" s="39" t="s">
        <v>2</v>
      </c>
      <c r="Z167" s="39" t="s">
        <v>2</v>
      </c>
      <c r="AA167" s="39"/>
      <c r="AB167" s="39"/>
      <c r="AC167" s="39"/>
      <c r="AD167" s="39"/>
      <c r="AE167" s="39"/>
      <c r="AF167" s="37"/>
      <c r="AH167" s="20">
        <f t="shared" si="19"/>
        <v>0</v>
      </c>
      <c r="AI167" s="20">
        <f t="shared" si="20"/>
        <v>0</v>
      </c>
    </row>
    <row r="168" spans="1:35" ht="20.100000000000001" customHeight="1"/>
    <row r="169" spans="1:35" s="31" customFormat="1" ht="20.100000000000001" customHeight="1">
      <c r="A169" s="54" t="s">
        <v>12</v>
      </c>
      <c r="B169" s="30">
        <v>1</v>
      </c>
      <c r="C169" s="30">
        <v>2</v>
      </c>
      <c r="D169" s="30">
        <v>3</v>
      </c>
      <c r="E169" s="30">
        <v>4</v>
      </c>
      <c r="F169" s="30">
        <v>5</v>
      </c>
      <c r="G169" s="30">
        <v>6</v>
      </c>
      <c r="H169" s="30">
        <v>7</v>
      </c>
      <c r="I169" s="30">
        <v>8</v>
      </c>
      <c r="J169" s="30">
        <v>9</v>
      </c>
      <c r="K169" s="30">
        <v>10</v>
      </c>
      <c r="L169" s="30">
        <v>11</v>
      </c>
      <c r="M169" s="30">
        <v>12</v>
      </c>
      <c r="N169" s="30">
        <v>13</v>
      </c>
      <c r="O169" s="30">
        <v>14</v>
      </c>
      <c r="P169" s="30">
        <v>15</v>
      </c>
      <c r="Q169" s="30">
        <v>16</v>
      </c>
      <c r="R169" s="30">
        <v>17</v>
      </c>
      <c r="S169" s="30">
        <v>18</v>
      </c>
      <c r="T169" s="30">
        <v>19</v>
      </c>
      <c r="U169" s="29">
        <v>20</v>
      </c>
      <c r="V169" s="30">
        <v>21</v>
      </c>
      <c r="W169" s="30">
        <v>22</v>
      </c>
      <c r="X169" s="30">
        <v>23</v>
      </c>
      <c r="Y169" s="30">
        <v>24</v>
      </c>
      <c r="Z169" s="30">
        <v>25</v>
      </c>
      <c r="AA169" s="30">
        <v>26</v>
      </c>
      <c r="AB169" s="30">
        <v>27</v>
      </c>
      <c r="AC169" s="30">
        <v>28</v>
      </c>
      <c r="AD169" s="30">
        <v>29</v>
      </c>
      <c r="AE169" s="30">
        <v>30</v>
      </c>
      <c r="AF169" s="30">
        <v>31</v>
      </c>
      <c r="AH169" s="54" t="s">
        <v>18</v>
      </c>
      <c r="AI169" s="54" t="s">
        <v>19</v>
      </c>
    </row>
    <row r="170" spans="1:35" ht="20.100000000000001" customHeight="1">
      <c r="A170" s="56"/>
      <c r="B170" s="32" t="str">
        <f>'2021'!B60</f>
        <v>V</v>
      </c>
      <c r="C170" s="32" t="str">
        <f>'2021'!C60</f>
        <v>H</v>
      </c>
      <c r="D170" s="32" t="str">
        <f>'2021'!D60</f>
        <v>K</v>
      </c>
      <c r="E170" s="32" t="str">
        <f>'2021'!E60</f>
        <v>Sze</v>
      </c>
      <c r="F170" s="32" t="str">
        <f>'2021'!F60</f>
        <v>Cs</v>
      </c>
      <c r="G170" s="32" t="str">
        <f>'2021'!G60</f>
        <v>P</v>
      </c>
      <c r="H170" s="32" t="str">
        <f>'2021'!H60</f>
        <v>Szo</v>
      </c>
      <c r="I170" s="32" t="str">
        <f>'2021'!I60</f>
        <v>V</v>
      </c>
      <c r="J170" s="32" t="str">
        <f>'2021'!J60</f>
        <v>H</v>
      </c>
      <c r="K170" s="32" t="str">
        <f>'2021'!K60</f>
        <v>K</v>
      </c>
      <c r="L170" s="32" t="str">
        <f>'2021'!L60</f>
        <v>Sze</v>
      </c>
      <c r="M170" s="32" t="str">
        <f>'2021'!M60</f>
        <v>Cs</v>
      </c>
      <c r="N170" s="32" t="str">
        <f>'2021'!N60</f>
        <v>P</v>
      </c>
      <c r="O170" s="32" t="str">
        <f>'2021'!O60</f>
        <v>Szo</v>
      </c>
      <c r="P170" s="32" t="str">
        <f>'2021'!P60</f>
        <v>V</v>
      </c>
      <c r="Q170" s="32" t="str">
        <f>'2021'!Q60</f>
        <v>H</v>
      </c>
      <c r="R170" s="32" t="str">
        <f>'2021'!R60</f>
        <v>K</v>
      </c>
      <c r="S170" s="32" t="str">
        <f>'2021'!S60</f>
        <v>Sze</v>
      </c>
      <c r="T170" s="32" t="str">
        <f>'2021'!T60</f>
        <v>Cs</v>
      </c>
      <c r="U170" s="32" t="str">
        <f>'2021'!U60</f>
        <v>P</v>
      </c>
      <c r="V170" s="32" t="str">
        <f>'2021'!V60</f>
        <v>Szo</v>
      </c>
      <c r="W170" s="32" t="str">
        <f>'2021'!W60</f>
        <v>V</v>
      </c>
      <c r="X170" s="32" t="str">
        <f>'2021'!X60</f>
        <v>H</v>
      </c>
      <c r="Y170" s="32" t="str">
        <f>'2021'!Y60</f>
        <v>K</v>
      </c>
      <c r="Z170" s="32" t="str">
        <f>'2021'!Z60</f>
        <v>Sze</v>
      </c>
      <c r="AA170" s="32" t="str">
        <f>'2021'!AA60</f>
        <v>Cs</v>
      </c>
      <c r="AB170" s="32" t="str">
        <f>'2021'!AB60</f>
        <v>P</v>
      </c>
      <c r="AC170" s="32" t="str">
        <f>'2021'!AC60</f>
        <v>Szo</v>
      </c>
      <c r="AD170" s="32" t="str">
        <f>'2021'!AD60</f>
        <v>V</v>
      </c>
      <c r="AE170" s="32" t="str">
        <f>'2021'!AE60</f>
        <v>H</v>
      </c>
      <c r="AF170" s="32" t="str">
        <f>'2021'!AF60</f>
        <v>K</v>
      </c>
      <c r="AH170" s="55"/>
      <c r="AI170" s="55"/>
    </row>
    <row r="171" spans="1:35" ht="20.100000000000001" customHeight="1">
      <c r="A171" s="55"/>
      <c r="B171" s="32" t="str">
        <f>'2021'!B61</f>
        <v>X</v>
      </c>
      <c r="C171" s="32" t="str">
        <f>'2021'!C61</f>
        <v>X</v>
      </c>
      <c r="D171" s="32">
        <f>'2021'!D61</f>
        <v>2</v>
      </c>
      <c r="E171" s="32">
        <f>'2021'!E61</f>
        <v>2</v>
      </c>
      <c r="F171" s="32">
        <f>'2021'!F61</f>
        <v>2</v>
      </c>
      <c r="G171" s="32">
        <f>'2021'!G61</f>
        <v>2</v>
      </c>
      <c r="H171" s="32">
        <f>'2021'!H61</f>
        <v>2</v>
      </c>
      <c r="I171" s="32">
        <f>'2021'!I61</f>
        <v>2</v>
      </c>
      <c r="J171" s="32" t="str">
        <f>'2021'!J61</f>
        <v>X</v>
      </c>
      <c r="K171" s="32" t="str">
        <f>'2021'!K61</f>
        <v>X</v>
      </c>
      <c r="L171" s="32">
        <f>'2021'!L61</f>
        <v>1</v>
      </c>
      <c r="M171" s="32">
        <f>'2021'!M61</f>
        <v>1</v>
      </c>
      <c r="N171" s="32">
        <f>'2021'!N61</f>
        <v>1</v>
      </c>
      <c r="O171" s="32">
        <f>'2021'!O61</f>
        <v>1</v>
      </c>
      <c r="P171" s="32">
        <f>'2021'!P61</f>
        <v>1</v>
      </c>
      <c r="Q171" s="32">
        <f>'2021'!Q61</f>
        <v>1</v>
      </c>
      <c r="R171" s="32" t="str">
        <f>'2021'!R61</f>
        <v>X</v>
      </c>
      <c r="S171" s="32" t="str">
        <f>'2021'!S61</f>
        <v>X</v>
      </c>
      <c r="T171" s="32">
        <f>'2021'!T61</f>
        <v>3</v>
      </c>
      <c r="U171" s="32">
        <f>'2021'!U61</f>
        <v>3</v>
      </c>
      <c r="V171" s="32">
        <f>'2021'!V61</f>
        <v>3</v>
      </c>
      <c r="W171" s="32">
        <f>'2021'!W61</f>
        <v>3</v>
      </c>
      <c r="X171" s="32">
        <f>'2021'!X61</f>
        <v>3</v>
      </c>
      <c r="Y171" s="32">
        <f>'2021'!Y61</f>
        <v>3</v>
      </c>
      <c r="Z171" s="32" t="str">
        <f>'2021'!Z61</f>
        <v>X</v>
      </c>
      <c r="AA171" s="32" t="str">
        <f>'2021'!AA61</f>
        <v>X</v>
      </c>
      <c r="AB171" s="32">
        <f>'2021'!AB61</f>
        <v>2</v>
      </c>
      <c r="AC171" s="32">
        <f>'2021'!AC61</f>
        <v>2</v>
      </c>
      <c r="AD171" s="32">
        <f>'2021'!AD61</f>
        <v>2</v>
      </c>
      <c r="AE171" s="32">
        <f>'2021'!AE61</f>
        <v>2</v>
      </c>
      <c r="AF171" s="32">
        <f>'2021'!AF61</f>
        <v>2</v>
      </c>
      <c r="AH171" s="55"/>
      <c r="AI171" s="55"/>
    </row>
    <row r="172" spans="1:35" ht="20.100000000000001" customHeight="1">
      <c r="A172" s="24" t="str">
        <f>ÖSSZES!$A$3</f>
        <v>Csuka Lajos</v>
      </c>
      <c r="B172" s="39" t="s">
        <v>2</v>
      </c>
      <c r="C172" s="39" t="s">
        <v>2</v>
      </c>
      <c r="D172" s="37"/>
      <c r="E172" s="37"/>
      <c r="F172" s="37"/>
      <c r="G172" s="37"/>
      <c r="H172" s="37"/>
      <c r="I172" s="37"/>
      <c r="J172" s="39" t="s">
        <v>2</v>
      </c>
      <c r="K172" s="39" t="s">
        <v>2</v>
      </c>
      <c r="L172" s="37"/>
      <c r="M172" s="37"/>
      <c r="N172" s="37"/>
      <c r="O172" s="37"/>
      <c r="P172" s="37"/>
      <c r="Q172" s="37"/>
      <c r="R172" s="39" t="s">
        <v>2</v>
      </c>
      <c r="S172" s="39" t="s">
        <v>2</v>
      </c>
      <c r="T172" s="37"/>
      <c r="U172" s="37"/>
      <c r="V172" s="37"/>
      <c r="W172" s="37"/>
      <c r="X172" s="37"/>
      <c r="Y172" s="37"/>
      <c r="Z172" s="39" t="s">
        <v>2</v>
      </c>
      <c r="AA172" s="39" t="s">
        <v>2</v>
      </c>
      <c r="AB172" s="37"/>
      <c r="AC172" s="37"/>
      <c r="AD172" s="37"/>
      <c r="AE172" s="37"/>
      <c r="AF172" s="39"/>
      <c r="AH172" s="20">
        <f>1*COUNTIF(A172:AF172,"+")</f>
        <v>0</v>
      </c>
      <c r="AI172" s="20">
        <f t="shared" ref="AI172" si="21">1*COUNTIF(B172:AF172,"szf")</f>
        <v>0</v>
      </c>
    </row>
    <row r="173" spans="1:35" ht="20.100000000000001" customHeight="1">
      <c r="A173" s="24" t="str">
        <f>ÖSSZES!$A$4</f>
        <v>Batiz Attila</v>
      </c>
      <c r="B173" s="39" t="s">
        <v>2</v>
      </c>
      <c r="C173" s="39" t="s">
        <v>2</v>
      </c>
      <c r="D173" s="37"/>
      <c r="E173" s="37"/>
      <c r="F173" s="37"/>
      <c r="G173" s="37"/>
      <c r="H173" s="37"/>
      <c r="I173" s="37"/>
      <c r="J173" s="39" t="s">
        <v>2</v>
      </c>
      <c r="K173" s="39" t="s">
        <v>2</v>
      </c>
      <c r="L173" s="37"/>
      <c r="M173" s="37"/>
      <c r="N173" s="37"/>
      <c r="O173" s="37"/>
      <c r="P173" s="37"/>
      <c r="Q173" s="37"/>
      <c r="R173" s="39" t="s">
        <v>2</v>
      </c>
      <c r="S173" s="39" t="s">
        <v>2</v>
      </c>
      <c r="T173" s="37"/>
      <c r="U173" s="37"/>
      <c r="V173" s="37"/>
      <c r="W173" s="37"/>
      <c r="X173" s="37"/>
      <c r="Y173" s="37"/>
      <c r="Z173" s="39" t="s">
        <v>2</v>
      </c>
      <c r="AA173" s="39" t="s">
        <v>2</v>
      </c>
      <c r="AB173" s="37"/>
      <c r="AC173" s="37"/>
      <c r="AD173" s="37"/>
      <c r="AE173" s="37"/>
      <c r="AF173" s="39"/>
      <c r="AH173" s="20">
        <f t="shared" ref="AH173:AH191" si="22">1*COUNTIF(A173:AF173,"+")</f>
        <v>0</v>
      </c>
      <c r="AI173" s="20">
        <f t="shared" ref="AI173:AI191" si="23">1*COUNTIF(B173:AF173,"szf")</f>
        <v>0</v>
      </c>
    </row>
    <row r="174" spans="1:35" ht="20.100000000000001" customHeight="1">
      <c r="A174" s="24" t="str">
        <f>ÖSSZES!$A$5</f>
        <v>Füredi Antal</v>
      </c>
      <c r="B174" s="39" t="s">
        <v>2</v>
      </c>
      <c r="C174" s="39" t="s">
        <v>2</v>
      </c>
      <c r="D174" s="37"/>
      <c r="E174" s="37"/>
      <c r="F174" s="37"/>
      <c r="G174" s="37"/>
      <c r="H174" s="37"/>
      <c r="I174" s="37"/>
      <c r="J174" s="39" t="s">
        <v>2</v>
      </c>
      <c r="K174" s="39" t="s">
        <v>2</v>
      </c>
      <c r="L174" s="37"/>
      <c r="M174" s="37"/>
      <c r="N174" s="37"/>
      <c r="O174" s="37"/>
      <c r="P174" s="37"/>
      <c r="Q174" s="37"/>
      <c r="R174" s="39" t="s">
        <v>2</v>
      </c>
      <c r="S174" s="39" t="s">
        <v>2</v>
      </c>
      <c r="T174" s="37"/>
      <c r="U174" s="37"/>
      <c r="V174" s="37"/>
      <c r="W174" s="37"/>
      <c r="X174" s="37"/>
      <c r="Y174" s="37"/>
      <c r="Z174" s="39" t="s">
        <v>2</v>
      </c>
      <c r="AA174" s="39" t="s">
        <v>2</v>
      </c>
      <c r="AB174" s="37"/>
      <c r="AC174" s="37"/>
      <c r="AD174" s="37"/>
      <c r="AE174" s="37"/>
      <c r="AF174" s="39"/>
      <c r="AH174" s="20">
        <f t="shared" si="22"/>
        <v>0</v>
      </c>
      <c r="AI174" s="20">
        <f t="shared" si="23"/>
        <v>0</v>
      </c>
    </row>
    <row r="175" spans="1:35" ht="20.100000000000001" customHeight="1">
      <c r="A175" s="24" t="str">
        <f>ÖSSZES!$A$6</f>
        <v>Iványi István</v>
      </c>
      <c r="B175" s="39" t="s">
        <v>2</v>
      </c>
      <c r="C175" s="39" t="s">
        <v>2</v>
      </c>
      <c r="D175" s="37"/>
      <c r="E175" s="37"/>
      <c r="F175" s="37"/>
      <c r="G175" s="37"/>
      <c r="H175" s="37"/>
      <c r="I175" s="37"/>
      <c r="J175" s="39" t="s">
        <v>2</v>
      </c>
      <c r="K175" s="39" t="s">
        <v>2</v>
      </c>
      <c r="L175" s="37"/>
      <c r="M175" s="37"/>
      <c r="N175" s="37"/>
      <c r="O175" s="37"/>
      <c r="P175" s="37"/>
      <c r="Q175" s="37"/>
      <c r="R175" s="39" t="s">
        <v>2</v>
      </c>
      <c r="S175" s="39" t="s">
        <v>2</v>
      </c>
      <c r="T175" s="37"/>
      <c r="U175" s="37"/>
      <c r="V175" s="37"/>
      <c r="W175" s="37"/>
      <c r="X175" s="37"/>
      <c r="Y175" s="37"/>
      <c r="Z175" s="39" t="s">
        <v>2</v>
      </c>
      <c r="AA175" s="39" t="s">
        <v>2</v>
      </c>
      <c r="AB175" s="37"/>
      <c r="AC175" s="37"/>
      <c r="AD175" s="37"/>
      <c r="AE175" s="37"/>
      <c r="AF175" s="39"/>
      <c r="AH175" s="20">
        <f t="shared" si="22"/>
        <v>0</v>
      </c>
      <c r="AI175" s="20">
        <f t="shared" si="23"/>
        <v>0</v>
      </c>
    </row>
    <row r="176" spans="1:35" ht="20.100000000000001" customHeight="1">
      <c r="A176" s="24" t="str">
        <f>ÖSSZES!$A$7</f>
        <v>Katonka Tibor</v>
      </c>
      <c r="B176" s="39" t="s">
        <v>2</v>
      </c>
      <c r="C176" s="39" t="s">
        <v>2</v>
      </c>
      <c r="D176" s="37"/>
      <c r="E176" s="37"/>
      <c r="F176" s="37"/>
      <c r="G176" s="37"/>
      <c r="H176" s="37"/>
      <c r="I176" s="37"/>
      <c r="J176" s="39" t="s">
        <v>2</v>
      </c>
      <c r="K176" s="39" t="s">
        <v>2</v>
      </c>
      <c r="L176" s="37"/>
      <c r="M176" s="37"/>
      <c r="N176" s="37"/>
      <c r="O176" s="37"/>
      <c r="P176" s="37"/>
      <c r="Q176" s="37"/>
      <c r="R176" s="39" t="s">
        <v>2</v>
      </c>
      <c r="S176" s="39" t="s">
        <v>2</v>
      </c>
      <c r="T176" s="37"/>
      <c r="U176" s="37"/>
      <c r="V176" s="37"/>
      <c r="W176" s="37"/>
      <c r="X176" s="37"/>
      <c r="Y176" s="37"/>
      <c r="Z176" s="39" t="s">
        <v>2</v>
      </c>
      <c r="AA176" s="39" t="s">
        <v>2</v>
      </c>
      <c r="AB176" s="37"/>
      <c r="AC176" s="37"/>
      <c r="AD176" s="37"/>
      <c r="AE176" s="37"/>
      <c r="AF176" s="39"/>
      <c r="AH176" s="20">
        <f t="shared" si="22"/>
        <v>0</v>
      </c>
      <c r="AI176" s="20">
        <f t="shared" si="23"/>
        <v>0</v>
      </c>
    </row>
    <row r="177" spans="1:35" ht="20.100000000000001" customHeight="1">
      <c r="A177" s="24" t="str">
        <f>ÖSSZES!$A$8</f>
        <v>Mizsák Péter</v>
      </c>
      <c r="B177" s="39" t="s">
        <v>2</v>
      </c>
      <c r="C177" s="39" t="s">
        <v>2</v>
      </c>
      <c r="D177" s="37"/>
      <c r="E177" s="37"/>
      <c r="F177" s="37"/>
      <c r="G177" s="37"/>
      <c r="H177" s="37"/>
      <c r="I177" s="37"/>
      <c r="J177" s="39" t="s">
        <v>2</v>
      </c>
      <c r="K177" s="39" t="s">
        <v>2</v>
      </c>
      <c r="L177" s="37"/>
      <c r="M177" s="37"/>
      <c r="N177" s="37"/>
      <c r="O177" s="37"/>
      <c r="P177" s="37"/>
      <c r="Q177" s="37"/>
      <c r="R177" s="39" t="s">
        <v>2</v>
      </c>
      <c r="S177" s="39" t="s">
        <v>2</v>
      </c>
      <c r="T177" s="37"/>
      <c r="U177" s="37"/>
      <c r="V177" s="37"/>
      <c r="W177" s="37"/>
      <c r="X177" s="37"/>
      <c r="Y177" s="37"/>
      <c r="Z177" s="39" t="s">
        <v>2</v>
      </c>
      <c r="AA177" s="39" t="s">
        <v>2</v>
      </c>
      <c r="AB177" s="37"/>
      <c r="AC177" s="37"/>
      <c r="AD177" s="37"/>
      <c r="AE177" s="37"/>
      <c r="AF177" s="39"/>
      <c r="AH177" s="20">
        <f t="shared" si="22"/>
        <v>0</v>
      </c>
      <c r="AI177" s="20">
        <f t="shared" si="23"/>
        <v>0</v>
      </c>
    </row>
    <row r="178" spans="1:35" ht="20.100000000000001" customHeight="1">
      <c r="A178" s="24" t="str">
        <f>ÖSSZES!$A$9</f>
        <v>Vatamány Gergő</v>
      </c>
      <c r="B178" s="39" t="s">
        <v>2</v>
      </c>
      <c r="C178" s="39" t="s">
        <v>2</v>
      </c>
      <c r="D178" s="37"/>
      <c r="E178" s="37"/>
      <c r="F178" s="37"/>
      <c r="G178" s="37"/>
      <c r="H178" s="37"/>
      <c r="I178" s="37"/>
      <c r="J178" s="39" t="s">
        <v>2</v>
      </c>
      <c r="K178" s="39" t="s">
        <v>2</v>
      </c>
      <c r="L178" s="37"/>
      <c r="M178" s="37"/>
      <c r="N178" s="37"/>
      <c r="O178" s="37"/>
      <c r="P178" s="37"/>
      <c r="Q178" s="37"/>
      <c r="R178" s="39" t="s">
        <v>2</v>
      </c>
      <c r="S178" s="39" t="s">
        <v>2</v>
      </c>
      <c r="T178" s="37"/>
      <c r="U178" s="37"/>
      <c r="V178" s="37"/>
      <c r="W178" s="37"/>
      <c r="X178" s="37"/>
      <c r="Y178" s="37"/>
      <c r="Z178" s="39" t="s">
        <v>2</v>
      </c>
      <c r="AA178" s="39" t="s">
        <v>2</v>
      </c>
      <c r="AB178" s="37"/>
      <c r="AC178" s="37"/>
      <c r="AD178" s="37"/>
      <c r="AE178" s="37"/>
      <c r="AF178" s="39"/>
      <c r="AH178" s="20">
        <f t="shared" si="22"/>
        <v>0</v>
      </c>
      <c r="AI178" s="20">
        <f t="shared" si="23"/>
        <v>0</v>
      </c>
    </row>
    <row r="179" spans="1:35" ht="20.100000000000001" hidden="1" customHeight="1">
      <c r="A179" s="24" t="str">
        <f>ÖSSZES!$A$10</f>
        <v>Név8</v>
      </c>
      <c r="B179" s="39" t="s">
        <v>2</v>
      </c>
      <c r="C179" s="39" t="s">
        <v>2</v>
      </c>
      <c r="D179" s="37"/>
      <c r="E179" s="37"/>
      <c r="F179" s="37"/>
      <c r="G179" s="37"/>
      <c r="H179" s="37"/>
      <c r="I179" s="37"/>
      <c r="J179" s="39" t="s">
        <v>2</v>
      </c>
      <c r="K179" s="39" t="s">
        <v>2</v>
      </c>
      <c r="L179" s="37"/>
      <c r="M179" s="37"/>
      <c r="N179" s="37"/>
      <c r="O179" s="37"/>
      <c r="P179" s="37"/>
      <c r="Q179" s="37"/>
      <c r="R179" s="39" t="s">
        <v>2</v>
      </c>
      <c r="S179" s="39" t="s">
        <v>2</v>
      </c>
      <c r="T179" s="37"/>
      <c r="U179" s="37"/>
      <c r="V179" s="37"/>
      <c r="W179" s="37"/>
      <c r="X179" s="37"/>
      <c r="Y179" s="37"/>
      <c r="Z179" s="39" t="s">
        <v>2</v>
      </c>
      <c r="AA179" s="39" t="s">
        <v>2</v>
      </c>
      <c r="AB179" s="37"/>
      <c r="AC179" s="37"/>
      <c r="AD179" s="37"/>
      <c r="AE179" s="37"/>
      <c r="AF179" s="39"/>
      <c r="AH179" s="20">
        <f t="shared" si="22"/>
        <v>0</v>
      </c>
      <c r="AI179" s="20">
        <f t="shared" si="23"/>
        <v>0</v>
      </c>
    </row>
    <row r="180" spans="1:35" ht="20.100000000000001" hidden="1" customHeight="1">
      <c r="A180" s="24" t="str">
        <f>ÖSSZES!$A$11</f>
        <v>Név9</v>
      </c>
      <c r="B180" s="39" t="s">
        <v>2</v>
      </c>
      <c r="C180" s="39" t="s">
        <v>2</v>
      </c>
      <c r="D180" s="37"/>
      <c r="E180" s="37"/>
      <c r="F180" s="37"/>
      <c r="G180" s="37"/>
      <c r="H180" s="37"/>
      <c r="I180" s="37"/>
      <c r="J180" s="39" t="s">
        <v>2</v>
      </c>
      <c r="K180" s="39" t="s">
        <v>2</v>
      </c>
      <c r="L180" s="37"/>
      <c r="M180" s="37"/>
      <c r="N180" s="37"/>
      <c r="O180" s="37"/>
      <c r="P180" s="37"/>
      <c r="Q180" s="37"/>
      <c r="R180" s="39" t="s">
        <v>2</v>
      </c>
      <c r="S180" s="39" t="s">
        <v>2</v>
      </c>
      <c r="T180" s="37"/>
      <c r="U180" s="37"/>
      <c r="V180" s="37"/>
      <c r="W180" s="37"/>
      <c r="X180" s="37"/>
      <c r="Y180" s="37"/>
      <c r="Z180" s="39" t="s">
        <v>2</v>
      </c>
      <c r="AA180" s="39" t="s">
        <v>2</v>
      </c>
      <c r="AB180" s="37"/>
      <c r="AC180" s="37"/>
      <c r="AD180" s="37"/>
      <c r="AE180" s="37"/>
      <c r="AF180" s="39"/>
      <c r="AH180" s="20">
        <f t="shared" si="22"/>
        <v>0</v>
      </c>
      <c r="AI180" s="20">
        <f t="shared" si="23"/>
        <v>0</v>
      </c>
    </row>
    <row r="181" spans="1:35" ht="20.100000000000001" hidden="1" customHeight="1">
      <c r="A181" s="24" t="str">
        <f>ÖSSZES!$A$12</f>
        <v>Név10</v>
      </c>
      <c r="B181" s="39" t="s">
        <v>2</v>
      </c>
      <c r="C181" s="39" t="s">
        <v>2</v>
      </c>
      <c r="D181" s="37"/>
      <c r="E181" s="37"/>
      <c r="F181" s="37"/>
      <c r="G181" s="37"/>
      <c r="H181" s="37"/>
      <c r="I181" s="37"/>
      <c r="J181" s="39" t="s">
        <v>2</v>
      </c>
      <c r="K181" s="39" t="s">
        <v>2</v>
      </c>
      <c r="L181" s="37"/>
      <c r="M181" s="37"/>
      <c r="N181" s="37"/>
      <c r="O181" s="37"/>
      <c r="P181" s="37"/>
      <c r="Q181" s="37"/>
      <c r="R181" s="39" t="s">
        <v>2</v>
      </c>
      <c r="S181" s="39" t="s">
        <v>2</v>
      </c>
      <c r="T181" s="37"/>
      <c r="U181" s="37"/>
      <c r="V181" s="37"/>
      <c r="W181" s="37"/>
      <c r="X181" s="37"/>
      <c r="Y181" s="37"/>
      <c r="Z181" s="39" t="s">
        <v>2</v>
      </c>
      <c r="AA181" s="39" t="s">
        <v>2</v>
      </c>
      <c r="AB181" s="37"/>
      <c r="AC181" s="37"/>
      <c r="AD181" s="37"/>
      <c r="AE181" s="37"/>
      <c r="AF181" s="39"/>
      <c r="AH181" s="20">
        <f t="shared" si="22"/>
        <v>0</v>
      </c>
      <c r="AI181" s="20">
        <f t="shared" si="23"/>
        <v>0</v>
      </c>
    </row>
    <row r="182" spans="1:35" ht="20.100000000000001" hidden="1" customHeight="1">
      <c r="A182" s="24" t="str">
        <f>ÖSSZES!$A$13</f>
        <v>Név11</v>
      </c>
      <c r="B182" s="39" t="s">
        <v>2</v>
      </c>
      <c r="C182" s="39" t="s">
        <v>2</v>
      </c>
      <c r="D182" s="37"/>
      <c r="E182" s="37"/>
      <c r="F182" s="37"/>
      <c r="G182" s="37"/>
      <c r="H182" s="37"/>
      <c r="I182" s="37"/>
      <c r="J182" s="39" t="s">
        <v>2</v>
      </c>
      <c r="K182" s="39" t="s">
        <v>2</v>
      </c>
      <c r="L182" s="37"/>
      <c r="M182" s="37"/>
      <c r="N182" s="37"/>
      <c r="O182" s="37"/>
      <c r="P182" s="37"/>
      <c r="Q182" s="37"/>
      <c r="R182" s="39" t="s">
        <v>2</v>
      </c>
      <c r="S182" s="39" t="s">
        <v>2</v>
      </c>
      <c r="T182" s="37"/>
      <c r="U182" s="37"/>
      <c r="V182" s="37"/>
      <c r="W182" s="37"/>
      <c r="X182" s="37"/>
      <c r="Y182" s="37"/>
      <c r="Z182" s="39" t="s">
        <v>2</v>
      </c>
      <c r="AA182" s="39" t="s">
        <v>2</v>
      </c>
      <c r="AB182" s="37"/>
      <c r="AC182" s="37"/>
      <c r="AD182" s="37"/>
      <c r="AE182" s="37"/>
      <c r="AF182" s="39"/>
      <c r="AH182" s="20">
        <f t="shared" si="22"/>
        <v>0</v>
      </c>
      <c r="AI182" s="20">
        <f t="shared" si="23"/>
        <v>0</v>
      </c>
    </row>
    <row r="183" spans="1:35" ht="20.100000000000001" hidden="1" customHeight="1">
      <c r="A183" s="24" t="str">
        <f>ÖSSZES!$A$14</f>
        <v>Név12</v>
      </c>
      <c r="B183" s="39" t="s">
        <v>2</v>
      </c>
      <c r="C183" s="39" t="s">
        <v>2</v>
      </c>
      <c r="D183" s="37"/>
      <c r="E183" s="37"/>
      <c r="F183" s="37"/>
      <c r="G183" s="37"/>
      <c r="H183" s="37"/>
      <c r="I183" s="37"/>
      <c r="J183" s="39" t="s">
        <v>2</v>
      </c>
      <c r="K183" s="39" t="s">
        <v>2</v>
      </c>
      <c r="L183" s="37"/>
      <c r="M183" s="37"/>
      <c r="N183" s="37"/>
      <c r="O183" s="37"/>
      <c r="P183" s="37"/>
      <c r="Q183" s="37"/>
      <c r="R183" s="39" t="s">
        <v>2</v>
      </c>
      <c r="S183" s="39" t="s">
        <v>2</v>
      </c>
      <c r="T183" s="37"/>
      <c r="U183" s="37"/>
      <c r="V183" s="37"/>
      <c r="W183" s="37"/>
      <c r="X183" s="37"/>
      <c r="Y183" s="37"/>
      <c r="Z183" s="39" t="s">
        <v>2</v>
      </c>
      <c r="AA183" s="39" t="s">
        <v>2</v>
      </c>
      <c r="AB183" s="37"/>
      <c r="AC183" s="37"/>
      <c r="AD183" s="37"/>
      <c r="AE183" s="37"/>
      <c r="AF183" s="39"/>
      <c r="AH183" s="20">
        <f t="shared" si="22"/>
        <v>0</v>
      </c>
      <c r="AI183" s="20">
        <f t="shared" si="23"/>
        <v>0</v>
      </c>
    </row>
    <row r="184" spans="1:35" ht="20.100000000000001" hidden="1" customHeight="1">
      <c r="A184" s="24" t="str">
        <f>ÖSSZES!$A$15</f>
        <v>Név13</v>
      </c>
      <c r="B184" s="39" t="s">
        <v>2</v>
      </c>
      <c r="C184" s="39" t="s">
        <v>2</v>
      </c>
      <c r="D184" s="37"/>
      <c r="E184" s="37"/>
      <c r="F184" s="37"/>
      <c r="G184" s="37"/>
      <c r="H184" s="37"/>
      <c r="I184" s="37"/>
      <c r="J184" s="39" t="s">
        <v>2</v>
      </c>
      <c r="K184" s="39" t="s">
        <v>2</v>
      </c>
      <c r="L184" s="37"/>
      <c r="M184" s="37"/>
      <c r="N184" s="37"/>
      <c r="O184" s="37"/>
      <c r="P184" s="37"/>
      <c r="Q184" s="37"/>
      <c r="R184" s="39" t="s">
        <v>2</v>
      </c>
      <c r="S184" s="39" t="s">
        <v>2</v>
      </c>
      <c r="T184" s="37"/>
      <c r="U184" s="37"/>
      <c r="V184" s="37"/>
      <c r="W184" s="37"/>
      <c r="X184" s="37"/>
      <c r="Y184" s="37"/>
      <c r="Z184" s="39" t="s">
        <v>2</v>
      </c>
      <c r="AA184" s="39" t="s">
        <v>2</v>
      </c>
      <c r="AB184" s="37"/>
      <c r="AC184" s="37"/>
      <c r="AD184" s="37"/>
      <c r="AE184" s="37"/>
      <c r="AF184" s="39"/>
      <c r="AH184" s="20">
        <f t="shared" si="22"/>
        <v>0</v>
      </c>
      <c r="AI184" s="20">
        <f t="shared" si="23"/>
        <v>0</v>
      </c>
    </row>
    <row r="185" spans="1:35" ht="20.100000000000001" hidden="1" customHeight="1">
      <c r="A185" s="24" t="str">
        <f>ÖSSZES!$A$16</f>
        <v>Név14</v>
      </c>
      <c r="B185" s="39" t="s">
        <v>2</v>
      </c>
      <c r="C185" s="39" t="s">
        <v>2</v>
      </c>
      <c r="D185" s="37"/>
      <c r="E185" s="37"/>
      <c r="F185" s="37"/>
      <c r="G185" s="37"/>
      <c r="H185" s="37"/>
      <c r="I185" s="37"/>
      <c r="J185" s="39" t="s">
        <v>2</v>
      </c>
      <c r="K185" s="39" t="s">
        <v>2</v>
      </c>
      <c r="L185" s="37"/>
      <c r="M185" s="37"/>
      <c r="N185" s="37"/>
      <c r="O185" s="37"/>
      <c r="P185" s="37"/>
      <c r="Q185" s="37"/>
      <c r="R185" s="39" t="s">
        <v>2</v>
      </c>
      <c r="S185" s="39" t="s">
        <v>2</v>
      </c>
      <c r="T185" s="37"/>
      <c r="U185" s="37"/>
      <c r="V185" s="37"/>
      <c r="W185" s="37"/>
      <c r="X185" s="37"/>
      <c r="Y185" s="37"/>
      <c r="Z185" s="39" t="s">
        <v>2</v>
      </c>
      <c r="AA185" s="39" t="s">
        <v>2</v>
      </c>
      <c r="AB185" s="37"/>
      <c r="AC185" s="37"/>
      <c r="AD185" s="37"/>
      <c r="AE185" s="37"/>
      <c r="AF185" s="39"/>
      <c r="AH185" s="20">
        <f t="shared" si="22"/>
        <v>0</v>
      </c>
      <c r="AI185" s="20">
        <f t="shared" si="23"/>
        <v>0</v>
      </c>
    </row>
    <row r="186" spans="1:35" ht="20.100000000000001" hidden="1" customHeight="1">
      <c r="A186" s="24" t="str">
        <f>ÖSSZES!$A$17</f>
        <v>Név15</v>
      </c>
      <c r="B186" s="39" t="s">
        <v>2</v>
      </c>
      <c r="C186" s="39" t="s">
        <v>2</v>
      </c>
      <c r="D186" s="37"/>
      <c r="E186" s="37"/>
      <c r="F186" s="37"/>
      <c r="G186" s="37"/>
      <c r="H186" s="37"/>
      <c r="I186" s="37"/>
      <c r="J186" s="39" t="s">
        <v>2</v>
      </c>
      <c r="K186" s="39" t="s">
        <v>2</v>
      </c>
      <c r="L186" s="37"/>
      <c r="M186" s="37"/>
      <c r="N186" s="37"/>
      <c r="O186" s="37"/>
      <c r="P186" s="37"/>
      <c r="Q186" s="37"/>
      <c r="R186" s="39" t="s">
        <v>2</v>
      </c>
      <c r="S186" s="39" t="s">
        <v>2</v>
      </c>
      <c r="T186" s="37"/>
      <c r="U186" s="37"/>
      <c r="V186" s="37"/>
      <c r="W186" s="37"/>
      <c r="X186" s="37"/>
      <c r="Y186" s="37"/>
      <c r="Z186" s="39" t="s">
        <v>2</v>
      </c>
      <c r="AA186" s="39" t="s">
        <v>2</v>
      </c>
      <c r="AB186" s="37"/>
      <c r="AC186" s="37"/>
      <c r="AD186" s="37"/>
      <c r="AE186" s="37"/>
      <c r="AF186" s="39"/>
      <c r="AH186" s="20">
        <f t="shared" si="22"/>
        <v>0</v>
      </c>
      <c r="AI186" s="20">
        <f t="shared" si="23"/>
        <v>0</v>
      </c>
    </row>
    <row r="187" spans="1:35" ht="20.100000000000001" hidden="1" customHeight="1">
      <c r="A187" s="24" t="str">
        <f>ÖSSZES!$A$18</f>
        <v>Név16</v>
      </c>
      <c r="B187" s="39" t="s">
        <v>2</v>
      </c>
      <c r="C187" s="39" t="s">
        <v>2</v>
      </c>
      <c r="D187" s="37"/>
      <c r="E187" s="37"/>
      <c r="F187" s="37"/>
      <c r="G187" s="37"/>
      <c r="H187" s="37"/>
      <c r="I187" s="37"/>
      <c r="J187" s="39" t="s">
        <v>2</v>
      </c>
      <c r="K187" s="39" t="s">
        <v>2</v>
      </c>
      <c r="L187" s="37"/>
      <c r="M187" s="37"/>
      <c r="N187" s="37"/>
      <c r="O187" s="37"/>
      <c r="P187" s="37"/>
      <c r="Q187" s="37"/>
      <c r="R187" s="39" t="s">
        <v>2</v>
      </c>
      <c r="S187" s="39" t="s">
        <v>2</v>
      </c>
      <c r="T187" s="37"/>
      <c r="U187" s="37"/>
      <c r="V187" s="37"/>
      <c r="W187" s="37"/>
      <c r="X187" s="37"/>
      <c r="Y187" s="37"/>
      <c r="Z187" s="39" t="s">
        <v>2</v>
      </c>
      <c r="AA187" s="39" t="s">
        <v>2</v>
      </c>
      <c r="AB187" s="37"/>
      <c r="AC187" s="37"/>
      <c r="AD187" s="37"/>
      <c r="AE187" s="37"/>
      <c r="AF187" s="39"/>
      <c r="AH187" s="20">
        <f t="shared" si="22"/>
        <v>0</v>
      </c>
      <c r="AI187" s="20">
        <f t="shared" si="23"/>
        <v>0</v>
      </c>
    </row>
    <row r="188" spans="1:35" ht="20.100000000000001" hidden="1" customHeight="1">
      <c r="A188" s="24" t="str">
        <f>ÖSSZES!$A$19</f>
        <v>Név17</v>
      </c>
      <c r="B188" s="39" t="s">
        <v>2</v>
      </c>
      <c r="C188" s="39" t="s">
        <v>2</v>
      </c>
      <c r="D188" s="37"/>
      <c r="E188" s="37"/>
      <c r="F188" s="37"/>
      <c r="G188" s="37"/>
      <c r="H188" s="37"/>
      <c r="I188" s="37"/>
      <c r="J188" s="39" t="s">
        <v>2</v>
      </c>
      <c r="K188" s="39" t="s">
        <v>2</v>
      </c>
      <c r="L188" s="37"/>
      <c r="M188" s="37"/>
      <c r="N188" s="37"/>
      <c r="O188" s="37"/>
      <c r="P188" s="37"/>
      <c r="Q188" s="37"/>
      <c r="R188" s="39" t="s">
        <v>2</v>
      </c>
      <c r="S188" s="39" t="s">
        <v>2</v>
      </c>
      <c r="T188" s="37"/>
      <c r="U188" s="37"/>
      <c r="V188" s="37"/>
      <c r="W188" s="37"/>
      <c r="X188" s="37"/>
      <c r="Y188" s="37"/>
      <c r="Z188" s="39" t="s">
        <v>2</v>
      </c>
      <c r="AA188" s="39" t="s">
        <v>2</v>
      </c>
      <c r="AB188" s="37"/>
      <c r="AC188" s="37"/>
      <c r="AD188" s="37"/>
      <c r="AE188" s="37"/>
      <c r="AF188" s="39"/>
      <c r="AH188" s="20">
        <f t="shared" si="22"/>
        <v>0</v>
      </c>
      <c r="AI188" s="20">
        <f t="shared" si="23"/>
        <v>0</v>
      </c>
    </row>
    <row r="189" spans="1:35" ht="20.100000000000001" hidden="1" customHeight="1">
      <c r="A189" s="24" t="str">
        <f>ÖSSZES!$A$20</f>
        <v>Név18</v>
      </c>
      <c r="B189" s="39" t="s">
        <v>2</v>
      </c>
      <c r="C189" s="39" t="s">
        <v>2</v>
      </c>
      <c r="D189" s="37"/>
      <c r="E189" s="37"/>
      <c r="F189" s="37"/>
      <c r="G189" s="37"/>
      <c r="H189" s="37"/>
      <c r="I189" s="37"/>
      <c r="J189" s="39" t="s">
        <v>2</v>
      </c>
      <c r="K189" s="39" t="s">
        <v>2</v>
      </c>
      <c r="L189" s="37"/>
      <c r="M189" s="37"/>
      <c r="N189" s="37"/>
      <c r="O189" s="37"/>
      <c r="P189" s="37"/>
      <c r="Q189" s="37"/>
      <c r="R189" s="39" t="s">
        <v>2</v>
      </c>
      <c r="S189" s="39" t="s">
        <v>2</v>
      </c>
      <c r="T189" s="37"/>
      <c r="U189" s="37"/>
      <c r="V189" s="37"/>
      <c r="W189" s="37"/>
      <c r="X189" s="37"/>
      <c r="Y189" s="37"/>
      <c r="Z189" s="39" t="s">
        <v>2</v>
      </c>
      <c r="AA189" s="39" t="s">
        <v>2</v>
      </c>
      <c r="AB189" s="37"/>
      <c r="AC189" s="37"/>
      <c r="AD189" s="37"/>
      <c r="AE189" s="37"/>
      <c r="AF189" s="39"/>
      <c r="AH189" s="20">
        <f t="shared" si="22"/>
        <v>0</v>
      </c>
      <c r="AI189" s="20">
        <f t="shared" si="23"/>
        <v>0</v>
      </c>
    </row>
    <row r="190" spans="1:35" ht="20.100000000000001" hidden="1" customHeight="1">
      <c r="A190" s="24" t="str">
        <f>ÖSSZES!$A$21</f>
        <v>Név19</v>
      </c>
      <c r="B190" s="39" t="s">
        <v>2</v>
      </c>
      <c r="C190" s="39" t="s">
        <v>2</v>
      </c>
      <c r="D190" s="37"/>
      <c r="E190" s="37"/>
      <c r="F190" s="37"/>
      <c r="G190" s="37"/>
      <c r="H190" s="37"/>
      <c r="I190" s="37"/>
      <c r="J190" s="39" t="s">
        <v>2</v>
      </c>
      <c r="K190" s="39" t="s">
        <v>2</v>
      </c>
      <c r="L190" s="37"/>
      <c r="M190" s="37"/>
      <c r="N190" s="37"/>
      <c r="O190" s="37"/>
      <c r="P190" s="37"/>
      <c r="Q190" s="37"/>
      <c r="R190" s="39" t="s">
        <v>2</v>
      </c>
      <c r="S190" s="39" t="s">
        <v>2</v>
      </c>
      <c r="T190" s="37"/>
      <c r="U190" s="37"/>
      <c r="V190" s="37"/>
      <c r="W190" s="37"/>
      <c r="X190" s="37"/>
      <c r="Y190" s="37"/>
      <c r="Z190" s="39" t="s">
        <v>2</v>
      </c>
      <c r="AA190" s="39" t="s">
        <v>2</v>
      </c>
      <c r="AB190" s="37"/>
      <c r="AC190" s="37"/>
      <c r="AD190" s="37"/>
      <c r="AE190" s="37"/>
      <c r="AF190" s="39"/>
      <c r="AH190" s="20">
        <f t="shared" si="22"/>
        <v>0</v>
      </c>
      <c r="AI190" s="20">
        <f t="shared" si="23"/>
        <v>0</v>
      </c>
    </row>
    <row r="191" spans="1:35" ht="20.100000000000001" hidden="1" customHeight="1">
      <c r="A191" s="24" t="str">
        <f>ÖSSZES!$A$17</f>
        <v>Név15</v>
      </c>
      <c r="B191" s="39" t="s">
        <v>2</v>
      </c>
      <c r="C191" s="39" t="s">
        <v>2</v>
      </c>
      <c r="D191" s="37"/>
      <c r="E191" s="37"/>
      <c r="F191" s="37"/>
      <c r="G191" s="37"/>
      <c r="H191" s="37"/>
      <c r="I191" s="37"/>
      <c r="J191" s="39" t="s">
        <v>2</v>
      </c>
      <c r="K191" s="39" t="s">
        <v>2</v>
      </c>
      <c r="L191" s="37"/>
      <c r="M191" s="37"/>
      <c r="N191" s="37"/>
      <c r="O191" s="37"/>
      <c r="P191" s="37"/>
      <c r="Q191" s="37"/>
      <c r="R191" s="39" t="s">
        <v>2</v>
      </c>
      <c r="S191" s="39" t="s">
        <v>2</v>
      </c>
      <c r="T191" s="37"/>
      <c r="U191" s="37"/>
      <c r="V191" s="37"/>
      <c r="W191" s="37"/>
      <c r="X191" s="37"/>
      <c r="Y191" s="37"/>
      <c r="Z191" s="39" t="s">
        <v>2</v>
      </c>
      <c r="AA191" s="39" t="s">
        <v>2</v>
      </c>
      <c r="AB191" s="37"/>
      <c r="AC191" s="37"/>
      <c r="AD191" s="37"/>
      <c r="AE191" s="37"/>
      <c r="AF191" s="39"/>
      <c r="AH191" s="20">
        <f t="shared" si="22"/>
        <v>0</v>
      </c>
      <c r="AI191" s="20">
        <f t="shared" si="23"/>
        <v>0</v>
      </c>
    </row>
    <row r="192" spans="1:35" ht="20.100000000000001" customHeight="1"/>
    <row r="193" spans="1:35" s="31" customFormat="1" ht="20.100000000000001" customHeight="1">
      <c r="A193" s="54" t="s">
        <v>13</v>
      </c>
      <c r="B193" s="30">
        <v>1</v>
      </c>
      <c r="C193" s="30">
        <v>2</v>
      </c>
      <c r="D193" s="30">
        <v>3</v>
      </c>
      <c r="E193" s="30">
        <v>4</v>
      </c>
      <c r="F193" s="30">
        <v>5</v>
      </c>
      <c r="G193" s="30">
        <v>6</v>
      </c>
      <c r="H193" s="30">
        <v>7</v>
      </c>
      <c r="I193" s="30">
        <v>8</v>
      </c>
      <c r="J193" s="30">
        <v>9</v>
      </c>
      <c r="K193" s="30">
        <v>10</v>
      </c>
      <c r="L193" s="30">
        <v>11</v>
      </c>
      <c r="M193" s="30">
        <v>12</v>
      </c>
      <c r="N193" s="30">
        <v>13</v>
      </c>
      <c r="O193" s="30">
        <v>14</v>
      </c>
      <c r="P193" s="30">
        <v>15</v>
      </c>
      <c r="Q193" s="30">
        <v>16</v>
      </c>
      <c r="R193" s="30">
        <v>17</v>
      </c>
      <c r="S193" s="30">
        <v>18</v>
      </c>
      <c r="T193" s="30">
        <v>19</v>
      </c>
      <c r="U193" s="30">
        <v>20</v>
      </c>
      <c r="V193" s="30">
        <v>21</v>
      </c>
      <c r="W193" s="30">
        <v>22</v>
      </c>
      <c r="X193" s="30">
        <v>23</v>
      </c>
      <c r="Y193" s="30">
        <v>24</v>
      </c>
      <c r="Z193" s="30">
        <v>25</v>
      </c>
      <c r="AA193" s="30">
        <v>26</v>
      </c>
      <c r="AB193" s="30">
        <v>27</v>
      </c>
      <c r="AC193" s="30">
        <v>28</v>
      </c>
      <c r="AD193" s="30">
        <v>29</v>
      </c>
      <c r="AE193" s="30">
        <v>30</v>
      </c>
      <c r="AH193" s="54" t="s">
        <v>18</v>
      </c>
      <c r="AI193" s="54" t="s">
        <v>19</v>
      </c>
    </row>
    <row r="194" spans="1:35" ht="20.100000000000001" customHeight="1">
      <c r="A194" s="56"/>
      <c r="B194" s="32" t="str">
        <f>'2021'!B68</f>
        <v>Sze</v>
      </c>
      <c r="C194" s="32" t="str">
        <f>'2021'!C68</f>
        <v>Cs</v>
      </c>
      <c r="D194" s="32" t="str">
        <f>'2021'!D68</f>
        <v>P</v>
      </c>
      <c r="E194" s="32" t="str">
        <f>'2021'!E68</f>
        <v>Szo</v>
      </c>
      <c r="F194" s="32" t="str">
        <f>'2021'!F68</f>
        <v>V</v>
      </c>
      <c r="G194" s="32" t="str">
        <f>'2021'!G68</f>
        <v>H</v>
      </c>
      <c r="H194" s="32" t="str">
        <f>'2021'!H68</f>
        <v>K</v>
      </c>
      <c r="I194" s="32" t="str">
        <f>'2021'!I68</f>
        <v>Sze</v>
      </c>
      <c r="J194" s="32" t="str">
        <f>'2021'!J68</f>
        <v>Cs</v>
      </c>
      <c r="K194" s="32" t="str">
        <f>'2021'!K68</f>
        <v>P</v>
      </c>
      <c r="L194" s="32" t="str">
        <f>'2021'!L68</f>
        <v>Szo</v>
      </c>
      <c r="M194" s="32" t="str">
        <f>'2021'!M68</f>
        <v>V</v>
      </c>
      <c r="N194" s="32" t="str">
        <f>'2021'!N68</f>
        <v>H</v>
      </c>
      <c r="O194" s="32" t="str">
        <f>'2021'!O68</f>
        <v>K</v>
      </c>
      <c r="P194" s="32" t="str">
        <f>'2021'!P68</f>
        <v>Sze</v>
      </c>
      <c r="Q194" s="32" t="str">
        <f>'2021'!Q68</f>
        <v>Cs</v>
      </c>
      <c r="R194" s="32" t="str">
        <f>'2021'!R68</f>
        <v>P</v>
      </c>
      <c r="S194" s="32" t="str">
        <f>'2021'!S68</f>
        <v>Szo</v>
      </c>
      <c r="T194" s="32" t="str">
        <f>'2021'!T68</f>
        <v>V</v>
      </c>
      <c r="U194" s="32" t="str">
        <f>'2021'!U68</f>
        <v>H</v>
      </c>
      <c r="V194" s="32" t="str">
        <f>'2021'!V68</f>
        <v>K</v>
      </c>
      <c r="W194" s="32" t="str">
        <f>'2021'!W68</f>
        <v>Sze</v>
      </c>
      <c r="X194" s="32" t="str">
        <f>'2021'!X68</f>
        <v>Cs</v>
      </c>
      <c r="Y194" s="32" t="str">
        <f>'2021'!Y68</f>
        <v>P</v>
      </c>
      <c r="Z194" s="32" t="str">
        <f>'2021'!Z68</f>
        <v>Szo</v>
      </c>
      <c r="AA194" s="32" t="str">
        <f>'2021'!AA68</f>
        <v>V</v>
      </c>
      <c r="AB194" s="32" t="str">
        <f>'2021'!AB68</f>
        <v>H</v>
      </c>
      <c r="AC194" s="32" t="str">
        <f>'2021'!AC68</f>
        <v>K</v>
      </c>
      <c r="AD194" s="32" t="str">
        <f>'2021'!AD68</f>
        <v>Sze</v>
      </c>
      <c r="AE194" s="32" t="str">
        <f>'2021'!AE68</f>
        <v>Cs</v>
      </c>
      <c r="AF194" s="27"/>
      <c r="AH194" s="55"/>
      <c r="AI194" s="55"/>
    </row>
    <row r="195" spans="1:35" ht="20.100000000000001" customHeight="1">
      <c r="A195" s="55"/>
      <c r="B195" s="32">
        <f>'2021'!B69</f>
        <v>2</v>
      </c>
      <c r="C195" s="32" t="str">
        <f>'2021'!C69</f>
        <v>X</v>
      </c>
      <c r="D195" s="32" t="str">
        <f>'2021'!D69</f>
        <v>X</v>
      </c>
      <c r="E195" s="32">
        <f>'2021'!E69</f>
        <v>1</v>
      </c>
      <c r="F195" s="32">
        <f>'2021'!F69</f>
        <v>1</v>
      </c>
      <c r="G195" s="32">
        <f>'2021'!G69</f>
        <v>1</v>
      </c>
      <c r="H195" s="32">
        <f>'2021'!H69</f>
        <v>1</v>
      </c>
      <c r="I195" s="32">
        <f>'2021'!I69</f>
        <v>1</v>
      </c>
      <c r="J195" s="32">
        <f>'2021'!J69</f>
        <v>1</v>
      </c>
      <c r="K195" s="32" t="str">
        <f>'2021'!K69</f>
        <v>X</v>
      </c>
      <c r="L195" s="32" t="str">
        <f>'2021'!L69</f>
        <v>X</v>
      </c>
      <c r="M195" s="32">
        <f>'2021'!M69</f>
        <v>3</v>
      </c>
      <c r="N195" s="32">
        <f>'2021'!N69</f>
        <v>3</v>
      </c>
      <c r="O195" s="32">
        <f>'2021'!O69</f>
        <v>3</v>
      </c>
      <c r="P195" s="32">
        <f>'2021'!P69</f>
        <v>3</v>
      </c>
      <c r="Q195" s="32">
        <f>'2021'!Q69</f>
        <v>3</v>
      </c>
      <c r="R195" s="32">
        <f>'2021'!R69</f>
        <v>3</v>
      </c>
      <c r="S195" s="32" t="str">
        <f>'2021'!S69</f>
        <v>X</v>
      </c>
      <c r="T195" s="32" t="str">
        <f>'2021'!T69</f>
        <v>X</v>
      </c>
      <c r="U195" s="32">
        <f>'2021'!U69</f>
        <v>2</v>
      </c>
      <c r="V195" s="32">
        <f>'2021'!V69</f>
        <v>2</v>
      </c>
      <c r="W195" s="32">
        <f>'2021'!W69</f>
        <v>2</v>
      </c>
      <c r="X195" s="32">
        <f>'2021'!X69</f>
        <v>2</v>
      </c>
      <c r="Y195" s="32">
        <f>'2021'!Y69</f>
        <v>2</v>
      </c>
      <c r="Z195" s="32">
        <f>'2021'!Z69</f>
        <v>2</v>
      </c>
      <c r="AA195" s="32" t="str">
        <f>'2021'!AA69</f>
        <v>X</v>
      </c>
      <c r="AB195" s="32" t="str">
        <f>'2021'!AB69</f>
        <v>X</v>
      </c>
      <c r="AC195" s="32">
        <f>'2021'!AC69</f>
        <v>1</v>
      </c>
      <c r="AD195" s="32">
        <f>'2021'!AD69</f>
        <v>1</v>
      </c>
      <c r="AE195" s="32">
        <f>'2021'!AE69</f>
        <v>1</v>
      </c>
      <c r="AF195" s="27"/>
      <c r="AH195" s="55"/>
      <c r="AI195" s="55"/>
    </row>
    <row r="196" spans="1:35" ht="20.100000000000001" customHeight="1">
      <c r="A196" s="24" t="str">
        <f>ÖSSZES!$A$3</f>
        <v>Csuka Lajos</v>
      </c>
      <c r="B196" s="37"/>
      <c r="C196" s="39" t="s">
        <v>2</v>
      </c>
      <c r="D196" s="39" t="s">
        <v>2</v>
      </c>
      <c r="E196" s="37"/>
      <c r="F196" s="37"/>
      <c r="G196" s="37"/>
      <c r="H196" s="37"/>
      <c r="I196" s="37"/>
      <c r="J196" s="37"/>
      <c r="K196" s="39" t="s">
        <v>2</v>
      </c>
      <c r="L196" s="39" t="s">
        <v>2</v>
      </c>
      <c r="M196" s="37"/>
      <c r="N196" s="37"/>
      <c r="O196" s="37"/>
      <c r="P196" s="37"/>
      <c r="Q196" s="37"/>
      <c r="R196" s="37"/>
      <c r="S196" s="39" t="s">
        <v>2</v>
      </c>
      <c r="T196" s="39" t="s">
        <v>2</v>
      </c>
      <c r="U196" s="37"/>
      <c r="V196" s="37"/>
      <c r="W196" s="37"/>
      <c r="X196" s="37"/>
      <c r="Y196" s="37"/>
      <c r="Z196" s="37"/>
      <c r="AA196" s="39" t="s">
        <v>2</v>
      </c>
      <c r="AB196" s="39" t="s">
        <v>2</v>
      </c>
      <c r="AC196" s="37"/>
      <c r="AD196" s="37"/>
      <c r="AE196" s="37"/>
      <c r="AF196" s="27"/>
      <c r="AH196" s="20">
        <f>1*COUNTIF(A196:AF196,"+")</f>
        <v>0</v>
      </c>
      <c r="AI196" s="20">
        <f t="shared" ref="AI196" si="24">1*COUNTIF(B196:AF196,"szf")</f>
        <v>0</v>
      </c>
    </row>
    <row r="197" spans="1:35" ht="20.100000000000001" customHeight="1">
      <c r="A197" s="24" t="str">
        <f>ÖSSZES!$A$4</f>
        <v>Batiz Attila</v>
      </c>
      <c r="B197" s="37"/>
      <c r="C197" s="39" t="s">
        <v>2</v>
      </c>
      <c r="D197" s="39" t="s">
        <v>2</v>
      </c>
      <c r="E197" s="37"/>
      <c r="F197" s="37"/>
      <c r="G197" s="37"/>
      <c r="H197" s="37"/>
      <c r="I197" s="37"/>
      <c r="J197" s="37"/>
      <c r="K197" s="39" t="s">
        <v>2</v>
      </c>
      <c r="L197" s="39" t="s">
        <v>2</v>
      </c>
      <c r="M197" s="37"/>
      <c r="N197" s="37"/>
      <c r="O197" s="37"/>
      <c r="P197" s="37"/>
      <c r="Q197" s="37"/>
      <c r="R197" s="37"/>
      <c r="S197" s="39" t="s">
        <v>2</v>
      </c>
      <c r="T197" s="39" t="s">
        <v>2</v>
      </c>
      <c r="U197" s="37"/>
      <c r="V197" s="37"/>
      <c r="W197" s="37"/>
      <c r="X197" s="37"/>
      <c r="Y197" s="37"/>
      <c r="Z197" s="37"/>
      <c r="AA197" s="39" t="s">
        <v>2</v>
      </c>
      <c r="AB197" s="39" t="s">
        <v>2</v>
      </c>
      <c r="AC197" s="37"/>
      <c r="AD197" s="37"/>
      <c r="AE197" s="37"/>
      <c r="AF197" s="27"/>
      <c r="AH197" s="20">
        <f t="shared" ref="AH197:AH215" si="25">1*COUNTIF(A197:AF197,"+")</f>
        <v>0</v>
      </c>
      <c r="AI197" s="20">
        <f t="shared" ref="AI197:AI215" si="26">1*COUNTIF(B197:AF197,"szf")</f>
        <v>0</v>
      </c>
    </row>
    <row r="198" spans="1:35" ht="20.100000000000001" customHeight="1">
      <c r="A198" s="24" t="str">
        <f>ÖSSZES!$A$5</f>
        <v>Füredi Antal</v>
      </c>
      <c r="B198" s="37"/>
      <c r="C198" s="39" t="s">
        <v>2</v>
      </c>
      <c r="D198" s="39" t="s">
        <v>2</v>
      </c>
      <c r="E198" s="37"/>
      <c r="F198" s="37"/>
      <c r="G198" s="37"/>
      <c r="H198" s="37"/>
      <c r="I198" s="37"/>
      <c r="J198" s="37"/>
      <c r="K198" s="39" t="s">
        <v>2</v>
      </c>
      <c r="L198" s="39" t="s">
        <v>2</v>
      </c>
      <c r="M198" s="37"/>
      <c r="N198" s="37"/>
      <c r="O198" s="37"/>
      <c r="P198" s="37"/>
      <c r="Q198" s="37"/>
      <c r="R198" s="37"/>
      <c r="S198" s="39" t="s">
        <v>2</v>
      </c>
      <c r="T198" s="39" t="s">
        <v>2</v>
      </c>
      <c r="U198" s="37"/>
      <c r="V198" s="37"/>
      <c r="W198" s="37"/>
      <c r="X198" s="37"/>
      <c r="Y198" s="37"/>
      <c r="Z198" s="37"/>
      <c r="AA198" s="39" t="s">
        <v>2</v>
      </c>
      <c r="AB198" s="39" t="s">
        <v>2</v>
      </c>
      <c r="AC198" s="37"/>
      <c r="AD198" s="37"/>
      <c r="AE198" s="37"/>
      <c r="AF198" s="27"/>
      <c r="AH198" s="20">
        <f t="shared" si="25"/>
        <v>0</v>
      </c>
      <c r="AI198" s="20">
        <f t="shared" si="26"/>
        <v>0</v>
      </c>
    </row>
    <row r="199" spans="1:35" ht="20.100000000000001" customHeight="1">
      <c r="A199" s="24" t="str">
        <f>ÖSSZES!$A$6</f>
        <v>Iványi István</v>
      </c>
      <c r="B199" s="37"/>
      <c r="C199" s="39" t="s">
        <v>2</v>
      </c>
      <c r="D199" s="39" t="s">
        <v>2</v>
      </c>
      <c r="E199" s="37"/>
      <c r="F199" s="37"/>
      <c r="G199" s="37"/>
      <c r="H199" s="37"/>
      <c r="I199" s="37"/>
      <c r="J199" s="37"/>
      <c r="K199" s="39" t="s">
        <v>2</v>
      </c>
      <c r="L199" s="39" t="s">
        <v>2</v>
      </c>
      <c r="M199" s="37"/>
      <c r="N199" s="37"/>
      <c r="O199" s="37"/>
      <c r="P199" s="37"/>
      <c r="Q199" s="37"/>
      <c r="R199" s="37"/>
      <c r="S199" s="39" t="s">
        <v>2</v>
      </c>
      <c r="T199" s="39" t="s">
        <v>2</v>
      </c>
      <c r="U199" s="37"/>
      <c r="V199" s="37"/>
      <c r="W199" s="37"/>
      <c r="X199" s="37"/>
      <c r="Y199" s="37"/>
      <c r="Z199" s="37"/>
      <c r="AA199" s="39" t="s">
        <v>2</v>
      </c>
      <c r="AB199" s="39" t="s">
        <v>2</v>
      </c>
      <c r="AC199" s="37"/>
      <c r="AD199" s="37"/>
      <c r="AE199" s="37"/>
      <c r="AF199" s="27"/>
      <c r="AH199" s="20">
        <f t="shared" si="25"/>
        <v>0</v>
      </c>
      <c r="AI199" s="20">
        <f t="shared" si="26"/>
        <v>0</v>
      </c>
    </row>
    <row r="200" spans="1:35" ht="20.100000000000001" customHeight="1">
      <c r="A200" s="24" t="str">
        <f>ÖSSZES!$A$7</f>
        <v>Katonka Tibor</v>
      </c>
      <c r="B200" s="37"/>
      <c r="C200" s="39" t="s">
        <v>2</v>
      </c>
      <c r="D200" s="39" t="s">
        <v>2</v>
      </c>
      <c r="E200" s="37"/>
      <c r="F200" s="37"/>
      <c r="G200" s="37"/>
      <c r="H200" s="37"/>
      <c r="I200" s="37"/>
      <c r="J200" s="37"/>
      <c r="K200" s="39" t="s">
        <v>2</v>
      </c>
      <c r="L200" s="39" t="s">
        <v>2</v>
      </c>
      <c r="M200" s="37"/>
      <c r="N200" s="37"/>
      <c r="O200" s="37"/>
      <c r="P200" s="37"/>
      <c r="Q200" s="37"/>
      <c r="R200" s="37"/>
      <c r="S200" s="39" t="s">
        <v>2</v>
      </c>
      <c r="T200" s="39" t="s">
        <v>2</v>
      </c>
      <c r="U200" s="37"/>
      <c r="V200" s="37"/>
      <c r="W200" s="37"/>
      <c r="X200" s="37"/>
      <c r="Y200" s="37"/>
      <c r="Z200" s="37"/>
      <c r="AA200" s="39" t="s">
        <v>2</v>
      </c>
      <c r="AB200" s="39" t="s">
        <v>2</v>
      </c>
      <c r="AC200" s="37"/>
      <c r="AD200" s="37"/>
      <c r="AE200" s="37"/>
      <c r="AF200" s="27"/>
      <c r="AH200" s="20">
        <f t="shared" si="25"/>
        <v>0</v>
      </c>
      <c r="AI200" s="20">
        <f t="shared" si="26"/>
        <v>0</v>
      </c>
    </row>
    <row r="201" spans="1:35" ht="20.100000000000001" customHeight="1">
      <c r="A201" s="24" t="str">
        <f>ÖSSZES!$A$8</f>
        <v>Mizsák Péter</v>
      </c>
      <c r="B201" s="37"/>
      <c r="C201" s="39" t="s">
        <v>2</v>
      </c>
      <c r="D201" s="39" t="s">
        <v>2</v>
      </c>
      <c r="E201" s="37"/>
      <c r="F201" s="37"/>
      <c r="G201" s="37"/>
      <c r="H201" s="37"/>
      <c r="I201" s="37"/>
      <c r="J201" s="37"/>
      <c r="K201" s="39" t="s">
        <v>2</v>
      </c>
      <c r="L201" s="39" t="s">
        <v>2</v>
      </c>
      <c r="M201" s="37"/>
      <c r="N201" s="37"/>
      <c r="O201" s="37"/>
      <c r="P201" s="37"/>
      <c r="Q201" s="37"/>
      <c r="R201" s="37"/>
      <c r="S201" s="39" t="s">
        <v>2</v>
      </c>
      <c r="T201" s="39" t="s">
        <v>2</v>
      </c>
      <c r="U201" s="37"/>
      <c r="V201" s="37"/>
      <c r="W201" s="37"/>
      <c r="X201" s="37"/>
      <c r="Y201" s="37"/>
      <c r="Z201" s="37"/>
      <c r="AA201" s="39" t="s">
        <v>2</v>
      </c>
      <c r="AB201" s="39" t="s">
        <v>2</v>
      </c>
      <c r="AC201" s="37"/>
      <c r="AD201" s="37"/>
      <c r="AE201" s="37"/>
      <c r="AF201" s="27"/>
      <c r="AH201" s="20">
        <f t="shared" si="25"/>
        <v>0</v>
      </c>
      <c r="AI201" s="20">
        <f t="shared" si="26"/>
        <v>0</v>
      </c>
    </row>
    <row r="202" spans="1:35" ht="20.100000000000001" customHeight="1">
      <c r="A202" s="24" t="str">
        <f>ÖSSZES!$A$9</f>
        <v>Vatamány Gergő</v>
      </c>
      <c r="B202" s="37"/>
      <c r="C202" s="39" t="s">
        <v>2</v>
      </c>
      <c r="D202" s="39" t="s">
        <v>2</v>
      </c>
      <c r="E202" s="37"/>
      <c r="F202" s="37"/>
      <c r="G202" s="37"/>
      <c r="H202" s="37"/>
      <c r="I202" s="37"/>
      <c r="J202" s="37"/>
      <c r="K202" s="39" t="s">
        <v>2</v>
      </c>
      <c r="L202" s="39" t="s">
        <v>2</v>
      </c>
      <c r="M202" s="37"/>
      <c r="N202" s="37"/>
      <c r="O202" s="37"/>
      <c r="P202" s="37"/>
      <c r="Q202" s="37"/>
      <c r="R202" s="37"/>
      <c r="S202" s="39" t="s">
        <v>2</v>
      </c>
      <c r="T202" s="39" t="s">
        <v>2</v>
      </c>
      <c r="U202" s="37"/>
      <c r="V202" s="37"/>
      <c r="W202" s="37"/>
      <c r="X202" s="37"/>
      <c r="Y202" s="37"/>
      <c r="Z202" s="37"/>
      <c r="AA202" s="39" t="s">
        <v>2</v>
      </c>
      <c r="AB202" s="39" t="s">
        <v>2</v>
      </c>
      <c r="AC202" s="37"/>
      <c r="AD202" s="37"/>
      <c r="AE202" s="37"/>
      <c r="AF202" s="27"/>
      <c r="AH202" s="20">
        <f t="shared" si="25"/>
        <v>0</v>
      </c>
      <c r="AI202" s="20">
        <f t="shared" si="26"/>
        <v>0</v>
      </c>
    </row>
    <row r="203" spans="1:35" ht="20.100000000000001" hidden="1" customHeight="1">
      <c r="A203" s="24" t="str">
        <f>ÖSSZES!$A$10</f>
        <v>Név8</v>
      </c>
      <c r="B203" s="37"/>
      <c r="C203" s="39" t="s">
        <v>2</v>
      </c>
      <c r="D203" s="39" t="s">
        <v>2</v>
      </c>
      <c r="E203" s="37"/>
      <c r="F203" s="37"/>
      <c r="G203" s="37"/>
      <c r="H203" s="37"/>
      <c r="I203" s="37"/>
      <c r="J203" s="37"/>
      <c r="K203" s="39" t="s">
        <v>2</v>
      </c>
      <c r="L203" s="39" t="s">
        <v>2</v>
      </c>
      <c r="M203" s="37"/>
      <c r="N203" s="37"/>
      <c r="O203" s="37"/>
      <c r="P203" s="37"/>
      <c r="Q203" s="37"/>
      <c r="R203" s="37"/>
      <c r="S203" s="39" t="s">
        <v>2</v>
      </c>
      <c r="T203" s="39" t="s">
        <v>2</v>
      </c>
      <c r="U203" s="37"/>
      <c r="V203" s="37"/>
      <c r="W203" s="37"/>
      <c r="X203" s="37"/>
      <c r="Y203" s="37"/>
      <c r="Z203" s="37"/>
      <c r="AA203" s="39" t="s">
        <v>2</v>
      </c>
      <c r="AB203" s="39" t="s">
        <v>2</v>
      </c>
      <c r="AC203" s="37"/>
      <c r="AD203" s="37"/>
      <c r="AE203" s="37"/>
      <c r="AF203" s="27"/>
      <c r="AH203" s="20">
        <f t="shared" si="25"/>
        <v>0</v>
      </c>
      <c r="AI203" s="20">
        <f t="shared" si="26"/>
        <v>0</v>
      </c>
    </row>
    <row r="204" spans="1:35" ht="20.100000000000001" hidden="1" customHeight="1">
      <c r="A204" s="24" t="str">
        <f>ÖSSZES!$A$11</f>
        <v>Név9</v>
      </c>
      <c r="B204" s="37"/>
      <c r="C204" s="39" t="s">
        <v>2</v>
      </c>
      <c r="D204" s="39" t="s">
        <v>2</v>
      </c>
      <c r="E204" s="37"/>
      <c r="F204" s="37"/>
      <c r="G204" s="37"/>
      <c r="H204" s="37"/>
      <c r="I204" s="37"/>
      <c r="J204" s="37"/>
      <c r="K204" s="39" t="s">
        <v>2</v>
      </c>
      <c r="L204" s="39" t="s">
        <v>2</v>
      </c>
      <c r="M204" s="37"/>
      <c r="N204" s="37"/>
      <c r="O204" s="37"/>
      <c r="P204" s="37"/>
      <c r="Q204" s="37"/>
      <c r="R204" s="37"/>
      <c r="S204" s="39" t="s">
        <v>2</v>
      </c>
      <c r="T204" s="39" t="s">
        <v>2</v>
      </c>
      <c r="U204" s="37"/>
      <c r="V204" s="37"/>
      <c r="W204" s="37"/>
      <c r="X204" s="37"/>
      <c r="Y204" s="37"/>
      <c r="Z204" s="37"/>
      <c r="AA204" s="39" t="s">
        <v>2</v>
      </c>
      <c r="AB204" s="39" t="s">
        <v>2</v>
      </c>
      <c r="AC204" s="37"/>
      <c r="AD204" s="37"/>
      <c r="AE204" s="37"/>
      <c r="AF204" s="27"/>
      <c r="AH204" s="20">
        <f t="shared" si="25"/>
        <v>0</v>
      </c>
      <c r="AI204" s="20">
        <f t="shared" si="26"/>
        <v>0</v>
      </c>
    </row>
    <row r="205" spans="1:35" ht="20.100000000000001" hidden="1" customHeight="1">
      <c r="A205" s="24" t="str">
        <f>ÖSSZES!$A$12</f>
        <v>Név10</v>
      </c>
      <c r="B205" s="37"/>
      <c r="C205" s="39" t="s">
        <v>2</v>
      </c>
      <c r="D205" s="39" t="s">
        <v>2</v>
      </c>
      <c r="E205" s="37"/>
      <c r="F205" s="37"/>
      <c r="G205" s="37"/>
      <c r="H205" s="37"/>
      <c r="I205" s="37"/>
      <c r="J205" s="37"/>
      <c r="K205" s="39" t="s">
        <v>2</v>
      </c>
      <c r="L205" s="39" t="s">
        <v>2</v>
      </c>
      <c r="M205" s="37"/>
      <c r="N205" s="37"/>
      <c r="O205" s="37"/>
      <c r="P205" s="37"/>
      <c r="Q205" s="37"/>
      <c r="R205" s="37"/>
      <c r="S205" s="39" t="s">
        <v>2</v>
      </c>
      <c r="T205" s="39" t="s">
        <v>2</v>
      </c>
      <c r="U205" s="37"/>
      <c r="V205" s="37"/>
      <c r="W205" s="37"/>
      <c r="X205" s="37"/>
      <c r="Y205" s="37"/>
      <c r="Z205" s="37"/>
      <c r="AA205" s="39" t="s">
        <v>2</v>
      </c>
      <c r="AB205" s="39" t="s">
        <v>2</v>
      </c>
      <c r="AC205" s="37"/>
      <c r="AD205" s="37"/>
      <c r="AE205" s="37"/>
      <c r="AF205" s="27"/>
      <c r="AH205" s="20">
        <f t="shared" si="25"/>
        <v>0</v>
      </c>
      <c r="AI205" s="20">
        <f t="shared" si="26"/>
        <v>0</v>
      </c>
    </row>
    <row r="206" spans="1:35" ht="20.100000000000001" hidden="1" customHeight="1">
      <c r="A206" s="24" t="str">
        <f>ÖSSZES!$A$13</f>
        <v>Név11</v>
      </c>
      <c r="B206" s="37"/>
      <c r="C206" s="39" t="s">
        <v>2</v>
      </c>
      <c r="D206" s="39" t="s">
        <v>2</v>
      </c>
      <c r="E206" s="37"/>
      <c r="F206" s="37"/>
      <c r="G206" s="37"/>
      <c r="H206" s="37"/>
      <c r="I206" s="37"/>
      <c r="J206" s="37"/>
      <c r="K206" s="39" t="s">
        <v>2</v>
      </c>
      <c r="L206" s="39" t="s">
        <v>2</v>
      </c>
      <c r="M206" s="37"/>
      <c r="N206" s="37"/>
      <c r="O206" s="37"/>
      <c r="P206" s="37"/>
      <c r="Q206" s="37"/>
      <c r="R206" s="37"/>
      <c r="S206" s="39" t="s">
        <v>2</v>
      </c>
      <c r="T206" s="39" t="s">
        <v>2</v>
      </c>
      <c r="U206" s="37"/>
      <c r="V206" s="37"/>
      <c r="W206" s="37"/>
      <c r="X206" s="37"/>
      <c r="Y206" s="37"/>
      <c r="Z206" s="37"/>
      <c r="AA206" s="39" t="s">
        <v>2</v>
      </c>
      <c r="AB206" s="39" t="s">
        <v>2</v>
      </c>
      <c r="AC206" s="37"/>
      <c r="AD206" s="37"/>
      <c r="AE206" s="37"/>
      <c r="AF206" s="27"/>
      <c r="AH206" s="20">
        <f t="shared" si="25"/>
        <v>0</v>
      </c>
      <c r="AI206" s="20">
        <f t="shared" si="26"/>
        <v>0</v>
      </c>
    </row>
    <row r="207" spans="1:35" ht="20.100000000000001" hidden="1" customHeight="1">
      <c r="A207" s="24" t="str">
        <f>ÖSSZES!$A$14</f>
        <v>Név12</v>
      </c>
      <c r="B207" s="37"/>
      <c r="C207" s="39" t="s">
        <v>2</v>
      </c>
      <c r="D207" s="39" t="s">
        <v>2</v>
      </c>
      <c r="E207" s="37"/>
      <c r="F207" s="37"/>
      <c r="G207" s="37"/>
      <c r="H207" s="37"/>
      <c r="I207" s="37"/>
      <c r="J207" s="37"/>
      <c r="K207" s="39" t="s">
        <v>2</v>
      </c>
      <c r="L207" s="39" t="s">
        <v>2</v>
      </c>
      <c r="M207" s="37"/>
      <c r="N207" s="37"/>
      <c r="O207" s="37"/>
      <c r="P207" s="37"/>
      <c r="Q207" s="37"/>
      <c r="R207" s="37"/>
      <c r="S207" s="39" t="s">
        <v>2</v>
      </c>
      <c r="T207" s="39" t="s">
        <v>2</v>
      </c>
      <c r="U207" s="37"/>
      <c r="V207" s="37"/>
      <c r="W207" s="37"/>
      <c r="X207" s="37"/>
      <c r="Y207" s="37"/>
      <c r="Z207" s="37"/>
      <c r="AA207" s="39" t="s">
        <v>2</v>
      </c>
      <c r="AB207" s="39" t="s">
        <v>2</v>
      </c>
      <c r="AC207" s="37"/>
      <c r="AD207" s="37"/>
      <c r="AE207" s="37"/>
      <c r="AF207" s="27"/>
      <c r="AH207" s="20">
        <f t="shared" si="25"/>
        <v>0</v>
      </c>
      <c r="AI207" s="20">
        <f t="shared" si="26"/>
        <v>0</v>
      </c>
    </row>
    <row r="208" spans="1:35" ht="20.100000000000001" hidden="1" customHeight="1">
      <c r="A208" s="24" t="str">
        <f>ÖSSZES!$A$15</f>
        <v>Név13</v>
      </c>
      <c r="B208" s="37"/>
      <c r="C208" s="39" t="s">
        <v>2</v>
      </c>
      <c r="D208" s="39" t="s">
        <v>2</v>
      </c>
      <c r="E208" s="37"/>
      <c r="F208" s="37"/>
      <c r="G208" s="37"/>
      <c r="H208" s="37"/>
      <c r="I208" s="37"/>
      <c r="J208" s="37"/>
      <c r="K208" s="39" t="s">
        <v>2</v>
      </c>
      <c r="L208" s="39" t="s">
        <v>2</v>
      </c>
      <c r="M208" s="37"/>
      <c r="N208" s="37"/>
      <c r="O208" s="37"/>
      <c r="P208" s="37"/>
      <c r="Q208" s="37"/>
      <c r="R208" s="37"/>
      <c r="S208" s="39" t="s">
        <v>2</v>
      </c>
      <c r="T208" s="39" t="s">
        <v>2</v>
      </c>
      <c r="U208" s="37"/>
      <c r="V208" s="37"/>
      <c r="W208" s="37"/>
      <c r="X208" s="37"/>
      <c r="Y208" s="37"/>
      <c r="Z208" s="37"/>
      <c r="AA208" s="39" t="s">
        <v>2</v>
      </c>
      <c r="AB208" s="39" t="s">
        <v>2</v>
      </c>
      <c r="AC208" s="37"/>
      <c r="AD208" s="37"/>
      <c r="AE208" s="37"/>
      <c r="AF208" s="27"/>
      <c r="AH208" s="20">
        <f t="shared" si="25"/>
        <v>0</v>
      </c>
      <c r="AI208" s="20">
        <f t="shared" si="26"/>
        <v>0</v>
      </c>
    </row>
    <row r="209" spans="1:35" ht="20.100000000000001" hidden="1" customHeight="1">
      <c r="A209" s="24" t="str">
        <f>ÖSSZES!$A$16</f>
        <v>Név14</v>
      </c>
      <c r="B209" s="37"/>
      <c r="C209" s="39" t="s">
        <v>2</v>
      </c>
      <c r="D209" s="39" t="s">
        <v>2</v>
      </c>
      <c r="E209" s="37"/>
      <c r="F209" s="37"/>
      <c r="G209" s="37"/>
      <c r="H209" s="37"/>
      <c r="I209" s="37"/>
      <c r="J209" s="37"/>
      <c r="K209" s="39" t="s">
        <v>2</v>
      </c>
      <c r="L209" s="39" t="s">
        <v>2</v>
      </c>
      <c r="M209" s="37"/>
      <c r="N209" s="37"/>
      <c r="O209" s="37"/>
      <c r="P209" s="37"/>
      <c r="Q209" s="37"/>
      <c r="R209" s="37"/>
      <c r="S209" s="39" t="s">
        <v>2</v>
      </c>
      <c r="T209" s="39" t="s">
        <v>2</v>
      </c>
      <c r="U209" s="37"/>
      <c r="V209" s="37"/>
      <c r="W209" s="37"/>
      <c r="X209" s="37"/>
      <c r="Y209" s="37"/>
      <c r="Z209" s="37"/>
      <c r="AA209" s="39" t="s">
        <v>2</v>
      </c>
      <c r="AB209" s="39" t="s">
        <v>2</v>
      </c>
      <c r="AC209" s="37"/>
      <c r="AD209" s="37"/>
      <c r="AE209" s="37"/>
      <c r="AF209" s="27"/>
      <c r="AH209" s="20">
        <f t="shared" si="25"/>
        <v>0</v>
      </c>
      <c r="AI209" s="20">
        <f t="shared" si="26"/>
        <v>0</v>
      </c>
    </row>
    <row r="210" spans="1:35" ht="20.100000000000001" hidden="1" customHeight="1">
      <c r="A210" s="24" t="str">
        <f>ÖSSZES!$A$17</f>
        <v>Név15</v>
      </c>
      <c r="B210" s="37"/>
      <c r="C210" s="39" t="s">
        <v>2</v>
      </c>
      <c r="D210" s="39" t="s">
        <v>2</v>
      </c>
      <c r="E210" s="37"/>
      <c r="F210" s="37"/>
      <c r="G210" s="37"/>
      <c r="H210" s="37"/>
      <c r="I210" s="37"/>
      <c r="J210" s="37"/>
      <c r="K210" s="39" t="s">
        <v>2</v>
      </c>
      <c r="L210" s="39" t="s">
        <v>2</v>
      </c>
      <c r="M210" s="37"/>
      <c r="N210" s="37"/>
      <c r="O210" s="37"/>
      <c r="P210" s="37"/>
      <c r="Q210" s="37"/>
      <c r="R210" s="37"/>
      <c r="S210" s="39" t="s">
        <v>2</v>
      </c>
      <c r="T210" s="39" t="s">
        <v>2</v>
      </c>
      <c r="U210" s="37"/>
      <c r="V210" s="37"/>
      <c r="W210" s="37"/>
      <c r="X210" s="37"/>
      <c r="Y210" s="37"/>
      <c r="Z210" s="37"/>
      <c r="AA210" s="39" t="s">
        <v>2</v>
      </c>
      <c r="AB210" s="39" t="s">
        <v>2</v>
      </c>
      <c r="AC210" s="37"/>
      <c r="AD210" s="37"/>
      <c r="AE210" s="37"/>
      <c r="AF210" s="27"/>
      <c r="AH210" s="20">
        <f t="shared" si="25"/>
        <v>0</v>
      </c>
      <c r="AI210" s="20">
        <f t="shared" si="26"/>
        <v>0</v>
      </c>
    </row>
    <row r="211" spans="1:35" ht="20.100000000000001" hidden="1" customHeight="1">
      <c r="A211" s="24" t="str">
        <f>ÖSSZES!$A$18</f>
        <v>Név16</v>
      </c>
      <c r="B211" s="37"/>
      <c r="C211" s="39" t="s">
        <v>2</v>
      </c>
      <c r="D211" s="39" t="s">
        <v>2</v>
      </c>
      <c r="E211" s="37"/>
      <c r="F211" s="37"/>
      <c r="G211" s="37"/>
      <c r="H211" s="37"/>
      <c r="I211" s="37"/>
      <c r="J211" s="37"/>
      <c r="K211" s="39" t="s">
        <v>2</v>
      </c>
      <c r="L211" s="39" t="s">
        <v>2</v>
      </c>
      <c r="M211" s="37"/>
      <c r="N211" s="37"/>
      <c r="O211" s="37"/>
      <c r="P211" s="37"/>
      <c r="Q211" s="37"/>
      <c r="R211" s="37"/>
      <c r="S211" s="39" t="s">
        <v>2</v>
      </c>
      <c r="T211" s="39" t="s">
        <v>2</v>
      </c>
      <c r="U211" s="37"/>
      <c r="V211" s="37"/>
      <c r="W211" s="37"/>
      <c r="X211" s="37"/>
      <c r="Y211" s="37"/>
      <c r="Z211" s="37"/>
      <c r="AA211" s="39" t="s">
        <v>2</v>
      </c>
      <c r="AB211" s="39" t="s">
        <v>2</v>
      </c>
      <c r="AC211" s="37"/>
      <c r="AD211" s="37"/>
      <c r="AE211" s="37"/>
      <c r="AF211" s="27"/>
      <c r="AH211" s="20">
        <f t="shared" si="25"/>
        <v>0</v>
      </c>
      <c r="AI211" s="20">
        <f t="shared" si="26"/>
        <v>0</v>
      </c>
    </row>
    <row r="212" spans="1:35" ht="20.100000000000001" hidden="1" customHeight="1">
      <c r="A212" s="24" t="str">
        <f>ÖSSZES!$A$19</f>
        <v>Név17</v>
      </c>
      <c r="B212" s="37"/>
      <c r="C212" s="39" t="s">
        <v>2</v>
      </c>
      <c r="D212" s="39" t="s">
        <v>2</v>
      </c>
      <c r="E212" s="37"/>
      <c r="F212" s="37"/>
      <c r="G212" s="37"/>
      <c r="H212" s="37"/>
      <c r="I212" s="37"/>
      <c r="J212" s="37"/>
      <c r="K212" s="39" t="s">
        <v>2</v>
      </c>
      <c r="L212" s="39" t="s">
        <v>2</v>
      </c>
      <c r="M212" s="37"/>
      <c r="N212" s="37"/>
      <c r="O212" s="37"/>
      <c r="P212" s="37"/>
      <c r="Q212" s="37"/>
      <c r="R212" s="37"/>
      <c r="S212" s="39" t="s">
        <v>2</v>
      </c>
      <c r="T212" s="39" t="s">
        <v>2</v>
      </c>
      <c r="U212" s="37"/>
      <c r="V212" s="37"/>
      <c r="W212" s="37"/>
      <c r="X212" s="37"/>
      <c r="Y212" s="37"/>
      <c r="Z212" s="37"/>
      <c r="AA212" s="39" t="s">
        <v>2</v>
      </c>
      <c r="AB212" s="39" t="s">
        <v>2</v>
      </c>
      <c r="AC212" s="37"/>
      <c r="AD212" s="37"/>
      <c r="AE212" s="37"/>
      <c r="AF212" s="27"/>
      <c r="AH212" s="20">
        <f t="shared" si="25"/>
        <v>0</v>
      </c>
      <c r="AI212" s="20">
        <f t="shared" si="26"/>
        <v>0</v>
      </c>
    </row>
    <row r="213" spans="1:35" ht="20.100000000000001" hidden="1" customHeight="1">
      <c r="A213" s="24" t="str">
        <f>ÖSSZES!$A$20</f>
        <v>Név18</v>
      </c>
      <c r="B213" s="37"/>
      <c r="C213" s="39" t="s">
        <v>2</v>
      </c>
      <c r="D213" s="39" t="s">
        <v>2</v>
      </c>
      <c r="E213" s="37"/>
      <c r="F213" s="37"/>
      <c r="G213" s="37"/>
      <c r="H213" s="37"/>
      <c r="I213" s="37"/>
      <c r="J213" s="37"/>
      <c r="K213" s="39" t="s">
        <v>2</v>
      </c>
      <c r="L213" s="39" t="s">
        <v>2</v>
      </c>
      <c r="M213" s="37"/>
      <c r="N213" s="37"/>
      <c r="O213" s="37"/>
      <c r="P213" s="37"/>
      <c r="Q213" s="37"/>
      <c r="R213" s="37"/>
      <c r="S213" s="39" t="s">
        <v>2</v>
      </c>
      <c r="T213" s="39" t="s">
        <v>2</v>
      </c>
      <c r="U213" s="37"/>
      <c r="V213" s="37"/>
      <c r="W213" s="37"/>
      <c r="X213" s="37"/>
      <c r="Y213" s="37"/>
      <c r="Z213" s="37"/>
      <c r="AA213" s="39" t="s">
        <v>2</v>
      </c>
      <c r="AB213" s="39" t="s">
        <v>2</v>
      </c>
      <c r="AC213" s="37"/>
      <c r="AD213" s="37"/>
      <c r="AE213" s="37"/>
      <c r="AF213" s="27"/>
      <c r="AH213" s="20">
        <f t="shared" si="25"/>
        <v>0</v>
      </c>
      <c r="AI213" s="20">
        <f t="shared" si="26"/>
        <v>0</v>
      </c>
    </row>
    <row r="214" spans="1:35" ht="20.100000000000001" hidden="1" customHeight="1">
      <c r="A214" s="24" t="str">
        <f>ÖSSZES!$A$21</f>
        <v>Név19</v>
      </c>
      <c r="B214" s="37"/>
      <c r="C214" s="39" t="s">
        <v>2</v>
      </c>
      <c r="D214" s="39" t="s">
        <v>2</v>
      </c>
      <c r="E214" s="37"/>
      <c r="F214" s="37"/>
      <c r="G214" s="37"/>
      <c r="H214" s="37"/>
      <c r="I214" s="37"/>
      <c r="J214" s="37"/>
      <c r="K214" s="39" t="s">
        <v>2</v>
      </c>
      <c r="L214" s="39" t="s">
        <v>2</v>
      </c>
      <c r="M214" s="37"/>
      <c r="N214" s="37"/>
      <c r="O214" s="37"/>
      <c r="P214" s="37"/>
      <c r="Q214" s="37"/>
      <c r="R214" s="37"/>
      <c r="S214" s="39" t="s">
        <v>2</v>
      </c>
      <c r="T214" s="39" t="s">
        <v>2</v>
      </c>
      <c r="U214" s="37"/>
      <c r="V214" s="37"/>
      <c r="W214" s="37"/>
      <c r="X214" s="37"/>
      <c r="Y214" s="37"/>
      <c r="Z214" s="37"/>
      <c r="AA214" s="39" t="s">
        <v>2</v>
      </c>
      <c r="AB214" s="39" t="s">
        <v>2</v>
      </c>
      <c r="AC214" s="37"/>
      <c r="AD214" s="37"/>
      <c r="AE214" s="37"/>
      <c r="AF214" s="27"/>
      <c r="AH214" s="20">
        <f t="shared" si="25"/>
        <v>0</v>
      </c>
      <c r="AI214" s="20">
        <f t="shared" si="26"/>
        <v>0</v>
      </c>
    </row>
    <row r="215" spans="1:35" ht="20.100000000000001" hidden="1" customHeight="1">
      <c r="A215" s="24" t="str">
        <f>ÖSSZES!$A$17</f>
        <v>Név15</v>
      </c>
      <c r="B215" s="37"/>
      <c r="C215" s="39" t="s">
        <v>2</v>
      </c>
      <c r="D215" s="39" t="s">
        <v>2</v>
      </c>
      <c r="E215" s="37"/>
      <c r="F215" s="37"/>
      <c r="G215" s="37"/>
      <c r="H215" s="37"/>
      <c r="I215" s="37"/>
      <c r="J215" s="37"/>
      <c r="K215" s="39" t="s">
        <v>2</v>
      </c>
      <c r="L215" s="39" t="s">
        <v>2</v>
      </c>
      <c r="M215" s="37"/>
      <c r="N215" s="37"/>
      <c r="O215" s="37"/>
      <c r="P215" s="37"/>
      <c r="Q215" s="37"/>
      <c r="R215" s="37"/>
      <c r="S215" s="39" t="s">
        <v>2</v>
      </c>
      <c r="T215" s="39" t="s">
        <v>2</v>
      </c>
      <c r="U215" s="37"/>
      <c r="V215" s="37"/>
      <c r="W215" s="37"/>
      <c r="X215" s="37"/>
      <c r="Y215" s="37"/>
      <c r="Z215" s="37"/>
      <c r="AA215" s="39" t="s">
        <v>2</v>
      </c>
      <c r="AB215" s="39" t="s">
        <v>2</v>
      </c>
      <c r="AC215" s="37"/>
      <c r="AD215" s="37"/>
      <c r="AE215" s="37"/>
      <c r="AF215" s="27"/>
      <c r="AH215" s="20">
        <f t="shared" si="25"/>
        <v>0</v>
      </c>
      <c r="AI215" s="20">
        <f t="shared" si="26"/>
        <v>0</v>
      </c>
    </row>
    <row r="216" spans="1:35" ht="20.100000000000001" customHeight="1">
      <c r="A216" s="28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28"/>
    </row>
    <row r="217" spans="1:35" s="31" customFormat="1" ht="20.100000000000001" customHeight="1">
      <c r="A217" s="54" t="s">
        <v>14</v>
      </c>
      <c r="B217" s="30">
        <v>1</v>
      </c>
      <c r="C217" s="30">
        <v>2</v>
      </c>
      <c r="D217" s="30">
        <v>3</v>
      </c>
      <c r="E217" s="30">
        <v>4</v>
      </c>
      <c r="F217" s="30">
        <v>5</v>
      </c>
      <c r="G217" s="30">
        <v>6</v>
      </c>
      <c r="H217" s="30">
        <v>7</v>
      </c>
      <c r="I217" s="30">
        <v>8</v>
      </c>
      <c r="J217" s="30">
        <v>9</v>
      </c>
      <c r="K217" s="30">
        <v>10</v>
      </c>
      <c r="L217" s="30">
        <v>11</v>
      </c>
      <c r="M217" s="30">
        <v>12</v>
      </c>
      <c r="N217" s="30">
        <v>13</v>
      </c>
      <c r="O217" s="30">
        <v>14</v>
      </c>
      <c r="P217" s="30">
        <v>15</v>
      </c>
      <c r="Q217" s="30">
        <v>16</v>
      </c>
      <c r="R217" s="30">
        <v>17</v>
      </c>
      <c r="S217" s="30">
        <v>18</v>
      </c>
      <c r="T217" s="30">
        <v>19</v>
      </c>
      <c r="U217" s="30">
        <v>20</v>
      </c>
      <c r="V217" s="30">
        <v>21</v>
      </c>
      <c r="W217" s="30">
        <v>22</v>
      </c>
      <c r="X217" s="29">
        <v>23</v>
      </c>
      <c r="Y217" s="30">
        <v>24</v>
      </c>
      <c r="Z217" s="30">
        <v>25</v>
      </c>
      <c r="AA217" s="30">
        <v>26</v>
      </c>
      <c r="AB217" s="30">
        <v>27</v>
      </c>
      <c r="AC217" s="30">
        <v>28</v>
      </c>
      <c r="AD217" s="30">
        <v>29</v>
      </c>
      <c r="AE217" s="30">
        <v>30</v>
      </c>
      <c r="AF217" s="30">
        <v>31</v>
      </c>
      <c r="AH217" s="54" t="s">
        <v>18</v>
      </c>
      <c r="AI217" s="54" t="s">
        <v>19</v>
      </c>
    </row>
    <row r="218" spans="1:35" ht="20.100000000000001" customHeight="1">
      <c r="A218" s="56"/>
      <c r="B218" s="32" t="str">
        <f>'2021'!B76</f>
        <v>P</v>
      </c>
      <c r="C218" s="32" t="str">
        <f>'2021'!C76</f>
        <v>Szo</v>
      </c>
      <c r="D218" s="32" t="str">
        <f>'2021'!D76</f>
        <v>V</v>
      </c>
      <c r="E218" s="32" t="str">
        <f>'2021'!E76</f>
        <v>H</v>
      </c>
      <c r="F218" s="32" t="str">
        <f>'2021'!F76</f>
        <v>K</v>
      </c>
      <c r="G218" s="32" t="str">
        <f>'2021'!G76</f>
        <v>Sze</v>
      </c>
      <c r="H218" s="32" t="str">
        <f>'2021'!H76</f>
        <v>Cs</v>
      </c>
      <c r="I218" s="32" t="str">
        <f>'2021'!I76</f>
        <v>P</v>
      </c>
      <c r="J218" s="32" t="str">
        <f>'2021'!J76</f>
        <v>Szo</v>
      </c>
      <c r="K218" s="32" t="str">
        <f>'2021'!K76</f>
        <v>V</v>
      </c>
      <c r="L218" s="32" t="str">
        <f>'2021'!L76</f>
        <v>H</v>
      </c>
      <c r="M218" s="32" t="str">
        <f>'2021'!M76</f>
        <v>K</v>
      </c>
      <c r="N218" s="32" t="str">
        <f>'2021'!N76</f>
        <v>Sze</v>
      </c>
      <c r="O218" s="32" t="str">
        <f>'2021'!O76</f>
        <v>Cs</v>
      </c>
      <c r="P218" s="32" t="str">
        <f>'2021'!P76</f>
        <v>P</v>
      </c>
      <c r="Q218" s="32" t="str">
        <f>'2021'!Q76</f>
        <v>Szo</v>
      </c>
      <c r="R218" s="32" t="str">
        <f>'2021'!R76</f>
        <v>V</v>
      </c>
      <c r="S218" s="32" t="str">
        <f>'2021'!S76</f>
        <v>H</v>
      </c>
      <c r="T218" s="32" t="str">
        <f>'2021'!T76</f>
        <v>K</v>
      </c>
      <c r="U218" s="32" t="str">
        <f>'2021'!U76</f>
        <v>Sze</v>
      </c>
      <c r="V218" s="32" t="str">
        <f>'2021'!V76</f>
        <v>Cs</v>
      </c>
      <c r="W218" s="32" t="str">
        <f>'2021'!W76</f>
        <v>P</v>
      </c>
      <c r="X218" s="32" t="str">
        <f>'2021'!X76</f>
        <v>Szo</v>
      </c>
      <c r="Y218" s="32" t="str">
        <f>'2021'!Y76</f>
        <v>V</v>
      </c>
      <c r="Z218" s="32" t="str">
        <f>'2021'!Z76</f>
        <v>H</v>
      </c>
      <c r="AA218" s="32" t="str">
        <f>'2021'!AA76</f>
        <v>K</v>
      </c>
      <c r="AB218" s="32" t="str">
        <f>'2021'!AB76</f>
        <v>Sze</v>
      </c>
      <c r="AC218" s="32" t="str">
        <f>'2021'!AC76</f>
        <v>Cs</v>
      </c>
      <c r="AD218" s="32" t="str">
        <f>'2021'!AD76</f>
        <v>P</v>
      </c>
      <c r="AE218" s="32" t="str">
        <f>'2021'!AE76</f>
        <v>Szo</v>
      </c>
      <c r="AF218" s="32" t="str">
        <f>'2021'!AF76</f>
        <v>V</v>
      </c>
      <c r="AH218" s="55"/>
      <c r="AI218" s="55"/>
    </row>
    <row r="219" spans="1:35" ht="20.100000000000001" customHeight="1">
      <c r="A219" s="55"/>
      <c r="B219" s="32">
        <f>'2021'!B77</f>
        <v>1</v>
      </c>
      <c r="C219" s="32">
        <f>'2021'!C77</f>
        <v>1</v>
      </c>
      <c r="D219" s="32">
        <f>'2021'!D77</f>
        <v>1</v>
      </c>
      <c r="E219" s="32" t="str">
        <f>'2021'!E77</f>
        <v>X</v>
      </c>
      <c r="F219" s="32" t="str">
        <f>'2021'!F77</f>
        <v>X</v>
      </c>
      <c r="G219" s="32">
        <f>'2021'!G77</f>
        <v>3</v>
      </c>
      <c r="H219" s="32">
        <f>'2021'!H77</f>
        <v>3</v>
      </c>
      <c r="I219" s="32">
        <f>'2021'!I77</f>
        <v>3</v>
      </c>
      <c r="J219" s="32">
        <f>'2021'!J77</f>
        <v>3</v>
      </c>
      <c r="K219" s="32">
        <f>'2021'!K77</f>
        <v>3</v>
      </c>
      <c r="L219" s="32">
        <f>'2021'!L77</f>
        <v>3</v>
      </c>
      <c r="M219" s="32" t="str">
        <f>'2021'!M77</f>
        <v>X</v>
      </c>
      <c r="N219" s="32" t="str">
        <f>'2021'!N77</f>
        <v>X</v>
      </c>
      <c r="O219" s="32">
        <f>'2021'!O77</f>
        <v>2</v>
      </c>
      <c r="P219" s="32">
        <f>'2021'!P77</f>
        <v>2</v>
      </c>
      <c r="Q219" s="32">
        <f>'2021'!Q77</f>
        <v>2</v>
      </c>
      <c r="R219" s="32">
        <f>'2021'!R77</f>
        <v>2</v>
      </c>
      <c r="S219" s="32">
        <f>'2021'!S77</f>
        <v>2</v>
      </c>
      <c r="T219" s="32">
        <f>'2021'!T77</f>
        <v>2</v>
      </c>
      <c r="U219" s="32" t="str">
        <f>'2021'!U77</f>
        <v>X</v>
      </c>
      <c r="V219" s="32" t="str">
        <f>'2021'!V77</f>
        <v>X</v>
      </c>
      <c r="W219" s="32">
        <f>'2021'!W77</f>
        <v>1</v>
      </c>
      <c r="X219" s="32">
        <f>'2021'!X77</f>
        <v>1</v>
      </c>
      <c r="Y219" s="32">
        <f>'2021'!Y77</f>
        <v>1</v>
      </c>
      <c r="Z219" s="32">
        <f>'2021'!Z77</f>
        <v>1</v>
      </c>
      <c r="AA219" s="32">
        <f>'2021'!AA77</f>
        <v>1</v>
      </c>
      <c r="AB219" s="32">
        <f>'2021'!AB77</f>
        <v>1</v>
      </c>
      <c r="AC219" s="32" t="str">
        <f>'2021'!AC77</f>
        <v>X</v>
      </c>
      <c r="AD219" s="32" t="str">
        <f>'2021'!AD77</f>
        <v>X</v>
      </c>
      <c r="AE219" s="32">
        <f>'2021'!AE77</f>
        <v>3</v>
      </c>
      <c r="AF219" s="32">
        <f>'2021'!AF77</f>
        <v>3</v>
      </c>
      <c r="AH219" s="55"/>
      <c r="AI219" s="55"/>
    </row>
    <row r="220" spans="1:35" ht="20.100000000000001" customHeight="1">
      <c r="A220" s="24" t="str">
        <f>ÖSSZES!$A$3</f>
        <v>Csuka Lajos</v>
      </c>
      <c r="B220" s="39"/>
      <c r="C220" s="39"/>
      <c r="D220" s="39"/>
      <c r="E220" s="39" t="s">
        <v>2</v>
      </c>
      <c r="F220" s="39" t="s">
        <v>2</v>
      </c>
      <c r="G220" s="39"/>
      <c r="H220" s="39"/>
      <c r="I220" s="39"/>
      <c r="J220" s="39"/>
      <c r="K220" s="39"/>
      <c r="L220" s="39"/>
      <c r="M220" s="39" t="s">
        <v>2</v>
      </c>
      <c r="N220" s="39" t="s">
        <v>2</v>
      </c>
      <c r="O220" s="39"/>
      <c r="P220" s="39"/>
      <c r="Q220" s="39"/>
      <c r="R220" s="39"/>
      <c r="S220" s="39"/>
      <c r="T220" s="39"/>
      <c r="U220" s="39" t="s">
        <v>2</v>
      </c>
      <c r="V220" s="39" t="s">
        <v>2</v>
      </c>
      <c r="W220" s="39"/>
      <c r="X220" s="39"/>
      <c r="Y220" s="39"/>
      <c r="Z220" s="39"/>
      <c r="AA220" s="39"/>
      <c r="AB220" s="39"/>
      <c r="AC220" s="39" t="s">
        <v>2</v>
      </c>
      <c r="AD220" s="39" t="s">
        <v>2</v>
      </c>
      <c r="AE220" s="39"/>
      <c r="AF220" s="39"/>
      <c r="AH220" s="20">
        <f>1*COUNTIF(A220:AF220,"+")</f>
        <v>0</v>
      </c>
      <c r="AI220" s="20">
        <f t="shared" ref="AI220" si="27">1*COUNTIF(B220:AF220,"szf")</f>
        <v>0</v>
      </c>
    </row>
    <row r="221" spans="1:35" ht="20.100000000000001" customHeight="1">
      <c r="A221" s="24" t="str">
        <f>ÖSSZES!$A$4</f>
        <v>Batiz Attila</v>
      </c>
      <c r="B221" s="39"/>
      <c r="C221" s="39"/>
      <c r="D221" s="39"/>
      <c r="E221" s="39" t="s">
        <v>2</v>
      </c>
      <c r="F221" s="39" t="s">
        <v>2</v>
      </c>
      <c r="G221" s="39"/>
      <c r="H221" s="39"/>
      <c r="I221" s="39"/>
      <c r="J221" s="39"/>
      <c r="K221" s="39"/>
      <c r="L221" s="39"/>
      <c r="M221" s="39" t="s">
        <v>2</v>
      </c>
      <c r="N221" s="39" t="s">
        <v>2</v>
      </c>
      <c r="O221" s="39"/>
      <c r="P221" s="39"/>
      <c r="Q221" s="39"/>
      <c r="R221" s="39"/>
      <c r="S221" s="39"/>
      <c r="T221" s="39"/>
      <c r="U221" s="39" t="s">
        <v>2</v>
      </c>
      <c r="V221" s="39" t="s">
        <v>2</v>
      </c>
      <c r="W221" s="39"/>
      <c r="X221" s="39"/>
      <c r="Y221" s="39"/>
      <c r="Z221" s="39"/>
      <c r="AA221" s="39"/>
      <c r="AB221" s="39"/>
      <c r="AC221" s="39" t="s">
        <v>2</v>
      </c>
      <c r="AD221" s="39" t="s">
        <v>2</v>
      </c>
      <c r="AE221" s="39"/>
      <c r="AF221" s="39"/>
      <c r="AH221" s="20">
        <f t="shared" ref="AH221:AH239" si="28">1*COUNTIF(A221:AF221,"+")</f>
        <v>0</v>
      </c>
      <c r="AI221" s="20">
        <f t="shared" ref="AI221:AI239" si="29">1*COUNTIF(B221:AF221,"szf")</f>
        <v>0</v>
      </c>
    </row>
    <row r="222" spans="1:35" ht="20.100000000000001" customHeight="1">
      <c r="A222" s="24" t="str">
        <f>ÖSSZES!$A$5</f>
        <v>Füredi Antal</v>
      </c>
      <c r="B222" s="39"/>
      <c r="C222" s="39"/>
      <c r="D222" s="39"/>
      <c r="E222" s="39" t="s">
        <v>2</v>
      </c>
      <c r="F222" s="39" t="s">
        <v>2</v>
      </c>
      <c r="G222" s="39"/>
      <c r="H222" s="39"/>
      <c r="I222" s="39"/>
      <c r="J222" s="39"/>
      <c r="K222" s="39"/>
      <c r="L222" s="39"/>
      <c r="M222" s="39" t="s">
        <v>2</v>
      </c>
      <c r="N222" s="39" t="s">
        <v>2</v>
      </c>
      <c r="O222" s="39"/>
      <c r="P222" s="39"/>
      <c r="Q222" s="39"/>
      <c r="R222" s="39"/>
      <c r="S222" s="39"/>
      <c r="T222" s="39"/>
      <c r="U222" s="39" t="s">
        <v>2</v>
      </c>
      <c r="V222" s="39" t="s">
        <v>2</v>
      </c>
      <c r="W222" s="39"/>
      <c r="X222" s="39"/>
      <c r="Y222" s="39"/>
      <c r="Z222" s="39"/>
      <c r="AA222" s="39"/>
      <c r="AB222" s="39"/>
      <c r="AC222" s="39" t="s">
        <v>2</v>
      </c>
      <c r="AD222" s="39" t="s">
        <v>2</v>
      </c>
      <c r="AE222" s="39"/>
      <c r="AF222" s="39"/>
      <c r="AH222" s="20">
        <f t="shared" si="28"/>
        <v>0</v>
      </c>
      <c r="AI222" s="20">
        <f t="shared" si="29"/>
        <v>0</v>
      </c>
    </row>
    <row r="223" spans="1:35" ht="20.100000000000001" customHeight="1">
      <c r="A223" s="24" t="str">
        <f>ÖSSZES!$A$6</f>
        <v>Iványi István</v>
      </c>
      <c r="B223" s="39"/>
      <c r="C223" s="39"/>
      <c r="D223" s="39"/>
      <c r="E223" s="39" t="s">
        <v>2</v>
      </c>
      <c r="F223" s="39" t="s">
        <v>2</v>
      </c>
      <c r="G223" s="39"/>
      <c r="H223" s="39"/>
      <c r="I223" s="39"/>
      <c r="J223" s="39"/>
      <c r="K223" s="39"/>
      <c r="L223" s="39"/>
      <c r="M223" s="39" t="s">
        <v>2</v>
      </c>
      <c r="N223" s="39" t="s">
        <v>2</v>
      </c>
      <c r="O223" s="39"/>
      <c r="P223" s="39"/>
      <c r="Q223" s="39"/>
      <c r="R223" s="39"/>
      <c r="S223" s="39"/>
      <c r="T223" s="39"/>
      <c r="U223" s="39" t="s">
        <v>2</v>
      </c>
      <c r="V223" s="39" t="s">
        <v>2</v>
      </c>
      <c r="W223" s="39"/>
      <c r="X223" s="39"/>
      <c r="Y223" s="39"/>
      <c r="Z223" s="39"/>
      <c r="AA223" s="39"/>
      <c r="AB223" s="39"/>
      <c r="AC223" s="39" t="s">
        <v>2</v>
      </c>
      <c r="AD223" s="39" t="s">
        <v>2</v>
      </c>
      <c r="AE223" s="39"/>
      <c r="AF223" s="39"/>
      <c r="AH223" s="20">
        <f t="shared" si="28"/>
        <v>0</v>
      </c>
      <c r="AI223" s="20">
        <f t="shared" si="29"/>
        <v>0</v>
      </c>
    </row>
    <row r="224" spans="1:35" ht="20.100000000000001" customHeight="1">
      <c r="A224" s="24" t="str">
        <f>ÖSSZES!$A$7</f>
        <v>Katonka Tibor</v>
      </c>
      <c r="B224" s="39"/>
      <c r="C224" s="39"/>
      <c r="D224" s="39"/>
      <c r="E224" s="39" t="s">
        <v>2</v>
      </c>
      <c r="F224" s="39" t="s">
        <v>2</v>
      </c>
      <c r="G224" s="39"/>
      <c r="H224" s="39"/>
      <c r="I224" s="39"/>
      <c r="J224" s="39"/>
      <c r="K224" s="39"/>
      <c r="L224" s="39"/>
      <c r="M224" s="39" t="s">
        <v>2</v>
      </c>
      <c r="N224" s="39" t="s">
        <v>2</v>
      </c>
      <c r="O224" s="39"/>
      <c r="P224" s="39"/>
      <c r="Q224" s="39"/>
      <c r="R224" s="39"/>
      <c r="S224" s="39"/>
      <c r="T224" s="39"/>
      <c r="U224" s="39" t="s">
        <v>2</v>
      </c>
      <c r="V224" s="39" t="s">
        <v>2</v>
      </c>
      <c r="W224" s="39"/>
      <c r="X224" s="39"/>
      <c r="Y224" s="39"/>
      <c r="Z224" s="39"/>
      <c r="AA224" s="39"/>
      <c r="AB224" s="39"/>
      <c r="AC224" s="39" t="s">
        <v>2</v>
      </c>
      <c r="AD224" s="39" t="s">
        <v>2</v>
      </c>
      <c r="AE224" s="39"/>
      <c r="AF224" s="39"/>
      <c r="AH224" s="20">
        <f t="shared" si="28"/>
        <v>0</v>
      </c>
      <c r="AI224" s="20">
        <f t="shared" si="29"/>
        <v>0</v>
      </c>
    </row>
    <row r="225" spans="1:35" ht="20.100000000000001" customHeight="1">
      <c r="A225" s="24" t="str">
        <f>ÖSSZES!$A$8</f>
        <v>Mizsák Péter</v>
      </c>
      <c r="B225" s="39"/>
      <c r="C225" s="39"/>
      <c r="D225" s="39"/>
      <c r="E225" s="39" t="s">
        <v>2</v>
      </c>
      <c r="F225" s="39" t="s">
        <v>2</v>
      </c>
      <c r="G225" s="39"/>
      <c r="H225" s="39"/>
      <c r="I225" s="39"/>
      <c r="J225" s="39"/>
      <c r="K225" s="39"/>
      <c r="L225" s="39"/>
      <c r="M225" s="39" t="s">
        <v>2</v>
      </c>
      <c r="N225" s="39" t="s">
        <v>2</v>
      </c>
      <c r="O225" s="39"/>
      <c r="P225" s="39"/>
      <c r="Q225" s="39"/>
      <c r="R225" s="39"/>
      <c r="S225" s="39"/>
      <c r="T225" s="39"/>
      <c r="U225" s="39" t="s">
        <v>2</v>
      </c>
      <c r="V225" s="39" t="s">
        <v>2</v>
      </c>
      <c r="W225" s="39"/>
      <c r="X225" s="39"/>
      <c r="Y225" s="39"/>
      <c r="Z225" s="39"/>
      <c r="AA225" s="39"/>
      <c r="AB225" s="39"/>
      <c r="AC225" s="39" t="s">
        <v>2</v>
      </c>
      <c r="AD225" s="39" t="s">
        <v>2</v>
      </c>
      <c r="AE225" s="39"/>
      <c r="AF225" s="39"/>
      <c r="AH225" s="20">
        <f t="shared" si="28"/>
        <v>0</v>
      </c>
      <c r="AI225" s="20">
        <f t="shared" si="29"/>
        <v>0</v>
      </c>
    </row>
    <row r="226" spans="1:35" ht="20.100000000000001" customHeight="1">
      <c r="A226" s="24" t="str">
        <f>ÖSSZES!$A$9</f>
        <v>Vatamány Gergő</v>
      </c>
      <c r="B226" s="39"/>
      <c r="C226" s="39"/>
      <c r="D226" s="39"/>
      <c r="E226" s="39" t="s">
        <v>2</v>
      </c>
      <c r="F226" s="39" t="s">
        <v>2</v>
      </c>
      <c r="G226" s="39"/>
      <c r="H226" s="39"/>
      <c r="I226" s="39"/>
      <c r="J226" s="39"/>
      <c r="K226" s="39"/>
      <c r="L226" s="39"/>
      <c r="M226" s="39" t="s">
        <v>2</v>
      </c>
      <c r="N226" s="39" t="s">
        <v>2</v>
      </c>
      <c r="O226" s="39"/>
      <c r="P226" s="39"/>
      <c r="Q226" s="39"/>
      <c r="R226" s="39"/>
      <c r="S226" s="39"/>
      <c r="T226" s="39"/>
      <c r="U226" s="39" t="s">
        <v>2</v>
      </c>
      <c r="V226" s="39" t="s">
        <v>2</v>
      </c>
      <c r="W226" s="39"/>
      <c r="X226" s="39"/>
      <c r="Y226" s="39"/>
      <c r="Z226" s="39"/>
      <c r="AA226" s="39"/>
      <c r="AB226" s="39"/>
      <c r="AC226" s="39" t="s">
        <v>2</v>
      </c>
      <c r="AD226" s="39" t="s">
        <v>2</v>
      </c>
      <c r="AE226" s="39"/>
      <c r="AF226" s="39"/>
      <c r="AH226" s="20">
        <f t="shared" si="28"/>
        <v>0</v>
      </c>
      <c r="AI226" s="20">
        <f t="shared" si="29"/>
        <v>0</v>
      </c>
    </row>
    <row r="227" spans="1:35" ht="20.100000000000001" hidden="1" customHeight="1">
      <c r="A227" s="24" t="str">
        <f>ÖSSZES!$A$10</f>
        <v>Név8</v>
      </c>
      <c r="B227" s="39"/>
      <c r="C227" s="39"/>
      <c r="D227" s="39"/>
      <c r="E227" s="39" t="s">
        <v>2</v>
      </c>
      <c r="F227" s="39" t="s">
        <v>2</v>
      </c>
      <c r="G227" s="39"/>
      <c r="H227" s="39"/>
      <c r="I227" s="39"/>
      <c r="J227" s="39"/>
      <c r="K227" s="39"/>
      <c r="L227" s="39"/>
      <c r="M227" s="39" t="s">
        <v>2</v>
      </c>
      <c r="N227" s="39" t="s">
        <v>2</v>
      </c>
      <c r="O227" s="39"/>
      <c r="P227" s="39"/>
      <c r="Q227" s="39"/>
      <c r="R227" s="39"/>
      <c r="S227" s="39"/>
      <c r="T227" s="39"/>
      <c r="U227" s="39" t="s">
        <v>2</v>
      </c>
      <c r="V227" s="39" t="s">
        <v>2</v>
      </c>
      <c r="W227" s="39"/>
      <c r="X227" s="39"/>
      <c r="Y227" s="39"/>
      <c r="Z227" s="39"/>
      <c r="AA227" s="39"/>
      <c r="AB227" s="39"/>
      <c r="AC227" s="39" t="s">
        <v>2</v>
      </c>
      <c r="AD227" s="39" t="s">
        <v>2</v>
      </c>
      <c r="AE227" s="39"/>
      <c r="AF227" s="39"/>
      <c r="AH227" s="20">
        <f t="shared" si="28"/>
        <v>0</v>
      </c>
      <c r="AI227" s="20">
        <f t="shared" si="29"/>
        <v>0</v>
      </c>
    </row>
    <row r="228" spans="1:35" ht="20.100000000000001" hidden="1" customHeight="1">
      <c r="A228" s="24" t="str">
        <f>ÖSSZES!$A$11</f>
        <v>Név9</v>
      </c>
      <c r="B228" s="39"/>
      <c r="C228" s="39"/>
      <c r="D228" s="39"/>
      <c r="E228" s="39" t="s">
        <v>2</v>
      </c>
      <c r="F228" s="39" t="s">
        <v>2</v>
      </c>
      <c r="G228" s="39"/>
      <c r="H228" s="39"/>
      <c r="I228" s="39"/>
      <c r="J228" s="39"/>
      <c r="K228" s="39"/>
      <c r="L228" s="39"/>
      <c r="M228" s="39" t="s">
        <v>2</v>
      </c>
      <c r="N228" s="39" t="s">
        <v>2</v>
      </c>
      <c r="O228" s="39"/>
      <c r="P228" s="39"/>
      <c r="Q228" s="39"/>
      <c r="R228" s="39"/>
      <c r="S228" s="39"/>
      <c r="T228" s="39"/>
      <c r="U228" s="39" t="s">
        <v>2</v>
      </c>
      <c r="V228" s="39" t="s">
        <v>2</v>
      </c>
      <c r="W228" s="39"/>
      <c r="X228" s="39"/>
      <c r="Y228" s="39"/>
      <c r="Z228" s="39"/>
      <c r="AA228" s="39"/>
      <c r="AB228" s="39"/>
      <c r="AC228" s="39" t="s">
        <v>2</v>
      </c>
      <c r="AD228" s="39" t="s">
        <v>2</v>
      </c>
      <c r="AE228" s="39"/>
      <c r="AF228" s="39"/>
      <c r="AH228" s="20">
        <f t="shared" si="28"/>
        <v>0</v>
      </c>
      <c r="AI228" s="20">
        <f t="shared" si="29"/>
        <v>0</v>
      </c>
    </row>
    <row r="229" spans="1:35" ht="20.100000000000001" hidden="1" customHeight="1">
      <c r="A229" s="24" t="str">
        <f>ÖSSZES!$A$12</f>
        <v>Név10</v>
      </c>
      <c r="B229" s="39"/>
      <c r="C229" s="39"/>
      <c r="D229" s="39"/>
      <c r="E229" s="39" t="s">
        <v>2</v>
      </c>
      <c r="F229" s="39" t="s">
        <v>2</v>
      </c>
      <c r="G229" s="39"/>
      <c r="H229" s="39"/>
      <c r="I229" s="39"/>
      <c r="J229" s="39"/>
      <c r="K229" s="39"/>
      <c r="L229" s="39"/>
      <c r="M229" s="39" t="s">
        <v>2</v>
      </c>
      <c r="N229" s="39" t="s">
        <v>2</v>
      </c>
      <c r="O229" s="39"/>
      <c r="P229" s="39"/>
      <c r="Q229" s="39"/>
      <c r="R229" s="39"/>
      <c r="S229" s="39"/>
      <c r="T229" s="39"/>
      <c r="U229" s="39" t="s">
        <v>2</v>
      </c>
      <c r="V229" s="39" t="s">
        <v>2</v>
      </c>
      <c r="W229" s="39"/>
      <c r="X229" s="39"/>
      <c r="Y229" s="39"/>
      <c r="Z229" s="39"/>
      <c r="AA229" s="39"/>
      <c r="AB229" s="39"/>
      <c r="AC229" s="39" t="s">
        <v>2</v>
      </c>
      <c r="AD229" s="39" t="s">
        <v>2</v>
      </c>
      <c r="AE229" s="39"/>
      <c r="AF229" s="39"/>
      <c r="AH229" s="20">
        <f t="shared" si="28"/>
        <v>0</v>
      </c>
      <c r="AI229" s="20">
        <f t="shared" si="29"/>
        <v>0</v>
      </c>
    </row>
    <row r="230" spans="1:35" ht="20.100000000000001" hidden="1" customHeight="1">
      <c r="A230" s="24" t="str">
        <f>ÖSSZES!$A$13</f>
        <v>Név11</v>
      </c>
      <c r="B230" s="39"/>
      <c r="C230" s="39"/>
      <c r="D230" s="39"/>
      <c r="E230" s="39" t="s">
        <v>2</v>
      </c>
      <c r="F230" s="39" t="s">
        <v>2</v>
      </c>
      <c r="G230" s="39"/>
      <c r="H230" s="39"/>
      <c r="I230" s="39"/>
      <c r="J230" s="39"/>
      <c r="K230" s="39"/>
      <c r="L230" s="39"/>
      <c r="M230" s="39" t="s">
        <v>2</v>
      </c>
      <c r="N230" s="39" t="s">
        <v>2</v>
      </c>
      <c r="O230" s="39"/>
      <c r="P230" s="39"/>
      <c r="Q230" s="39"/>
      <c r="R230" s="39"/>
      <c r="S230" s="39"/>
      <c r="T230" s="39"/>
      <c r="U230" s="39" t="s">
        <v>2</v>
      </c>
      <c r="V230" s="39" t="s">
        <v>2</v>
      </c>
      <c r="W230" s="39"/>
      <c r="X230" s="39"/>
      <c r="Y230" s="39"/>
      <c r="Z230" s="39"/>
      <c r="AA230" s="39"/>
      <c r="AB230" s="39"/>
      <c r="AC230" s="39" t="s">
        <v>2</v>
      </c>
      <c r="AD230" s="39" t="s">
        <v>2</v>
      </c>
      <c r="AE230" s="39"/>
      <c r="AF230" s="39"/>
      <c r="AH230" s="20">
        <f t="shared" si="28"/>
        <v>0</v>
      </c>
      <c r="AI230" s="20">
        <f t="shared" si="29"/>
        <v>0</v>
      </c>
    </row>
    <row r="231" spans="1:35" ht="20.100000000000001" hidden="1" customHeight="1">
      <c r="A231" s="24" t="str">
        <f>ÖSSZES!$A$14</f>
        <v>Név12</v>
      </c>
      <c r="B231" s="39"/>
      <c r="C231" s="39"/>
      <c r="D231" s="39"/>
      <c r="E231" s="39" t="s">
        <v>2</v>
      </c>
      <c r="F231" s="39" t="s">
        <v>2</v>
      </c>
      <c r="G231" s="39"/>
      <c r="H231" s="39"/>
      <c r="I231" s="39"/>
      <c r="J231" s="39"/>
      <c r="K231" s="39"/>
      <c r="L231" s="39"/>
      <c r="M231" s="39" t="s">
        <v>2</v>
      </c>
      <c r="N231" s="39" t="s">
        <v>2</v>
      </c>
      <c r="O231" s="39"/>
      <c r="P231" s="39"/>
      <c r="Q231" s="39"/>
      <c r="R231" s="39"/>
      <c r="S231" s="39"/>
      <c r="T231" s="39"/>
      <c r="U231" s="39" t="s">
        <v>2</v>
      </c>
      <c r="V231" s="39" t="s">
        <v>2</v>
      </c>
      <c r="W231" s="39"/>
      <c r="X231" s="39"/>
      <c r="Y231" s="39"/>
      <c r="Z231" s="39"/>
      <c r="AA231" s="39"/>
      <c r="AB231" s="39"/>
      <c r="AC231" s="39" t="s">
        <v>2</v>
      </c>
      <c r="AD231" s="39" t="s">
        <v>2</v>
      </c>
      <c r="AE231" s="39"/>
      <c r="AF231" s="39"/>
      <c r="AH231" s="20">
        <f t="shared" si="28"/>
        <v>0</v>
      </c>
      <c r="AI231" s="20">
        <f t="shared" si="29"/>
        <v>0</v>
      </c>
    </row>
    <row r="232" spans="1:35" ht="20.100000000000001" hidden="1" customHeight="1">
      <c r="A232" s="24" t="str">
        <f>ÖSSZES!$A$15</f>
        <v>Név13</v>
      </c>
      <c r="B232" s="39"/>
      <c r="C232" s="39"/>
      <c r="D232" s="39"/>
      <c r="E232" s="39" t="s">
        <v>2</v>
      </c>
      <c r="F232" s="39" t="s">
        <v>2</v>
      </c>
      <c r="G232" s="39"/>
      <c r="H232" s="39"/>
      <c r="I232" s="39"/>
      <c r="J232" s="39"/>
      <c r="K232" s="39"/>
      <c r="L232" s="39"/>
      <c r="M232" s="39" t="s">
        <v>2</v>
      </c>
      <c r="N232" s="39" t="s">
        <v>2</v>
      </c>
      <c r="O232" s="39"/>
      <c r="P232" s="39"/>
      <c r="Q232" s="39"/>
      <c r="R232" s="39"/>
      <c r="S232" s="39"/>
      <c r="T232" s="39"/>
      <c r="U232" s="39" t="s">
        <v>2</v>
      </c>
      <c r="V232" s="39" t="s">
        <v>2</v>
      </c>
      <c r="W232" s="39"/>
      <c r="X232" s="39"/>
      <c r="Y232" s="39"/>
      <c r="Z232" s="39"/>
      <c r="AA232" s="39"/>
      <c r="AB232" s="39"/>
      <c r="AC232" s="39" t="s">
        <v>2</v>
      </c>
      <c r="AD232" s="39" t="s">
        <v>2</v>
      </c>
      <c r="AE232" s="39"/>
      <c r="AF232" s="39"/>
      <c r="AH232" s="20">
        <f t="shared" si="28"/>
        <v>0</v>
      </c>
      <c r="AI232" s="20">
        <f t="shared" si="29"/>
        <v>0</v>
      </c>
    </row>
    <row r="233" spans="1:35" ht="20.100000000000001" hidden="1" customHeight="1">
      <c r="A233" s="24" t="str">
        <f>ÖSSZES!$A$16</f>
        <v>Név14</v>
      </c>
      <c r="B233" s="39"/>
      <c r="C233" s="39"/>
      <c r="D233" s="39"/>
      <c r="E233" s="39" t="s">
        <v>2</v>
      </c>
      <c r="F233" s="39" t="s">
        <v>2</v>
      </c>
      <c r="G233" s="39"/>
      <c r="H233" s="39"/>
      <c r="I233" s="39"/>
      <c r="J233" s="39"/>
      <c r="K233" s="39"/>
      <c r="L233" s="39"/>
      <c r="M233" s="39" t="s">
        <v>2</v>
      </c>
      <c r="N233" s="39" t="s">
        <v>2</v>
      </c>
      <c r="O233" s="39"/>
      <c r="P233" s="39"/>
      <c r="Q233" s="39"/>
      <c r="R233" s="39"/>
      <c r="S233" s="39"/>
      <c r="T233" s="39"/>
      <c r="U233" s="39" t="s">
        <v>2</v>
      </c>
      <c r="V233" s="39" t="s">
        <v>2</v>
      </c>
      <c r="W233" s="39"/>
      <c r="X233" s="39"/>
      <c r="Y233" s="39"/>
      <c r="Z233" s="39"/>
      <c r="AA233" s="39"/>
      <c r="AB233" s="39"/>
      <c r="AC233" s="39" t="s">
        <v>2</v>
      </c>
      <c r="AD233" s="39" t="s">
        <v>2</v>
      </c>
      <c r="AE233" s="39"/>
      <c r="AF233" s="39"/>
      <c r="AH233" s="20">
        <f t="shared" si="28"/>
        <v>0</v>
      </c>
      <c r="AI233" s="20">
        <f t="shared" si="29"/>
        <v>0</v>
      </c>
    </row>
    <row r="234" spans="1:35" ht="20.100000000000001" hidden="1" customHeight="1">
      <c r="A234" s="24" t="str">
        <f>ÖSSZES!$A$17</f>
        <v>Név15</v>
      </c>
      <c r="B234" s="39"/>
      <c r="C234" s="39"/>
      <c r="D234" s="39"/>
      <c r="E234" s="39" t="s">
        <v>2</v>
      </c>
      <c r="F234" s="39" t="s">
        <v>2</v>
      </c>
      <c r="G234" s="39"/>
      <c r="H234" s="39"/>
      <c r="I234" s="39"/>
      <c r="J234" s="39"/>
      <c r="K234" s="39"/>
      <c r="L234" s="39"/>
      <c r="M234" s="39" t="s">
        <v>2</v>
      </c>
      <c r="N234" s="39" t="s">
        <v>2</v>
      </c>
      <c r="O234" s="39"/>
      <c r="P234" s="39"/>
      <c r="Q234" s="39"/>
      <c r="R234" s="39"/>
      <c r="S234" s="39"/>
      <c r="T234" s="39"/>
      <c r="U234" s="39" t="s">
        <v>2</v>
      </c>
      <c r="V234" s="39" t="s">
        <v>2</v>
      </c>
      <c r="W234" s="39"/>
      <c r="X234" s="39"/>
      <c r="Y234" s="39"/>
      <c r="Z234" s="39"/>
      <c r="AA234" s="39"/>
      <c r="AB234" s="39"/>
      <c r="AC234" s="39" t="s">
        <v>2</v>
      </c>
      <c r="AD234" s="39" t="s">
        <v>2</v>
      </c>
      <c r="AE234" s="39"/>
      <c r="AF234" s="39"/>
      <c r="AH234" s="20">
        <f t="shared" si="28"/>
        <v>0</v>
      </c>
      <c r="AI234" s="20">
        <f t="shared" si="29"/>
        <v>0</v>
      </c>
    </row>
    <row r="235" spans="1:35" ht="20.100000000000001" hidden="1" customHeight="1">
      <c r="A235" s="24" t="str">
        <f>ÖSSZES!$A$18</f>
        <v>Név16</v>
      </c>
      <c r="B235" s="39"/>
      <c r="C235" s="39"/>
      <c r="D235" s="39"/>
      <c r="E235" s="39" t="s">
        <v>2</v>
      </c>
      <c r="F235" s="39" t="s">
        <v>2</v>
      </c>
      <c r="G235" s="39"/>
      <c r="H235" s="39"/>
      <c r="I235" s="39"/>
      <c r="J235" s="39"/>
      <c r="K235" s="39"/>
      <c r="L235" s="39"/>
      <c r="M235" s="39" t="s">
        <v>2</v>
      </c>
      <c r="N235" s="39" t="s">
        <v>2</v>
      </c>
      <c r="O235" s="39"/>
      <c r="P235" s="39"/>
      <c r="Q235" s="39"/>
      <c r="R235" s="39"/>
      <c r="S235" s="39"/>
      <c r="T235" s="39"/>
      <c r="U235" s="39" t="s">
        <v>2</v>
      </c>
      <c r="V235" s="39" t="s">
        <v>2</v>
      </c>
      <c r="W235" s="39"/>
      <c r="X235" s="39"/>
      <c r="Y235" s="39"/>
      <c r="Z235" s="39"/>
      <c r="AA235" s="39"/>
      <c r="AB235" s="39"/>
      <c r="AC235" s="39" t="s">
        <v>2</v>
      </c>
      <c r="AD235" s="39" t="s">
        <v>2</v>
      </c>
      <c r="AE235" s="39"/>
      <c r="AF235" s="39"/>
      <c r="AH235" s="20">
        <f t="shared" si="28"/>
        <v>0</v>
      </c>
      <c r="AI235" s="20">
        <f t="shared" si="29"/>
        <v>0</v>
      </c>
    </row>
    <row r="236" spans="1:35" ht="20.100000000000001" hidden="1" customHeight="1">
      <c r="A236" s="24" t="str">
        <f>ÖSSZES!$A$19</f>
        <v>Név17</v>
      </c>
      <c r="B236" s="39"/>
      <c r="C236" s="39"/>
      <c r="D236" s="39"/>
      <c r="E236" s="39" t="s">
        <v>2</v>
      </c>
      <c r="F236" s="39" t="s">
        <v>2</v>
      </c>
      <c r="G236" s="39"/>
      <c r="H236" s="39"/>
      <c r="I236" s="39"/>
      <c r="J236" s="39"/>
      <c r="K236" s="39"/>
      <c r="L236" s="39"/>
      <c r="M236" s="39" t="s">
        <v>2</v>
      </c>
      <c r="N236" s="39" t="s">
        <v>2</v>
      </c>
      <c r="O236" s="39"/>
      <c r="P236" s="39"/>
      <c r="Q236" s="39"/>
      <c r="R236" s="39"/>
      <c r="S236" s="39"/>
      <c r="T236" s="39"/>
      <c r="U236" s="39" t="s">
        <v>2</v>
      </c>
      <c r="V236" s="39" t="s">
        <v>2</v>
      </c>
      <c r="W236" s="39"/>
      <c r="X236" s="39"/>
      <c r="Y236" s="39"/>
      <c r="Z236" s="39"/>
      <c r="AA236" s="39"/>
      <c r="AB236" s="39"/>
      <c r="AC236" s="39" t="s">
        <v>2</v>
      </c>
      <c r="AD236" s="39" t="s">
        <v>2</v>
      </c>
      <c r="AE236" s="39"/>
      <c r="AF236" s="39"/>
      <c r="AH236" s="20">
        <f t="shared" si="28"/>
        <v>0</v>
      </c>
      <c r="AI236" s="20">
        <f t="shared" si="29"/>
        <v>0</v>
      </c>
    </row>
    <row r="237" spans="1:35" ht="20.100000000000001" hidden="1" customHeight="1">
      <c r="A237" s="24" t="str">
        <f>ÖSSZES!$A$20</f>
        <v>Név18</v>
      </c>
      <c r="B237" s="39"/>
      <c r="C237" s="39"/>
      <c r="D237" s="39"/>
      <c r="E237" s="39" t="s">
        <v>2</v>
      </c>
      <c r="F237" s="39" t="s">
        <v>2</v>
      </c>
      <c r="G237" s="39"/>
      <c r="H237" s="39"/>
      <c r="I237" s="39"/>
      <c r="J237" s="39"/>
      <c r="K237" s="39"/>
      <c r="L237" s="39"/>
      <c r="M237" s="39" t="s">
        <v>2</v>
      </c>
      <c r="N237" s="39" t="s">
        <v>2</v>
      </c>
      <c r="O237" s="39"/>
      <c r="P237" s="39"/>
      <c r="Q237" s="39"/>
      <c r="R237" s="39"/>
      <c r="S237" s="39"/>
      <c r="T237" s="39"/>
      <c r="U237" s="39" t="s">
        <v>2</v>
      </c>
      <c r="V237" s="39" t="s">
        <v>2</v>
      </c>
      <c r="W237" s="39"/>
      <c r="X237" s="39"/>
      <c r="Y237" s="39"/>
      <c r="Z237" s="39"/>
      <c r="AA237" s="39"/>
      <c r="AB237" s="39"/>
      <c r="AC237" s="39" t="s">
        <v>2</v>
      </c>
      <c r="AD237" s="39" t="s">
        <v>2</v>
      </c>
      <c r="AE237" s="39"/>
      <c r="AF237" s="39"/>
      <c r="AH237" s="20">
        <f t="shared" si="28"/>
        <v>0</v>
      </c>
      <c r="AI237" s="20">
        <f t="shared" si="29"/>
        <v>0</v>
      </c>
    </row>
    <row r="238" spans="1:35" ht="20.100000000000001" hidden="1" customHeight="1">
      <c r="A238" s="24" t="str">
        <f>ÖSSZES!$A$21</f>
        <v>Név19</v>
      </c>
      <c r="B238" s="39"/>
      <c r="C238" s="39"/>
      <c r="D238" s="39"/>
      <c r="E238" s="39" t="s">
        <v>2</v>
      </c>
      <c r="F238" s="39" t="s">
        <v>2</v>
      </c>
      <c r="G238" s="39"/>
      <c r="H238" s="39"/>
      <c r="I238" s="39"/>
      <c r="J238" s="39"/>
      <c r="K238" s="39"/>
      <c r="L238" s="39"/>
      <c r="M238" s="39" t="s">
        <v>2</v>
      </c>
      <c r="N238" s="39" t="s">
        <v>2</v>
      </c>
      <c r="O238" s="39"/>
      <c r="P238" s="39"/>
      <c r="Q238" s="39"/>
      <c r="R238" s="39"/>
      <c r="S238" s="39"/>
      <c r="T238" s="39"/>
      <c r="U238" s="39" t="s">
        <v>2</v>
      </c>
      <c r="V238" s="39" t="s">
        <v>2</v>
      </c>
      <c r="W238" s="39"/>
      <c r="X238" s="39"/>
      <c r="Y238" s="39"/>
      <c r="Z238" s="39"/>
      <c r="AA238" s="39"/>
      <c r="AB238" s="39"/>
      <c r="AC238" s="39" t="s">
        <v>2</v>
      </c>
      <c r="AD238" s="39" t="s">
        <v>2</v>
      </c>
      <c r="AE238" s="39"/>
      <c r="AF238" s="39"/>
      <c r="AH238" s="20">
        <f t="shared" si="28"/>
        <v>0</v>
      </c>
      <c r="AI238" s="20">
        <f t="shared" si="29"/>
        <v>0</v>
      </c>
    </row>
    <row r="239" spans="1:35" ht="20.100000000000001" hidden="1" customHeight="1">
      <c r="A239" s="24" t="str">
        <f>ÖSSZES!$A$17</f>
        <v>Név15</v>
      </c>
      <c r="B239" s="39"/>
      <c r="C239" s="39"/>
      <c r="D239" s="39"/>
      <c r="E239" s="39" t="s">
        <v>2</v>
      </c>
      <c r="F239" s="39" t="s">
        <v>2</v>
      </c>
      <c r="G239" s="39"/>
      <c r="H239" s="39"/>
      <c r="I239" s="39"/>
      <c r="J239" s="39"/>
      <c r="K239" s="39"/>
      <c r="L239" s="39"/>
      <c r="M239" s="39" t="s">
        <v>2</v>
      </c>
      <c r="N239" s="39" t="s">
        <v>2</v>
      </c>
      <c r="O239" s="39"/>
      <c r="P239" s="39"/>
      <c r="Q239" s="39"/>
      <c r="R239" s="39"/>
      <c r="S239" s="39"/>
      <c r="T239" s="39"/>
      <c r="U239" s="39" t="s">
        <v>2</v>
      </c>
      <c r="V239" s="39" t="s">
        <v>2</v>
      </c>
      <c r="W239" s="39"/>
      <c r="X239" s="39"/>
      <c r="Y239" s="39"/>
      <c r="Z239" s="39"/>
      <c r="AA239" s="39"/>
      <c r="AB239" s="39"/>
      <c r="AC239" s="39" t="s">
        <v>2</v>
      </c>
      <c r="AD239" s="39" t="s">
        <v>2</v>
      </c>
      <c r="AE239" s="39"/>
      <c r="AF239" s="39"/>
      <c r="AH239" s="20">
        <f t="shared" si="28"/>
        <v>0</v>
      </c>
      <c r="AI239" s="20">
        <f t="shared" si="29"/>
        <v>0</v>
      </c>
    </row>
    <row r="240" spans="1:35" ht="20.100000000000001" customHeight="1">
      <c r="A240" s="17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H240" s="36"/>
      <c r="AI240" s="36"/>
    </row>
    <row r="241" spans="1:35" s="31" customFormat="1" ht="20.100000000000001" customHeight="1">
      <c r="A241" s="54" t="s">
        <v>15</v>
      </c>
      <c r="B241" s="29">
        <v>1</v>
      </c>
      <c r="C241" s="30">
        <v>2</v>
      </c>
      <c r="D241" s="30">
        <v>3</v>
      </c>
      <c r="E241" s="30">
        <v>4</v>
      </c>
      <c r="F241" s="30">
        <v>5</v>
      </c>
      <c r="G241" s="30">
        <v>6</v>
      </c>
      <c r="H241" s="30">
        <v>7</v>
      </c>
      <c r="I241" s="30">
        <v>8</v>
      </c>
      <c r="J241" s="30">
        <v>9</v>
      </c>
      <c r="K241" s="30">
        <v>10</v>
      </c>
      <c r="L241" s="30">
        <v>11</v>
      </c>
      <c r="M241" s="30">
        <v>12</v>
      </c>
      <c r="N241" s="30">
        <v>13</v>
      </c>
      <c r="O241" s="30">
        <v>14</v>
      </c>
      <c r="P241" s="30">
        <v>15</v>
      </c>
      <c r="Q241" s="30">
        <v>16</v>
      </c>
      <c r="R241" s="30">
        <v>17</v>
      </c>
      <c r="S241" s="30">
        <v>18</v>
      </c>
      <c r="T241" s="30">
        <v>19</v>
      </c>
      <c r="U241" s="30">
        <v>20</v>
      </c>
      <c r="V241" s="30">
        <v>21</v>
      </c>
      <c r="W241" s="30">
        <v>22</v>
      </c>
      <c r="X241" s="30">
        <v>23</v>
      </c>
      <c r="Y241" s="30">
        <v>24</v>
      </c>
      <c r="Z241" s="30">
        <v>25</v>
      </c>
      <c r="AA241" s="30">
        <v>26</v>
      </c>
      <c r="AB241" s="30">
        <v>27</v>
      </c>
      <c r="AC241" s="30">
        <v>28</v>
      </c>
      <c r="AD241" s="30">
        <v>29</v>
      </c>
      <c r="AE241" s="30">
        <v>30</v>
      </c>
      <c r="AH241" s="54" t="s">
        <v>18</v>
      </c>
      <c r="AI241" s="54" t="s">
        <v>19</v>
      </c>
    </row>
    <row r="242" spans="1:35" ht="20.100000000000001" customHeight="1">
      <c r="A242" s="56"/>
      <c r="B242" s="32" t="str">
        <f>'2021'!B84</f>
        <v>H</v>
      </c>
      <c r="C242" s="32" t="str">
        <f>'2021'!C84</f>
        <v>K</v>
      </c>
      <c r="D242" s="32" t="str">
        <f>'2021'!D84</f>
        <v>Sze</v>
      </c>
      <c r="E242" s="32" t="str">
        <f>'2021'!E84</f>
        <v>Cs</v>
      </c>
      <c r="F242" s="32" t="str">
        <f>'2021'!F84</f>
        <v>P</v>
      </c>
      <c r="G242" s="32" t="str">
        <f>'2021'!G84</f>
        <v>Szo</v>
      </c>
      <c r="H242" s="32" t="str">
        <f>'2021'!H84</f>
        <v>V</v>
      </c>
      <c r="I242" s="32" t="str">
        <f>'2021'!I84</f>
        <v>H</v>
      </c>
      <c r="J242" s="32" t="str">
        <f>'2021'!J84</f>
        <v>K</v>
      </c>
      <c r="K242" s="32" t="str">
        <f>'2021'!K84</f>
        <v>Sze</v>
      </c>
      <c r="L242" s="32" t="str">
        <f>'2021'!L84</f>
        <v>Cs</v>
      </c>
      <c r="M242" s="32" t="str">
        <f>'2021'!M84</f>
        <v>P</v>
      </c>
      <c r="N242" s="32" t="str">
        <f>'2021'!N84</f>
        <v>Szo</v>
      </c>
      <c r="O242" s="32" t="str">
        <f>'2021'!O84</f>
        <v>V</v>
      </c>
      <c r="P242" s="32" t="str">
        <f>'2021'!P84</f>
        <v>H</v>
      </c>
      <c r="Q242" s="32" t="str">
        <f>'2021'!Q84</f>
        <v>K</v>
      </c>
      <c r="R242" s="32" t="str">
        <f>'2021'!R84</f>
        <v>Sze</v>
      </c>
      <c r="S242" s="32" t="str">
        <f>'2021'!S84</f>
        <v>Cs</v>
      </c>
      <c r="T242" s="32" t="str">
        <f>'2021'!T84</f>
        <v>P</v>
      </c>
      <c r="U242" s="32" t="str">
        <f>'2021'!U84</f>
        <v>Szo</v>
      </c>
      <c r="V242" s="32" t="str">
        <f>'2021'!V84</f>
        <v>V</v>
      </c>
      <c r="W242" s="32" t="str">
        <f>'2021'!W84</f>
        <v>H</v>
      </c>
      <c r="X242" s="32" t="str">
        <f>'2021'!X84</f>
        <v>K</v>
      </c>
      <c r="Y242" s="32" t="str">
        <f>'2021'!Y84</f>
        <v>Sze</v>
      </c>
      <c r="Z242" s="32" t="str">
        <f>'2021'!Z84</f>
        <v>Cs</v>
      </c>
      <c r="AA242" s="32" t="str">
        <f>'2021'!AA84</f>
        <v>P</v>
      </c>
      <c r="AB242" s="32" t="str">
        <f>'2021'!AB84</f>
        <v>Szo</v>
      </c>
      <c r="AC242" s="32" t="str">
        <f>'2021'!AC84</f>
        <v>V</v>
      </c>
      <c r="AD242" s="32" t="str">
        <f>'2021'!AD84</f>
        <v>H</v>
      </c>
      <c r="AE242" s="32" t="str">
        <f>'2021'!AE84</f>
        <v>K</v>
      </c>
      <c r="AF242" s="27"/>
      <c r="AH242" s="55"/>
      <c r="AI242" s="55"/>
    </row>
    <row r="243" spans="1:35" ht="20.100000000000001" customHeight="1">
      <c r="A243" s="55"/>
      <c r="B243" s="32">
        <f>'2021'!B85</f>
        <v>3</v>
      </c>
      <c r="C243" s="32">
        <f>'2021'!C85</f>
        <v>3</v>
      </c>
      <c r="D243" s="32">
        <f>'2021'!D85</f>
        <v>3</v>
      </c>
      <c r="E243" s="32">
        <f>'2021'!E85</f>
        <v>3</v>
      </c>
      <c r="F243" s="32" t="str">
        <f>'2021'!F85</f>
        <v>X</v>
      </c>
      <c r="G243" s="32" t="str">
        <f>'2021'!G85</f>
        <v>X</v>
      </c>
      <c r="H243" s="32">
        <f>'2021'!H85</f>
        <v>2</v>
      </c>
      <c r="I243" s="32">
        <f>'2021'!I85</f>
        <v>2</v>
      </c>
      <c r="J243" s="32">
        <f>'2021'!J85</f>
        <v>2</v>
      </c>
      <c r="K243" s="32">
        <f>'2021'!K85</f>
        <v>2</v>
      </c>
      <c r="L243" s="32">
        <f>'2021'!L85</f>
        <v>2</v>
      </c>
      <c r="M243" s="32">
        <f>'2021'!M85</f>
        <v>2</v>
      </c>
      <c r="N243" s="32" t="str">
        <f>'2021'!N85</f>
        <v>X</v>
      </c>
      <c r="O243" s="32" t="str">
        <f>'2021'!O85</f>
        <v>X</v>
      </c>
      <c r="P243" s="32">
        <f>'2021'!P85</f>
        <v>1</v>
      </c>
      <c r="Q243" s="32">
        <f>'2021'!Q85</f>
        <v>1</v>
      </c>
      <c r="R243" s="32">
        <f>'2021'!R85</f>
        <v>1</v>
      </c>
      <c r="S243" s="32">
        <f>'2021'!S85</f>
        <v>1</v>
      </c>
      <c r="T243" s="32">
        <f>'2021'!T85</f>
        <v>1</v>
      </c>
      <c r="U243" s="32">
        <f>'2021'!U85</f>
        <v>1</v>
      </c>
      <c r="V243" s="32" t="str">
        <f>'2021'!V85</f>
        <v>X</v>
      </c>
      <c r="W243" s="32" t="str">
        <f>'2021'!W85</f>
        <v>X</v>
      </c>
      <c r="X243" s="32">
        <f>'2021'!X85</f>
        <v>3</v>
      </c>
      <c r="Y243" s="32">
        <f>'2021'!Y85</f>
        <v>3</v>
      </c>
      <c r="Z243" s="32">
        <f>'2021'!Z85</f>
        <v>3</v>
      </c>
      <c r="AA243" s="32">
        <f>'2021'!AA85</f>
        <v>3</v>
      </c>
      <c r="AB243" s="32">
        <f>'2021'!AB85</f>
        <v>3</v>
      </c>
      <c r="AC243" s="32">
        <f>'2021'!AC85</f>
        <v>3</v>
      </c>
      <c r="AD243" s="32" t="str">
        <f>'2021'!AD85</f>
        <v>X</v>
      </c>
      <c r="AE243" s="32" t="str">
        <f>'2021'!AE85</f>
        <v>X</v>
      </c>
      <c r="AF243" s="27"/>
      <c r="AH243" s="55"/>
      <c r="AI243" s="55"/>
    </row>
    <row r="244" spans="1:35" ht="20.100000000000001" customHeight="1">
      <c r="A244" s="24" t="str">
        <f>ÖSSZES!$A$3</f>
        <v>Csuka Lajos</v>
      </c>
      <c r="B244" s="39"/>
      <c r="C244" s="39"/>
      <c r="D244" s="39"/>
      <c r="E244" s="39"/>
      <c r="F244" s="39" t="s">
        <v>2</v>
      </c>
      <c r="G244" s="39" t="s">
        <v>2</v>
      </c>
      <c r="H244" s="39"/>
      <c r="I244" s="39"/>
      <c r="J244" s="39"/>
      <c r="K244" s="39"/>
      <c r="L244" s="39"/>
      <c r="M244" s="39"/>
      <c r="N244" s="39" t="s">
        <v>2</v>
      </c>
      <c r="O244" s="39" t="s">
        <v>2</v>
      </c>
      <c r="P244" s="39"/>
      <c r="Q244" s="39"/>
      <c r="R244" s="39"/>
      <c r="S244" s="39"/>
      <c r="T244" s="39"/>
      <c r="U244" s="39"/>
      <c r="V244" s="39" t="s">
        <v>2</v>
      </c>
      <c r="W244" s="39" t="s">
        <v>2</v>
      </c>
      <c r="X244" s="39"/>
      <c r="Y244" s="39"/>
      <c r="Z244" s="39"/>
      <c r="AA244" s="39"/>
      <c r="AB244" s="39"/>
      <c r="AC244" s="39"/>
      <c r="AD244" s="39" t="s">
        <v>2</v>
      </c>
      <c r="AE244" s="39" t="s">
        <v>2</v>
      </c>
      <c r="AF244" s="27"/>
      <c r="AH244" s="20">
        <f>1*COUNTIF(A244:AF244,"+")</f>
        <v>0</v>
      </c>
      <c r="AI244" s="20">
        <f t="shared" ref="AI244" si="30">1*COUNTIF(B244:AF244,"szf")</f>
        <v>0</v>
      </c>
    </row>
    <row r="245" spans="1:35" ht="20.100000000000001" customHeight="1">
      <c r="A245" s="24" t="str">
        <f>ÖSSZES!$A$4</f>
        <v>Batiz Attila</v>
      </c>
      <c r="B245" s="39"/>
      <c r="C245" s="39"/>
      <c r="D245" s="39"/>
      <c r="E245" s="39"/>
      <c r="F245" s="39" t="s">
        <v>2</v>
      </c>
      <c r="G245" s="39" t="s">
        <v>2</v>
      </c>
      <c r="H245" s="39"/>
      <c r="I245" s="39"/>
      <c r="J245" s="39"/>
      <c r="K245" s="39"/>
      <c r="L245" s="39"/>
      <c r="M245" s="39"/>
      <c r="N245" s="39" t="s">
        <v>2</v>
      </c>
      <c r="O245" s="39" t="s">
        <v>2</v>
      </c>
      <c r="P245" s="39"/>
      <c r="Q245" s="39"/>
      <c r="R245" s="39"/>
      <c r="S245" s="39"/>
      <c r="T245" s="39"/>
      <c r="U245" s="39"/>
      <c r="V245" s="39" t="s">
        <v>2</v>
      </c>
      <c r="W245" s="39" t="s">
        <v>2</v>
      </c>
      <c r="X245" s="39"/>
      <c r="Y245" s="39"/>
      <c r="Z245" s="39"/>
      <c r="AA245" s="39"/>
      <c r="AB245" s="39"/>
      <c r="AC245" s="39"/>
      <c r="AD245" s="39" t="s">
        <v>2</v>
      </c>
      <c r="AE245" s="39" t="s">
        <v>2</v>
      </c>
      <c r="AF245" s="27"/>
      <c r="AH245" s="20">
        <f t="shared" ref="AH245:AH263" si="31">1*COUNTIF(A245:AF245,"+")</f>
        <v>0</v>
      </c>
      <c r="AI245" s="20">
        <f t="shared" ref="AI245:AI263" si="32">1*COUNTIF(B245:AF245,"szf")</f>
        <v>0</v>
      </c>
    </row>
    <row r="246" spans="1:35" ht="20.100000000000001" customHeight="1">
      <c r="A246" s="24" t="str">
        <f>ÖSSZES!$A$5</f>
        <v>Füredi Antal</v>
      </c>
      <c r="B246" s="39"/>
      <c r="C246" s="39"/>
      <c r="D246" s="39"/>
      <c r="E246" s="39"/>
      <c r="F246" s="39" t="s">
        <v>2</v>
      </c>
      <c r="G246" s="39" t="s">
        <v>2</v>
      </c>
      <c r="H246" s="39"/>
      <c r="I246" s="39"/>
      <c r="J246" s="39"/>
      <c r="K246" s="39"/>
      <c r="L246" s="39"/>
      <c r="M246" s="39"/>
      <c r="N246" s="39" t="s">
        <v>2</v>
      </c>
      <c r="O246" s="39" t="s">
        <v>2</v>
      </c>
      <c r="P246" s="39"/>
      <c r="Q246" s="39"/>
      <c r="R246" s="39"/>
      <c r="S246" s="39"/>
      <c r="T246" s="39"/>
      <c r="U246" s="39"/>
      <c r="V246" s="39" t="s">
        <v>2</v>
      </c>
      <c r="W246" s="39" t="s">
        <v>2</v>
      </c>
      <c r="X246" s="39"/>
      <c r="Y246" s="39"/>
      <c r="Z246" s="39"/>
      <c r="AA246" s="39"/>
      <c r="AB246" s="39"/>
      <c r="AC246" s="39"/>
      <c r="AD246" s="39" t="s">
        <v>2</v>
      </c>
      <c r="AE246" s="39" t="s">
        <v>2</v>
      </c>
      <c r="AF246" s="27"/>
      <c r="AH246" s="20">
        <f t="shared" si="31"/>
        <v>0</v>
      </c>
      <c r="AI246" s="20">
        <f t="shared" si="32"/>
        <v>0</v>
      </c>
    </row>
    <row r="247" spans="1:35" ht="20.100000000000001" customHeight="1">
      <c r="A247" s="24" t="str">
        <f>ÖSSZES!$A$6</f>
        <v>Iványi István</v>
      </c>
      <c r="B247" s="39"/>
      <c r="C247" s="39"/>
      <c r="D247" s="39"/>
      <c r="E247" s="39"/>
      <c r="F247" s="39" t="s">
        <v>2</v>
      </c>
      <c r="G247" s="39" t="s">
        <v>2</v>
      </c>
      <c r="H247" s="39"/>
      <c r="I247" s="39"/>
      <c r="J247" s="39"/>
      <c r="K247" s="39"/>
      <c r="L247" s="39"/>
      <c r="M247" s="39"/>
      <c r="N247" s="39" t="s">
        <v>2</v>
      </c>
      <c r="O247" s="39" t="s">
        <v>2</v>
      </c>
      <c r="P247" s="39"/>
      <c r="Q247" s="39"/>
      <c r="R247" s="39"/>
      <c r="S247" s="39"/>
      <c r="T247" s="39"/>
      <c r="U247" s="39"/>
      <c r="V247" s="39" t="s">
        <v>2</v>
      </c>
      <c r="W247" s="39" t="s">
        <v>2</v>
      </c>
      <c r="X247" s="39"/>
      <c r="Y247" s="39"/>
      <c r="Z247" s="39"/>
      <c r="AA247" s="39"/>
      <c r="AB247" s="39"/>
      <c r="AC247" s="39"/>
      <c r="AD247" s="39" t="s">
        <v>2</v>
      </c>
      <c r="AE247" s="39" t="s">
        <v>2</v>
      </c>
      <c r="AF247" s="27"/>
      <c r="AH247" s="20">
        <f t="shared" si="31"/>
        <v>0</v>
      </c>
      <c r="AI247" s="20">
        <f t="shared" si="32"/>
        <v>0</v>
      </c>
    </row>
    <row r="248" spans="1:35" ht="20.100000000000001" customHeight="1">
      <c r="A248" s="24" t="str">
        <f>ÖSSZES!$A$7</f>
        <v>Katonka Tibor</v>
      </c>
      <c r="B248" s="39"/>
      <c r="C248" s="39"/>
      <c r="D248" s="39"/>
      <c r="E248" s="39"/>
      <c r="F248" s="39" t="s">
        <v>2</v>
      </c>
      <c r="G248" s="39" t="s">
        <v>2</v>
      </c>
      <c r="H248" s="39"/>
      <c r="I248" s="39"/>
      <c r="J248" s="39"/>
      <c r="K248" s="39"/>
      <c r="L248" s="39"/>
      <c r="M248" s="39"/>
      <c r="N248" s="39" t="s">
        <v>2</v>
      </c>
      <c r="O248" s="39" t="s">
        <v>2</v>
      </c>
      <c r="P248" s="39"/>
      <c r="Q248" s="39"/>
      <c r="R248" s="39"/>
      <c r="S248" s="39"/>
      <c r="T248" s="39"/>
      <c r="U248" s="39"/>
      <c r="V248" s="39" t="s">
        <v>2</v>
      </c>
      <c r="W248" s="39" t="s">
        <v>2</v>
      </c>
      <c r="X248" s="39"/>
      <c r="Y248" s="39"/>
      <c r="Z248" s="39"/>
      <c r="AA248" s="39"/>
      <c r="AB248" s="39"/>
      <c r="AC248" s="39"/>
      <c r="AD248" s="39" t="s">
        <v>2</v>
      </c>
      <c r="AE248" s="39" t="s">
        <v>2</v>
      </c>
      <c r="AF248" s="27"/>
      <c r="AH248" s="20">
        <f t="shared" si="31"/>
        <v>0</v>
      </c>
      <c r="AI248" s="20">
        <f t="shared" si="32"/>
        <v>0</v>
      </c>
    </row>
    <row r="249" spans="1:35" ht="20.100000000000001" customHeight="1">
      <c r="A249" s="24" t="str">
        <f>ÖSSZES!$A$8</f>
        <v>Mizsák Péter</v>
      </c>
      <c r="B249" s="39"/>
      <c r="C249" s="39"/>
      <c r="D249" s="39"/>
      <c r="E249" s="39"/>
      <c r="F249" s="39" t="s">
        <v>2</v>
      </c>
      <c r="G249" s="39" t="s">
        <v>2</v>
      </c>
      <c r="H249" s="39"/>
      <c r="I249" s="39"/>
      <c r="J249" s="39"/>
      <c r="K249" s="39"/>
      <c r="L249" s="39"/>
      <c r="M249" s="39"/>
      <c r="N249" s="39" t="s">
        <v>2</v>
      </c>
      <c r="O249" s="39" t="s">
        <v>2</v>
      </c>
      <c r="P249" s="39"/>
      <c r="Q249" s="39"/>
      <c r="R249" s="39"/>
      <c r="S249" s="39"/>
      <c r="T249" s="39"/>
      <c r="U249" s="39"/>
      <c r="V249" s="39" t="s">
        <v>2</v>
      </c>
      <c r="W249" s="39" t="s">
        <v>2</v>
      </c>
      <c r="X249" s="39"/>
      <c r="Y249" s="39"/>
      <c r="Z249" s="39"/>
      <c r="AA249" s="39"/>
      <c r="AB249" s="39"/>
      <c r="AC249" s="39"/>
      <c r="AD249" s="39" t="s">
        <v>2</v>
      </c>
      <c r="AE249" s="39" t="s">
        <v>2</v>
      </c>
      <c r="AF249" s="27"/>
      <c r="AH249" s="20">
        <f t="shared" si="31"/>
        <v>0</v>
      </c>
      <c r="AI249" s="20">
        <f t="shared" si="32"/>
        <v>0</v>
      </c>
    </row>
    <row r="250" spans="1:35" ht="20.100000000000001" customHeight="1">
      <c r="A250" s="24" t="str">
        <f>ÖSSZES!$A$9</f>
        <v>Vatamány Gergő</v>
      </c>
      <c r="B250" s="39"/>
      <c r="C250" s="39"/>
      <c r="D250" s="39"/>
      <c r="E250" s="39"/>
      <c r="F250" s="39" t="s">
        <v>2</v>
      </c>
      <c r="G250" s="39" t="s">
        <v>2</v>
      </c>
      <c r="H250" s="39"/>
      <c r="I250" s="39"/>
      <c r="J250" s="39"/>
      <c r="K250" s="39"/>
      <c r="L250" s="39"/>
      <c r="M250" s="39"/>
      <c r="N250" s="39" t="s">
        <v>2</v>
      </c>
      <c r="O250" s="39" t="s">
        <v>2</v>
      </c>
      <c r="P250" s="39"/>
      <c r="Q250" s="39"/>
      <c r="R250" s="39"/>
      <c r="S250" s="39"/>
      <c r="T250" s="39"/>
      <c r="U250" s="39"/>
      <c r="V250" s="39" t="s">
        <v>2</v>
      </c>
      <c r="W250" s="39" t="s">
        <v>2</v>
      </c>
      <c r="X250" s="39"/>
      <c r="Y250" s="39"/>
      <c r="Z250" s="39"/>
      <c r="AA250" s="39"/>
      <c r="AB250" s="39"/>
      <c r="AC250" s="39"/>
      <c r="AD250" s="39" t="s">
        <v>2</v>
      </c>
      <c r="AE250" s="39" t="s">
        <v>2</v>
      </c>
      <c r="AF250" s="27"/>
      <c r="AH250" s="20">
        <f t="shared" si="31"/>
        <v>0</v>
      </c>
      <c r="AI250" s="20">
        <f t="shared" si="32"/>
        <v>0</v>
      </c>
    </row>
    <row r="251" spans="1:35" ht="20.100000000000001" hidden="1" customHeight="1">
      <c r="A251" s="24" t="str">
        <f>ÖSSZES!$A$10</f>
        <v>Név8</v>
      </c>
      <c r="B251" s="39"/>
      <c r="C251" s="39"/>
      <c r="D251" s="39"/>
      <c r="E251" s="39"/>
      <c r="F251" s="39" t="s">
        <v>2</v>
      </c>
      <c r="G251" s="39" t="s">
        <v>2</v>
      </c>
      <c r="H251" s="39"/>
      <c r="I251" s="39"/>
      <c r="J251" s="39"/>
      <c r="K251" s="39"/>
      <c r="L251" s="39"/>
      <c r="M251" s="39"/>
      <c r="N251" s="39" t="s">
        <v>2</v>
      </c>
      <c r="O251" s="39" t="s">
        <v>2</v>
      </c>
      <c r="P251" s="39"/>
      <c r="Q251" s="39"/>
      <c r="R251" s="39"/>
      <c r="S251" s="39"/>
      <c r="T251" s="39"/>
      <c r="U251" s="39"/>
      <c r="V251" s="39" t="s">
        <v>2</v>
      </c>
      <c r="W251" s="39" t="s">
        <v>2</v>
      </c>
      <c r="X251" s="39"/>
      <c r="Y251" s="39"/>
      <c r="Z251" s="39"/>
      <c r="AA251" s="39"/>
      <c r="AB251" s="39"/>
      <c r="AC251" s="39"/>
      <c r="AD251" s="39" t="s">
        <v>2</v>
      </c>
      <c r="AE251" s="39" t="s">
        <v>2</v>
      </c>
      <c r="AF251" s="27"/>
      <c r="AH251" s="20">
        <f t="shared" si="31"/>
        <v>0</v>
      </c>
      <c r="AI251" s="20">
        <f t="shared" si="32"/>
        <v>0</v>
      </c>
    </row>
    <row r="252" spans="1:35" ht="20.100000000000001" hidden="1" customHeight="1">
      <c r="A252" s="24" t="str">
        <f>ÖSSZES!$A$11</f>
        <v>Név9</v>
      </c>
      <c r="B252" s="39"/>
      <c r="C252" s="39"/>
      <c r="D252" s="39"/>
      <c r="E252" s="39"/>
      <c r="F252" s="39" t="s">
        <v>2</v>
      </c>
      <c r="G252" s="39" t="s">
        <v>2</v>
      </c>
      <c r="H252" s="39"/>
      <c r="I252" s="39"/>
      <c r="J252" s="39"/>
      <c r="K252" s="39"/>
      <c r="L252" s="39"/>
      <c r="M252" s="39"/>
      <c r="N252" s="39" t="s">
        <v>2</v>
      </c>
      <c r="O252" s="39" t="s">
        <v>2</v>
      </c>
      <c r="P252" s="39"/>
      <c r="Q252" s="39"/>
      <c r="R252" s="39"/>
      <c r="S252" s="39"/>
      <c r="T252" s="39"/>
      <c r="U252" s="39"/>
      <c r="V252" s="39" t="s">
        <v>2</v>
      </c>
      <c r="W252" s="39" t="s">
        <v>2</v>
      </c>
      <c r="X252" s="39"/>
      <c r="Y252" s="39"/>
      <c r="Z252" s="39"/>
      <c r="AA252" s="39"/>
      <c r="AB252" s="39"/>
      <c r="AC252" s="39"/>
      <c r="AD252" s="39" t="s">
        <v>2</v>
      </c>
      <c r="AE252" s="39" t="s">
        <v>2</v>
      </c>
      <c r="AF252" s="27"/>
      <c r="AH252" s="20">
        <f t="shared" si="31"/>
        <v>0</v>
      </c>
      <c r="AI252" s="20">
        <f t="shared" si="32"/>
        <v>0</v>
      </c>
    </row>
    <row r="253" spans="1:35" ht="20.100000000000001" hidden="1" customHeight="1">
      <c r="A253" s="24" t="str">
        <f>ÖSSZES!$A$12</f>
        <v>Név10</v>
      </c>
      <c r="B253" s="39"/>
      <c r="C253" s="39"/>
      <c r="D253" s="39"/>
      <c r="E253" s="39"/>
      <c r="F253" s="39" t="s">
        <v>2</v>
      </c>
      <c r="G253" s="39" t="s">
        <v>2</v>
      </c>
      <c r="H253" s="39"/>
      <c r="I253" s="39"/>
      <c r="J253" s="39"/>
      <c r="K253" s="39"/>
      <c r="L253" s="39"/>
      <c r="M253" s="39"/>
      <c r="N253" s="39" t="s">
        <v>2</v>
      </c>
      <c r="O253" s="39" t="s">
        <v>2</v>
      </c>
      <c r="P253" s="39"/>
      <c r="Q253" s="39"/>
      <c r="R253" s="39"/>
      <c r="S253" s="39"/>
      <c r="T253" s="39"/>
      <c r="U253" s="39"/>
      <c r="V253" s="39" t="s">
        <v>2</v>
      </c>
      <c r="W253" s="39" t="s">
        <v>2</v>
      </c>
      <c r="X253" s="39"/>
      <c r="Y253" s="39"/>
      <c r="Z253" s="39"/>
      <c r="AA253" s="39"/>
      <c r="AB253" s="39"/>
      <c r="AC253" s="39"/>
      <c r="AD253" s="39" t="s">
        <v>2</v>
      </c>
      <c r="AE253" s="39" t="s">
        <v>2</v>
      </c>
      <c r="AF253" s="27"/>
      <c r="AH253" s="20">
        <f t="shared" si="31"/>
        <v>0</v>
      </c>
      <c r="AI253" s="20">
        <f t="shared" si="32"/>
        <v>0</v>
      </c>
    </row>
    <row r="254" spans="1:35" ht="20.100000000000001" hidden="1" customHeight="1">
      <c r="A254" s="24" t="str">
        <f>ÖSSZES!$A$13</f>
        <v>Név11</v>
      </c>
      <c r="B254" s="39"/>
      <c r="C254" s="39"/>
      <c r="D254" s="39"/>
      <c r="E254" s="39"/>
      <c r="F254" s="39" t="s">
        <v>2</v>
      </c>
      <c r="G254" s="39" t="s">
        <v>2</v>
      </c>
      <c r="H254" s="39"/>
      <c r="I254" s="39"/>
      <c r="J254" s="39"/>
      <c r="K254" s="39"/>
      <c r="L254" s="39"/>
      <c r="M254" s="39"/>
      <c r="N254" s="39" t="s">
        <v>2</v>
      </c>
      <c r="O254" s="39" t="s">
        <v>2</v>
      </c>
      <c r="P254" s="39"/>
      <c r="Q254" s="39"/>
      <c r="R254" s="39"/>
      <c r="S254" s="39"/>
      <c r="T254" s="39"/>
      <c r="U254" s="39"/>
      <c r="V254" s="39" t="s">
        <v>2</v>
      </c>
      <c r="W254" s="39" t="s">
        <v>2</v>
      </c>
      <c r="X254" s="39"/>
      <c r="Y254" s="39"/>
      <c r="Z254" s="39"/>
      <c r="AA254" s="39"/>
      <c r="AB254" s="39"/>
      <c r="AC254" s="39"/>
      <c r="AD254" s="39" t="s">
        <v>2</v>
      </c>
      <c r="AE254" s="39" t="s">
        <v>2</v>
      </c>
      <c r="AF254" s="27"/>
      <c r="AH254" s="20">
        <f t="shared" si="31"/>
        <v>0</v>
      </c>
      <c r="AI254" s="20">
        <f t="shared" si="32"/>
        <v>0</v>
      </c>
    </row>
    <row r="255" spans="1:35" ht="20.100000000000001" hidden="1" customHeight="1">
      <c r="A255" s="24" t="str">
        <f>ÖSSZES!$A$14</f>
        <v>Név12</v>
      </c>
      <c r="B255" s="39"/>
      <c r="C255" s="39"/>
      <c r="D255" s="39"/>
      <c r="E255" s="39"/>
      <c r="F255" s="39" t="s">
        <v>2</v>
      </c>
      <c r="G255" s="39" t="s">
        <v>2</v>
      </c>
      <c r="H255" s="39"/>
      <c r="I255" s="39"/>
      <c r="J255" s="39"/>
      <c r="K255" s="39"/>
      <c r="L255" s="39"/>
      <c r="M255" s="39"/>
      <c r="N255" s="39" t="s">
        <v>2</v>
      </c>
      <c r="O255" s="39" t="s">
        <v>2</v>
      </c>
      <c r="P255" s="39"/>
      <c r="Q255" s="39"/>
      <c r="R255" s="39"/>
      <c r="S255" s="39"/>
      <c r="T255" s="39"/>
      <c r="U255" s="39"/>
      <c r="V255" s="39" t="s">
        <v>2</v>
      </c>
      <c r="W255" s="39" t="s">
        <v>2</v>
      </c>
      <c r="X255" s="39"/>
      <c r="Y255" s="39"/>
      <c r="Z255" s="39"/>
      <c r="AA255" s="39"/>
      <c r="AB255" s="39"/>
      <c r="AC255" s="39"/>
      <c r="AD255" s="39" t="s">
        <v>2</v>
      </c>
      <c r="AE255" s="39" t="s">
        <v>2</v>
      </c>
      <c r="AF255" s="27"/>
      <c r="AH255" s="20">
        <f t="shared" si="31"/>
        <v>0</v>
      </c>
      <c r="AI255" s="20">
        <f t="shared" si="32"/>
        <v>0</v>
      </c>
    </row>
    <row r="256" spans="1:35" ht="20.100000000000001" hidden="1" customHeight="1">
      <c r="A256" s="24" t="str">
        <f>ÖSSZES!$A$15</f>
        <v>Név13</v>
      </c>
      <c r="B256" s="39"/>
      <c r="C256" s="39"/>
      <c r="D256" s="39"/>
      <c r="E256" s="39"/>
      <c r="F256" s="39" t="s">
        <v>2</v>
      </c>
      <c r="G256" s="39" t="s">
        <v>2</v>
      </c>
      <c r="H256" s="39"/>
      <c r="I256" s="39"/>
      <c r="J256" s="39"/>
      <c r="K256" s="39"/>
      <c r="L256" s="39"/>
      <c r="M256" s="39"/>
      <c r="N256" s="39" t="s">
        <v>2</v>
      </c>
      <c r="O256" s="39" t="s">
        <v>2</v>
      </c>
      <c r="P256" s="39"/>
      <c r="Q256" s="39"/>
      <c r="R256" s="39"/>
      <c r="S256" s="39"/>
      <c r="T256" s="39"/>
      <c r="U256" s="39"/>
      <c r="V256" s="39" t="s">
        <v>2</v>
      </c>
      <c r="W256" s="39" t="s">
        <v>2</v>
      </c>
      <c r="X256" s="39"/>
      <c r="Y256" s="39"/>
      <c r="Z256" s="39"/>
      <c r="AA256" s="39"/>
      <c r="AB256" s="39"/>
      <c r="AC256" s="39"/>
      <c r="AD256" s="39" t="s">
        <v>2</v>
      </c>
      <c r="AE256" s="39" t="s">
        <v>2</v>
      </c>
      <c r="AF256" s="27"/>
      <c r="AH256" s="20">
        <f t="shared" si="31"/>
        <v>0</v>
      </c>
      <c r="AI256" s="20">
        <f t="shared" si="32"/>
        <v>0</v>
      </c>
    </row>
    <row r="257" spans="1:35" ht="20.100000000000001" hidden="1" customHeight="1">
      <c r="A257" s="24" t="str">
        <f>ÖSSZES!$A$16</f>
        <v>Név14</v>
      </c>
      <c r="B257" s="39"/>
      <c r="C257" s="39"/>
      <c r="D257" s="39"/>
      <c r="E257" s="39"/>
      <c r="F257" s="39" t="s">
        <v>2</v>
      </c>
      <c r="G257" s="39" t="s">
        <v>2</v>
      </c>
      <c r="H257" s="39"/>
      <c r="I257" s="39"/>
      <c r="J257" s="39"/>
      <c r="K257" s="39"/>
      <c r="L257" s="39"/>
      <c r="M257" s="39"/>
      <c r="N257" s="39" t="s">
        <v>2</v>
      </c>
      <c r="O257" s="39" t="s">
        <v>2</v>
      </c>
      <c r="P257" s="39"/>
      <c r="Q257" s="39"/>
      <c r="R257" s="39"/>
      <c r="S257" s="39"/>
      <c r="T257" s="39"/>
      <c r="U257" s="39"/>
      <c r="V257" s="39" t="s">
        <v>2</v>
      </c>
      <c r="W257" s="39" t="s">
        <v>2</v>
      </c>
      <c r="X257" s="39"/>
      <c r="Y257" s="39"/>
      <c r="Z257" s="39"/>
      <c r="AA257" s="39"/>
      <c r="AB257" s="39"/>
      <c r="AC257" s="39"/>
      <c r="AD257" s="39" t="s">
        <v>2</v>
      </c>
      <c r="AE257" s="39" t="s">
        <v>2</v>
      </c>
      <c r="AF257" s="27"/>
      <c r="AH257" s="20">
        <f t="shared" si="31"/>
        <v>0</v>
      </c>
      <c r="AI257" s="20">
        <f t="shared" si="32"/>
        <v>0</v>
      </c>
    </row>
    <row r="258" spans="1:35" ht="20.100000000000001" hidden="1" customHeight="1">
      <c r="A258" s="24" t="str">
        <f>ÖSSZES!$A$17</f>
        <v>Név15</v>
      </c>
      <c r="B258" s="39"/>
      <c r="C258" s="39"/>
      <c r="D258" s="39"/>
      <c r="E258" s="39"/>
      <c r="F258" s="39" t="s">
        <v>2</v>
      </c>
      <c r="G258" s="39" t="s">
        <v>2</v>
      </c>
      <c r="H258" s="39"/>
      <c r="I258" s="39"/>
      <c r="J258" s="39"/>
      <c r="K258" s="39"/>
      <c r="L258" s="39"/>
      <c r="M258" s="39"/>
      <c r="N258" s="39" t="s">
        <v>2</v>
      </c>
      <c r="O258" s="39" t="s">
        <v>2</v>
      </c>
      <c r="P258" s="39"/>
      <c r="Q258" s="39"/>
      <c r="R258" s="39"/>
      <c r="S258" s="39"/>
      <c r="T258" s="39"/>
      <c r="U258" s="39"/>
      <c r="V258" s="39" t="s">
        <v>2</v>
      </c>
      <c r="W258" s="39" t="s">
        <v>2</v>
      </c>
      <c r="X258" s="39"/>
      <c r="Y258" s="39"/>
      <c r="Z258" s="39"/>
      <c r="AA258" s="39"/>
      <c r="AB258" s="39"/>
      <c r="AC258" s="39"/>
      <c r="AD258" s="39" t="s">
        <v>2</v>
      </c>
      <c r="AE258" s="39" t="s">
        <v>2</v>
      </c>
      <c r="AF258" s="27"/>
      <c r="AH258" s="20">
        <f t="shared" si="31"/>
        <v>0</v>
      </c>
      <c r="AI258" s="20">
        <f t="shared" si="32"/>
        <v>0</v>
      </c>
    </row>
    <row r="259" spans="1:35" ht="20.100000000000001" hidden="1" customHeight="1">
      <c r="A259" s="24" t="str">
        <f>ÖSSZES!$A$18</f>
        <v>Név16</v>
      </c>
      <c r="B259" s="39"/>
      <c r="C259" s="39"/>
      <c r="D259" s="39"/>
      <c r="E259" s="39"/>
      <c r="F259" s="39" t="s">
        <v>2</v>
      </c>
      <c r="G259" s="39" t="s">
        <v>2</v>
      </c>
      <c r="H259" s="39"/>
      <c r="I259" s="39"/>
      <c r="J259" s="39"/>
      <c r="K259" s="39"/>
      <c r="L259" s="39"/>
      <c r="M259" s="39"/>
      <c r="N259" s="39" t="s">
        <v>2</v>
      </c>
      <c r="O259" s="39" t="s">
        <v>2</v>
      </c>
      <c r="P259" s="39"/>
      <c r="Q259" s="39"/>
      <c r="R259" s="39"/>
      <c r="S259" s="39"/>
      <c r="T259" s="39"/>
      <c r="U259" s="39"/>
      <c r="V259" s="39" t="s">
        <v>2</v>
      </c>
      <c r="W259" s="39" t="s">
        <v>2</v>
      </c>
      <c r="X259" s="39"/>
      <c r="Y259" s="39"/>
      <c r="Z259" s="39"/>
      <c r="AA259" s="39"/>
      <c r="AB259" s="39"/>
      <c r="AC259" s="39"/>
      <c r="AD259" s="39" t="s">
        <v>2</v>
      </c>
      <c r="AE259" s="39" t="s">
        <v>2</v>
      </c>
      <c r="AF259" s="27"/>
      <c r="AH259" s="20">
        <f t="shared" si="31"/>
        <v>0</v>
      </c>
      <c r="AI259" s="20">
        <f t="shared" si="32"/>
        <v>0</v>
      </c>
    </row>
    <row r="260" spans="1:35" ht="20.100000000000001" hidden="1" customHeight="1">
      <c r="A260" s="24" t="str">
        <f>ÖSSZES!$A$19</f>
        <v>Név17</v>
      </c>
      <c r="B260" s="39"/>
      <c r="C260" s="39"/>
      <c r="D260" s="39"/>
      <c r="E260" s="39"/>
      <c r="F260" s="39" t="s">
        <v>2</v>
      </c>
      <c r="G260" s="39" t="s">
        <v>2</v>
      </c>
      <c r="H260" s="39"/>
      <c r="I260" s="39"/>
      <c r="J260" s="39"/>
      <c r="K260" s="39"/>
      <c r="L260" s="39"/>
      <c r="M260" s="39"/>
      <c r="N260" s="39" t="s">
        <v>2</v>
      </c>
      <c r="O260" s="39" t="s">
        <v>2</v>
      </c>
      <c r="P260" s="39"/>
      <c r="Q260" s="39"/>
      <c r="R260" s="39"/>
      <c r="S260" s="39"/>
      <c r="T260" s="39"/>
      <c r="U260" s="39"/>
      <c r="V260" s="39" t="s">
        <v>2</v>
      </c>
      <c r="W260" s="39" t="s">
        <v>2</v>
      </c>
      <c r="X260" s="39"/>
      <c r="Y260" s="39"/>
      <c r="Z260" s="39"/>
      <c r="AA260" s="39"/>
      <c r="AB260" s="39"/>
      <c r="AC260" s="39"/>
      <c r="AD260" s="39" t="s">
        <v>2</v>
      </c>
      <c r="AE260" s="39" t="s">
        <v>2</v>
      </c>
      <c r="AF260" s="27"/>
      <c r="AH260" s="20">
        <f t="shared" si="31"/>
        <v>0</v>
      </c>
      <c r="AI260" s="20">
        <f t="shared" si="32"/>
        <v>0</v>
      </c>
    </row>
    <row r="261" spans="1:35" ht="20.100000000000001" hidden="1" customHeight="1">
      <c r="A261" s="24" t="str">
        <f>ÖSSZES!$A$20</f>
        <v>Név18</v>
      </c>
      <c r="B261" s="39"/>
      <c r="C261" s="39"/>
      <c r="D261" s="39"/>
      <c r="E261" s="39"/>
      <c r="F261" s="39" t="s">
        <v>2</v>
      </c>
      <c r="G261" s="39" t="s">
        <v>2</v>
      </c>
      <c r="H261" s="39"/>
      <c r="I261" s="39"/>
      <c r="J261" s="39"/>
      <c r="K261" s="39"/>
      <c r="L261" s="39"/>
      <c r="M261" s="39"/>
      <c r="N261" s="39" t="s">
        <v>2</v>
      </c>
      <c r="O261" s="39" t="s">
        <v>2</v>
      </c>
      <c r="P261" s="39"/>
      <c r="Q261" s="39"/>
      <c r="R261" s="39"/>
      <c r="S261" s="39"/>
      <c r="T261" s="39"/>
      <c r="U261" s="39"/>
      <c r="V261" s="39" t="s">
        <v>2</v>
      </c>
      <c r="W261" s="39" t="s">
        <v>2</v>
      </c>
      <c r="X261" s="39"/>
      <c r="Y261" s="39"/>
      <c r="Z261" s="39"/>
      <c r="AA261" s="39"/>
      <c r="AB261" s="39"/>
      <c r="AC261" s="39"/>
      <c r="AD261" s="39" t="s">
        <v>2</v>
      </c>
      <c r="AE261" s="39" t="s">
        <v>2</v>
      </c>
      <c r="AF261" s="27"/>
      <c r="AH261" s="20">
        <f t="shared" si="31"/>
        <v>0</v>
      </c>
      <c r="AI261" s="20">
        <f t="shared" si="32"/>
        <v>0</v>
      </c>
    </row>
    <row r="262" spans="1:35" ht="20.100000000000001" hidden="1" customHeight="1">
      <c r="A262" s="24" t="str">
        <f>ÖSSZES!$A$21</f>
        <v>Név19</v>
      </c>
      <c r="B262" s="39"/>
      <c r="C262" s="39"/>
      <c r="D262" s="39"/>
      <c r="E262" s="39"/>
      <c r="F262" s="39" t="s">
        <v>2</v>
      </c>
      <c r="G262" s="39" t="s">
        <v>2</v>
      </c>
      <c r="H262" s="39"/>
      <c r="I262" s="39"/>
      <c r="J262" s="39"/>
      <c r="K262" s="39"/>
      <c r="L262" s="39"/>
      <c r="M262" s="39"/>
      <c r="N262" s="39" t="s">
        <v>2</v>
      </c>
      <c r="O262" s="39" t="s">
        <v>2</v>
      </c>
      <c r="P262" s="39"/>
      <c r="Q262" s="39"/>
      <c r="R262" s="39"/>
      <c r="S262" s="39"/>
      <c r="T262" s="39"/>
      <c r="U262" s="39"/>
      <c r="V262" s="39" t="s">
        <v>2</v>
      </c>
      <c r="W262" s="39" t="s">
        <v>2</v>
      </c>
      <c r="X262" s="39"/>
      <c r="Y262" s="39"/>
      <c r="Z262" s="39"/>
      <c r="AA262" s="39"/>
      <c r="AB262" s="39"/>
      <c r="AC262" s="39"/>
      <c r="AD262" s="39" t="s">
        <v>2</v>
      </c>
      <c r="AE262" s="39" t="s">
        <v>2</v>
      </c>
      <c r="AF262" s="27"/>
      <c r="AH262" s="20">
        <f t="shared" si="31"/>
        <v>0</v>
      </c>
      <c r="AI262" s="20">
        <f t="shared" si="32"/>
        <v>0</v>
      </c>
    </row>
    <row r="263" spans="1:35" ht="20.100000000000001" hidden="1" customHeight="1">
      <c r="A263" s="24" t="str">
        <f>ÖSSZES!$A$17</f>
        <v>Név15</v>
      </c>
      <c r="B263" s="39"/>
      <c r="C263" s="39"/>
      <c r="D263" s="39"/>
      <c r="E263" s="39"/>
      <c r="F263" s="39" t="s">
        <v>2</v>
      </c>
      <c r="G263" s="39" t="s">
        <v>2</v>
      </c>
      <c r="H263" s="39"/>
      <c r="I263" s="39"/>
      <c r="J263" s="39"/>
      <c r="K263" s="39"/>
      <c r="L263" s="39"/>
      <c r="M263" s="39"/>
      <c r="N263" s="39" t="s">
        <v>2</v>
      </c>
      <c r="O263" s="39" t="s">
        <v>2</v>
      </c>
      <c r="P263" s="39"/>
      <c r="Q263" s="39"/>
      <c r="R263" s="39"/>
      <c r="S263" s="39"/>
      <c r="T263" s="39"/>
      <c r="U263" s="39"/>
      <c r="V263" s="39" t="s">
        <v>2</v>
      </c>
      <c r="W263" s="39" t="s">
        <v>2</v>
      </c>
      <c r="X263" s="39"/>
      <c r="Y263" s="39"/>
      <c r="Z263" s="39"/>
      <c r="AA263" s="39"/>
      <c r="AB263" s="39"/>
      <c r="AC263" s="39"/>
      <c r="AD263" s="39" t="s">
        <v>2</v>
      </c>
      <c r="AE263" s="39" t="s">
        <v>2</v>
      </c>
      <c r="AF263" s="27"/>
      <c r="AH263" s="20">
        <f t="shared" si="31"/>
        <v>0</v>
      </c>
      <c r="AI263" s="20">
        <f t="shared" si="32"/>
        <v>0</v>
      </c>
    </row>
    <row r="264" spans="1:35" s="28" customFormat="1" ht="20.100000000000001" customHeight="1">
      <c r="A264" s="17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H264" s="33"/>
      <c r="AI264" s="33"/>
    </row>
    <row r="265" spans="1:35" s="31" customFormat="1" ht="20.100000000000001" customHeight="1">
      <c r="A265" s="54" t="s">
        <v>16</v>
      </c>
      <c r="B265" s="30">
        <v>1</v>
      </c>
      <c r="C265" s="30">
        <v>2</v>
      </c>
      <c r="D265" s="30">
        <v>3</v>
      </c>
      <c r="E265" s="30">
        <v>4</v>
      </c>
      <c r="F265" s="30">
        <v>5</v>
      </c>
      <c r="G265" s="30">
        <v>6</v>
      </c>
      <c r="H265" s="30">
        <v>7</v>
      </c>
      <c r="I265" s="30">
        <v>8</v>
      </c>
      <c r="J265" s="30">
        <v>9</v>
      </c>
      <c r="K265" s="30">
        <v>10</v>
      </c>
      <c r="L265" s="30">
        <v>11</v>
      </c>
      <c r="M265" s="30">
        <v>12</v>
      </c>
      <c r="N265" s="30">
        <v>13</v>
      </c>
      <c r="O265" s="30">
        <v>14</v>
      </c>
      <c r="P265" s="30">
        <v>15</v>
      </c>
      <c r="Q265" s="30">
        <v>16</v>
      </c>
      <c r="R265" s="30">
        <v>17</v>
      </c>
      <c r="S265" s="30">
        <v>18</v>
      </c>
      <c r="T265" s="30">
        <v>19</v>
      </c>
      <c r="U265" s="30">
        <v>20</v>
      </c>
      <c r="V265" s="30">
        <v>21</v>
      </c>
      <c r="W265" s="30">
        <v>22</v>
      </c>
      <c r="X265" s="30">
        <v>23</v>
      </c>
      <c r="Y265" s="30">
        <v>24</v>
      </c>
      <c r="Z265" s="29">
        <v>25</v>
      </c>
      <c r="AA265" s="29">
        <v>26</v>
      </c>
      <c r="AB265" s="30">
        <v>27</v>
      </c>
      <c r="AC265" s="30">
        <v>28</v>
      </c>
      <c r="AD265" s="30">
        <v>29</v>
      </c>
      <c r="AE265" s="30">
        <v>30</v>
      </c>
      <c r="AF265" s="30">
        <v>31</v>
      </c>
      <c r="AH265" s="54" t="s">
        <v>18</v>
      </c>
      <c r="AI265" s="54" t="s">
        <v>19</v>
      </c>
    </row>
    <row r="266" spans="1:35" ht="20.100000000000001" customHeight="1">
      <c r="A266" s="56"/>
      <c r="B266" s="32" t="str">
        <f>'2021'!B92</f>
        <v>Sze</v>
      </c>
      <c r="C266" s="32" t="str">
        <f>'2021'!C92</f>
        <v>Cs</v>
      </c>
      <c r="D266" s="32" t="str">
        <f>'2021'!D92</f>
        <v>P</v>
      </c>
      <c r="E266" s="32" t="str">
        <f>'2021'!E92</f>
        <v>Szo</v>
      </c>
      <c r="F266" s="32" t="str">
        <f>'2021'!F92</f>
        <v>V</v>
      </c>
      <c r="G266" s="32" t="str">
        <f>'2021'!G92</f>
        <v>H</v>
      </c>
      <c r="H266" s="32" t="str">
        <f>'2021'!H92</f>
        <v>K</v>
      </c>
      <c r="I266" s="32" t="str">
        <f>'2021'!I92</f>
        <v>Sze</v>
      </c>
      <c r="J266" s="32" t="str">
        <f>'2021'!J92</f>
        <v>Cs</v>
      </c>
      <c r="K266" s="32" t="str">
        <f>'2021'!K92</f>
        <v>P</v>
      </c>
      <c r="L266" s="32" t="str">
        <f>'2021'!L92</f>
        <v>Szo</v>
      </c>
      <c r="M266" s="32" t="str">
        <f>'2021'!M92</f>
        <v>V</v>
      </c>
      <c r="N266" s="32" t="str">
        <f>'2021'!N92</f>
        <v>H</v>
      </c>
      <c r="O266" s="32" t="str">
        <f>'2021'!O92</f>
        <v>K</v>
      </c>
      <c r="P266" s="32" t="str">
        <f>'2021'!P92</f>
        <v>Sze</v>
      </c>
      <c r="Q266" s="32" t="str">
        <f>'2021'!Q92</f>
        <v>Cs</v>
      </c>
      <c r="R266" s="32" t="str">
        <f>'2021'!R92</f>
        <v>P</v>
      </c>
      <c r="S266" s="32" t="str">
        <f>'2021'!S92</f>
        <v>Szo</v>
      </c>
      <c r="T266" s="32" t="str">
        <f>'2021'!T92</f>
        <v>V</v>
      </c>
      <c r="U266" s="32" t="str">
        <f>'2021'!U92</f>
        <v>H</v>
      </c>
      <c r="V266" s="32" t="str">
        <f>'2021'!V92</f>
        <v>K</v>
      </c>
      <c r="W266" s="32" t="str">
        <f>'2021'!W92</f>
        <v>Sze</v>
      </c>
      <c r="X266" s="32" t="str">
        <f>'2021'!X92</f>
        <v>Cs</v>
      </c>
      <c r="Y266" s="32" t="str">
        <f>'2021'!Y92</f>
        <v>P</v>
      </c>
      <c r="Z266" s="32" t="str">
        <f>'2021'!Z92</f>
        <v>Szo</v>
      </c>
      <c r="AA266" s="32" t="str">
        <f>'2021'!AA92</f>
        <v>V</v>
      </c>
      <c r="AB266" s="32" t="str">
        <f>'2021'!AB92</f>
        <v>H</v>
      </c>
      <c r="AC266" s="32" t="str">
        <f>'2021'!AC92</f>
        <v>K</v>
      </c>
      <c r="AD266" s="32" t="str">
        <f>'2021'!AD92</f>
        <v>Sze</v>
      </c>
      <c r="AE266" s="32" t="str">
        <f>'2021'!AE92</f>
        <v>Cs</v>
      </c>
      <c r="AF266" s="32" t="str">
        <f>'2021'!AF92</f>
        <v>P</v>
      </c>
      <c r="AH266" s="55"/>
      <c r="AI266" s="55"/>
    </row>
    <row r="267" spans="1:35" ht="20.100000000000001" customHeight="1">
      <c r="A267" s="55"/>
      <c r="B267" s="32">
        <f>'2021'!B93</f>
        <v>2</v>
      </c>
      <c r="C267" s="32">
        <f>'2021'!C93</f>
        <v>2</v>
      </c>
      <c r="D267" s="32">
        <f>'2021'!D93</f>
        <v>2</v>
      </c>
      <c r="E267" s="32">
        <f>'2021'!E93</f>
        <v>2</v>
      </c>
      <c r="F267" s="32">
        <f>'2021'!F93</f>
        <v>2</v>
      </c>
      <c r="G267" s="32">
        <f>'2021'!G93</f>
        <v>2</v>
      </c>
      <c r="H267" s="32" t="str">
        <f>'2021'!H93</f>
        <v>X</v>
      </c>
      <c r="I267" s="32" t="str">
        <f>'2021'!I93</f>
        <v>X</v>
      </c>
      <c r="J267" s="32">
        <f>'2021'!J93</f>
        <v>1</v>
      </c>
      <c r="K267" s="32">
        <f>'2021'!K93</f>
        <v>1</v>
      </c>
      <c r="L267" s="32">
        <f>'2021'!L93</f>
        <v>1</v>
      </c>
      <c r="M267" s="32">
        <f>'2021'!M93</f>
        <v>1</v>
      </c>
      <c r="N267" s="32">
        <f>'2021'!N93</f>
        <v>1</v>
      </c>
      <c r="O267" s="32">
        <f>'2021'!O93</f>
        <v>1</v>
      </c>
      <c r="P267" s="32" t="str">
        <f>'2021'!P93</f>
        <v>X</v>
      </c>
      <c r="Q267" s="32" t="str">
        <f>'2021'!Q93</f>
        <v>X</v>
      </c>
      <c r="R267" s="32">
        <f>'2021'!R93</f>
        <v>3</v>
      </c>
      <c r="S267" s="32">
        <f>'2021'!S93</f>
        <v>3</v>
      </c>
      <c r="T267" s="32">
        <f>'2021'!T93</f>
        <v>3</v>
      </c>
      <c r="U267" s="32">
        <f>'2021'!U93</f>
        <v>3</v>
      </c>
      <c r="V267" s="32">
        <f>'2021'!V93</f>
        <v>3</v>
      </c>
      <c r="W267" s="32">
        <f>'2021'!W93</f>
        <v>3</v>
      </c>
      <c r="X267" s="32" t="str">
        <f>'2021'!X93</f>
        <v>X</v>
      </c>
      <c r="Y267" s="32" t="str">
        <f>'2021'!Y93</f>
        <v>X</v>
      </c>
      <c r="Z267" s="32">
        <f>'2021'!Z93</f>
        <v>2</v>
      </c>
      <c r="AA267" s="32">
        <f>'2021'!AA93</f>
        <v>2</v>
      </c>
      <c r="AB267" s="32">
        <f>'2021'!AB93</f>
        <v>2</v>
      </c>
      <c r="AC267" s="32">
        <f>'2021'!AC93</f>
        <v>2</v>
      </c>
      <c r="AD267" s="32">
        <f>'2021'!AD93</f>
        <v>2</v>
      </c>
      <c r="AE267" s="32">
        <f>'2021'!AE93</f>
        <v>2</v>
      </c>
      <c r="AF267" s="32" t="str">
        <f>'2021'!AF93</f>
        <v>X</v>
      </c>
      <c r="AH267" s="55"/>
      <c r="AI267" s="55"/>
    </row>
    <row r="268" spans="1:35" ht="20.100000000000001" customHeight="1">
      <c r="A268" s="24" t="str">
        <f>ÖSSZES!$A$3</f>
        <v>Csuka Lajos</v>
      </c>
      <c r="B268" s="39"/>
      <c r="C268" s="39"/>
      <c r="D268" s="39"/>
      <c r="E268" s="39"/>
      <c r="F268" s="39"/>
      <c r="G268" s="39"/>
      <c r="H268" s="39" t="s">
        <v>2</v>
      </c>
      <c r="I268" s="39" t="s">
        <v>2</v>
      </c>
      <c r="J268" s="39"/>
      <c r="K268" s="39"/>
      <c r="L268" s="39"/>
      <c r="M268" s="39"/>
      <c r="N268" s="39"/>
      <c r="O268" s="39"/>
      <c r="P268" s="39" t="s">
        <v>2</v>
      </c>
      <c r="Q268" s="39" t="s">
        <v>2</v>
      </c>
      <c r="R268" s="39"/>
      <c r="S268" s="39"/>
      <c r="T268" s="39"/>
      <c r="U268" s="39"/>
      <c r="V268" s="39"/>
      <c r="W268" s="39"/>
      <c r="X268" s="39" t="s">
        <v>2</v>
      </c>
      <c r="Y268" s="39" t="s">
        <v>2</v>
      </c>
      <c r="Z268" s="39"/>
      <c r="AA268" s="39"/>
      <c r="AB268" s="39"/>
      <c r="AC268" s="39"/>
      <c r="AD268" s="39"/>
      <c r="AE268" s="39"/>
      <c r="AF268" s="39" t="s">
        <v>2</v>
      </c>
      <c r="AH268" s="20">
        <f>1*COUNTIF(A268:AF268,"+")</f>
        <v>0</v>
      </c>
      <c r="AI268" s="20">
        <f t="shared" ref="AI268" si="33">1*COUNTIF(B268:AF268,"szf")</f>
        <v>0</v>
      </c>
    </row>
    <row r="269" spans="1:35" ht="20.100000000000001" customHeight="1">
      <c r="A269" s="24" t="str">
        <f>ÖSSZES!$A$4</f>
        <v>Batiz Attila</v>
      </c>
      <c r="B269" s="39"/>
      <c r="C269" s="39"/>
      <c r="D269" s="39"/>
      <c r="E269" s="39"/>
      <c r="F269" s="39"/>
      <c r="G269" s="39"/>
      <c r="H269" s="39" t="s">
        <v>2</v>
      </c>
      <c r="I269" s="39" t="s">
        <v>2</v>
      </c>
      <c r="J269" s="39"/>
      <c r="K269" s="39"/>
      <c r="L269" s="39"/>
      <c r="M269" s="39"/>
      <c r="N269" s="39"/>
      <c r="O269" s="39"/>
      <c r="P269" s="39" t="s">
        <v>2</v>
      </c>
      <c r="Q269" s="39" t="s">
        <v>2</v>
      </c>
      <c r="R269" s="39"/>
      <c r="S269" s="39"/>
      <c r="T269" s="39"/>
      <c r="U269" s="39"/>
      <c r="V269" s="39"/>
      <c r="W269" s="39"/>
      <c r="X269" s="39" t="s">
        <v>2</v>
      </c>
      <c r="Y269" s="39" t="s">
        <v>2</v>
      </c>
      <c r="Z269" s="39"/>
      <c r="AA269" s="39"/>
      <c r="AB269" s="39"/>
      <c r="AC269" s="39"/>
      <c r="AD269" s="39"/>
      <c r="AE269" s="39"/>
      <c r="AF269" s="39" t="s">
        <v>2</v>
      </c>
      <c r="AH269" s="20">
        <f t="shared" ref="AH269:AH287" si="34">1*COUNTIF(A269:AF269,"+")</f>
        <v>0</v>
      </c>
      <c r="AI269" s="20">
        <f t="shared" ref="AI269:AI287" si="35">1*COUNTIF(B269:AF269,"szf")</f>
        <v>0</v>
      </c>
    </row>
    <row r="270" spans="1:35" ht="20.100000000000001" customHeight="1">
      <c r="A270" s="24" t="str">
        <f>ÖSSZES!$A$5</f>
        <v>Füredi Antal</v>
      </c>
      <c r="B270" s="39"/>
      <c r="C270" s="39"/>
      <c r="D270" s="39"/>
      <c r="E270" s="39"/>
      <c r="F270" s="39"/>
      <c r="G270" s="39"/>
      <c r="H270" s="39" t="s">
        <v>2</v>
      </c>
      <c r="I270" s="39" t="s">
        <v>2</v>
      </c>
      <c r="J270" s="39"/>
      <c r="K270" s="39"/>
      <c r="L270" s="39"/>
      <c r="M270" s="39"/>
      <c r="N270" s="39"/>
      <c r="O270" s="39"/>
      <c r="P270" s="39" t="s">
        <v>2</v>
      </c>
      <c r="Q270" s="39" t="s">
        <v>2</v>
      </c>
      <c r="R270" s="39"/>
      <c r="S270" s="39"/>
      <c r="T270" s="39"/>
      <c r="U270" s="39"/>
      <c r="V270" s="39"/>
      <c r="W270" s="39"/>
      <c r="X270" s="39" t="s">
        <v>2</v>
      </c>
      <c r="Y270" s="39" t="s">
        <v>2</v>
      </c>
      <c r="Z270" s="39"/>
      <c r="AA270" s="39"/>
      <c r="AB270" s="39"/>
      <c r="AC270" s="39"/>
      <c r="AD270" s="39"/>
      <c r="AE270" s="39"/>
      <c r="AF270" s="39" t="s">
        <v>2</v>
      </c>
      <c r="AH270" s="20">
        <f t="shared" si="34"/>
        <v>0</v>
      </c>
      <c r="AI270" s="20">
        <f t="shared" si="35"/>
        <v>0</v>
      </c>
    </row>
    <row r="271" spans="1:35" ht="20.100000000000001" customHeight="1">
      <c r="A271" s="24" t="str">
        <f>ÖSSZES!$A$6</f>
        <v>Iványi István</v>
      </c>
      <c r="B271" s="39"/>
      <c r="C271" s="39"/>
      <c r="D271" s="39"/>
      <c r="E271" s="39"/>
      <c r="F271" s="39"/>
      <c r="G271" s="39"/>
      <c r="H271" s="39" t="s">
        <v>2</v>
      </c>
      <c r="I271" s="39" t="s">
        <v>2</v>
      </c>
      <c r="J271" s="39"/>
      <c r="K271" s="39"/>
      <c r="L271" s="39"/>
      <c r="M271" s="39"/>
      <c r="N271" s="39"/>
      <c r="O271" s="39"/>
      <c r="P271" s="39" t="s">
        <v>2</v>
      </c>
      <c r="Q271" s="39" t="s">
        <v>2</v>
      </c>
      <c r="R271" s="39"/>
      <c r="S271" s="39"/>
      <c r="T271" s="39"/>
      <c r="U271" s="39"/>
      <c r="V271" s="39"/>
      <c r="W271" s="39"/>
      <c r="X271" s="39" t="s">
        <v>2</v>
      </c>
      <c r="Y271" s="39" t="s">
        <v>2</v>
      </c>
      <c r="Z271" s="39"/>
      <c r="AA271" s="39"/>
      <c r="AB271" s="39"/>
      <c r="AC271" s="39"/>
      <c r="AD271" s="39"/>
      <c r="AE271" s="39"/>
      <c r="AF271" s="39" t="s">
        <v>2</v>
      </c>
      <c r="AH271" s="20">
        <f t="shared" si="34"/>
        <v>0</v>
      </c>
      <c r="AI271" s="20">
        <f t="shared" si="35"/>
        <v>0</v>
      </c>
    </row>
    <row r="272" spans="1:35" ht="20.100000000000001" customHeight="1">
      <c r="A272" s="24" t="str">
        <f>ÖSSZES!$A$7</f>
        <v>Katonka Tibor</v>
      </c>
      <c r="B272" s="39"/>
      <c r="C272" s="39"/>
      <c r="D272" s="39"/>
      <c r="E272" s="39"/>
      <c r="F272" s="39"/>
      <c r="G272" s="39"/>
      <c r="H272" s="39" t="s">
        <v>2</v>
      </c>
      <c r="I272" s="39" t="s">
        <v>2</v>
      </c>
      <c r="J272" s="39"/>
      <c r="K272" s="39"/>
      <c r="L272" s="39"/>
      <c r="M272" s="39"/>
      <c r="N272" s="39"/>
      <c r="O272" s="39"/>
      <c r="P272" s="39" t="s">
        <v>2</v>
      </c>
      <c r="Q272" s="39" t="s">
        <v>2</v>
      </c>
      <c r="R272" s="39"/>
      <c r="S272" s="39"/>
      <c r="T272" s="39"/>
      <c r="U272" s="39"/>
      <c r="V272" s="39"/>
      <c r="W272" s="39"/>
      <c r="X272" s="39" t="s">
        <v>2</v>
      </c>
      <c r="Y272" s="39" t="s">
        <v>2</v>
      </c>
      <c r="Z272" s="39"/>
      <c r="AA272" s="39"/>
      <c r="AB272" s="39"/>
      <c r="AC272" s="39"/>
      <c r="AD272" s="39"/>
      <c r="AE272" s="39"/>
      <c r="AF272" s="39" t="s">
        <v>2</v>
      </c>
      <c r="AH272" s="20">
        <f t="shared" si="34"/>
        <v>0</v>
      </c>
      <c r="AI272" s="20">
        <f t="shared" si="35"/>
        <v>0</v>
      </c>
    </row>
    <row r="273" spans="1:35" ht="20.100000000000001" customHeight="1">
      <c r="A273" s="24" t="str">
        <f>ÖSSZES!$A$8</f>
        <v>Mizsák Péter</v>
      </c>
      <c r="B273" s="39"/>
      <c r="C273" s="39"/>
      <c r="D273" s="39"/>
      <c r="E273" s="39"/>
      <c r="F273" s="39"/>
      <c r="G273" s="39"/>
      <c r="H273" s="39" t="s">
        <v>2</v>
      </c>
      <c r="I273" s="39" t="s">
        <v>2</v>
      </c>
      <c r="J273" s="39"/>
      <c r="K273" s="39"/>
      <c r="L273" s="39"/>
      <c r="M273" s="39"/>
      <c r="N273" s="39"/>
      <c r="O273" s="39"/>
      <c r="P273" s="39" t="s">
        <v>2</v>
      </c>
      <c r="Q273" s="39" t="s">
        <v>2</v>
      </c>
      <c r="R273" s="39"/>
      <c r="S273" s="39"/>
      <c r="T273" s="39"/>
      <c r="U273" s="39"/>
      <c r="V273" s="39"/>
      <c r="W273" s="39"/>
      <c r="X273" s="39" t="s">
        <v>2</v>
      </c>
      <c r="Y273" s="39" t="s">
        <v>2</v>
      </c>
      <c r="Z273" s="39"/>
      <c r="AA273" s="39"/>
      <c r="AB273" s="39"/>
      <c r="AC273" s="39"/>
      <c r="AD273" s="39"/>
      <c r="AE273" s="39"/>
      <c r="AF273" s="39" t="s">
        <v>2</v>
      </c>
      <c r="AH273" s="20">
        <f t="shared" si="34"/>
        <v>0</v>
      </c>
      <c r="AI273" s="20">
        <f t="shared" si="35"/>
        <v>0</v>
      </c>
    </row>
    <row r="274" spans="1:35" ht="20.100000000000001" customHeight="1">
      <c r="A274" s="24" t="str">
        <f>ÖSSZES!$A$9</f>
        <v>Vatamány Gergő</v>
      </c>
      <c r="B274" s="39"/>
      <c r="C274" s="39"/>
      <c r="D274" s="39"/>
      <c r="E274" s="39"/>
      <c r="F274" s="39"/>
      <c r="G274" s="39"/>
      <c r="H274" s="39" t="s">
        <v>2</v>
      </c>
      <c r="I274" s="39" t="s">
        <v>2</v>
      </c>
      <c r="J274" s="39"/>
      <c r="K274" s="39"/>
      <c r="L274" s="39"/>
      <c r="M274" s="39"/>
      <c r="N274" s="39"/>
      <c r="O274" s="39"/>
      <c r="P274" s="39" t="s">
        <v>2</v>
      </c>
      <c r="Q274" s="39" t="s">
        <v>2</v>
      </c>
      <c r="R274" s="39"/>
      <c r="S274" s="39"/>
      <c r="T274" s="39"/>
      <c r="U274" s="39"/>
      <c r="V274" s="39"/>
      <c r="W274" s="39"/>
      <c r="X274" s="39" t="s">
        <v>2</v>
      </c>
      <c r="Y274" s="39" t="s">
        <v>2</v>
      </c>
      <c r="Z274" s="39"/>
      <c r="AA274" s="39"/>
      <c r="AB274" s="39"/>
      <c r="AC274" s="39"/>
      <c r="AD274" s="39"/>
      <c r="AE274" s="39"/>
      <c r="AF274" s="39" t="s">
        <v>2</v>
      </c>
      <c r="AH274" s="20">
        <f t="shared" si="34"/>
        <v>0</v>
      </c>
      <c r="AI274" s="20">
        <f t="shared" si="35"/>
        <v>0</v>
      </c>
    </row>
    <row r="275" spans="1:35" ht="20.100000000000001" hidden="1" customHeight="1">
      <c r="A275" s="24" t="str">
        <f>ÖSSZES!$A$10</f>
        <v>Név8</v>
      </c>
      <c r="B275" s="39"/>
      <c r="C275" s="39"/>
      <c r="D275" s="39"/>
      <c r="E275" s="39"/>
      <c r="F275" s="39"/>
      <c r="G275" s="39"/>
      <c r="H275" s="39" t="s">
        <v>2</v>
      </c>
      <c r="I275" s="39" t="s">
        <v>2</v>
      </c>
      <c r="J275" s="39"/>
      <c r="K275" s="39"/>
      <c r="L275" s="39"/>
      <c r="M275" s="39"/>
      <c r="N275" s="39"/>
      <c r="O275" s="39"/>
      <c r="P275" s="39" t="s">
        <v>2</v>
      </c>
      <c r="Q275" s="39" t="s">
        <v>2</v>
      </c>
      <c r="R275" s="39"/>
      <c r="S275" s="39"/>
      <c r="T275" s="39"/>
      <c r="U275" s="39"/>
      <c r="V275" s="39"/>
      <c r="W275" s="39"/>
      <c r="X275" s="39" t="s">
        <v>2</v>
      </c>
      <c r="Y275" s="39" t="s">
        <v>2</v>
      </c>
      <c r="Z275" s="39"/>
      <c r="AA275" s="39"/>
      <c r="AB275" s="39"/>
      <c r="AC275" s="39"/>
      <c r="AD275" s="39"/>
      <c r="AE275" s="39"/>
      <c r="AF275" s="39" t="s">
        <v>2</v>
      </c>
      <c r="AH275" s="20">
        <f t="shared" si="34"/>
        <v>0</v>
      </c>
      <c r="AI275" s="20">
        <f t="shared" si="35"/>
        <v>0</v>
      </c>
    </row>
    <row r="276" spans="1:35" ht="20.100000000000001" hidden="1" customHeight="1">
      <c r="A276" s="24" t="str">
        <f>ÖSSZES!$A$11</f>
        <v>Név9</v>
      </c>
      <c r="B276" s="39"/>
      <c r="C276" s="39"/>
      <c r="D276" s="39"/>
      <c r="E276" s="39"/>
      <c r="F276" s="39"/>
      <c r="G276" s="39"/>
      <c r="H276" s="39" t="s">
        <v>2</v>
      </c>
      <c r="I276" s="39" t="s">
        <v>2</v>
      </c>
      <c r="J276" s="39"/>
      <c r="K276" s="39"/>
      <c r="L276" s="39"/>
      <c r="M276" s="39"/>
      <c r="N276" s="39"/>
      <c r="O276" s="39"/>
      <c r="P276" s="39" t="s">
        <v>2</v>
      </c>
      <c r="Q276" s="39" t="s">
        <v>2</v>
      </c>
      <c r="R276" s="39"/>
      <c r="S276" s="39"/>
      <c r="T276" s="39"/>
      <c r="U276" s="39"/>
      <c r="V276" s="39"/>
      <c r="W276" s="39"/>
      <c r="X276" s="39" t="s">
        <v>2</v>
      </c>
      <c r="Y276" s="39" t="s">
        <v>2</v>
      </c>
      <c r="Z276" s="39"/>
      <c r="AA276" s="39"/>
      <c r="AB276" s="39"/>
      <c r="AC276" s="39"/>
      <c r="AD276" s="39"/>
      <c r="AE276" s="39"/>
      <c r="AF276" s="39" t="s">
        <v>2</v>
      </c>
      <c r="AH276" s="20">
        <f t="shared" si="34"/>
        <v>0</v>
      </c>
      <c r="AI276" s="20">
        <f t="shared" si="35"/>
        <v>0</v>
      </c>
    </row>
    <row r="277" spans="1:35" ht="20.100000000000001" hidden="1" customHeight="1">
      <c r="A277" s="24" t="str">
        <f>ÖSSZES!$A$12</f>
        <v>Név10</v>
      </c>
      <c r="B277" s="39"/>
      <c r="C277" s="39"/>
      <c r="D277" s="39"/>
      <c r="E277" s="39"/>
      <c r="F277" s="39"/>
      <c r="G277" s="39"/>
      <c r="H277" s="39" t="s">
        <v>2</v>
      </c>
      <c r="I277" s="39" t="s">
        <v>2</v>
      </c>
      <c r="J277" s="39"/>
      <c r="K277" s="39"/>
      <c r="L277" s="39"/>
      <c r="M277" s="39"/>
      <c r="N277" s="39"/>
      <c r="O277" s="39"/>
      <c r="P277" s="39" t="s">
        <v>2</v>
      </c>
      <c r="Q277" s="39" t="s">
        <v>2</v>
      </c>
      <c r="R277" s="39"/>
      <c r="S277" s="39"/>
      <c r="T277" s="39"/>
      <c r="U277" s="39"/>
      <c r="V277" s="39"/>
      <c r="W277" s="39"/>
      <c r="X277" s="39" t="s">
        <v>2</v>
      </c>
      <c r="Y277" s="39" t="s">
        <v>2</v>
      </c>
      <c r="Z277" s="39"/>
      <c r="AA277" s="39"/>
      <c r="AB277" s="39"/>
      <c r="AC277" s="39"/>
      <c r="AD277" s="39"/>
      <c r="AE277" s="39"/>
      <c r="AF277" s="39" t="s">
        <v>2</v>
      </c>
      <c r="AH277" s="20">
        <f t="shared" si="34"/>
        <v>0</v>
      </c>
      <c r="AI277" s="20">
        <f t="shared" si="35"/>
        <v>0</v>
      </c>
    </row>
    <row r="278" spans="1:35" ht="20.100000000000001" hidden="1" customHeight="1">
      <c r="A278" s="24" t="str">
        <f>ÖSSZES!$A$13</f>
        <v>Név11</v>
      </c>
      <c r="B278" s="39"/>
      <c r="C278" s="39"/>
      <c r="D278" s="39"/>
      <c r="E278" s="39"/>
      <c r="F278" s="39"/>
      <c r="G278" s="39"/>
      <c r="H278" s="39" t="s">
        <v>2</v>
      </c>
      <c r="I278" s="39" t="s">
        <v>2</v>
      </c>
      <c r="J278" s="39"/>
      <c r="K278" s="39"/>
      <c r="L278" s="39"/>
      <c r="M278" s="39"/>
      <c r="N278" s="39"/>
      <c r="O278" s="39"/>
      <c r="P278" s="39" t="s">
        <v>2</v>
      </c>
      <c r="Q278" s="39" t="s">
        <v>2</v>
      </c>
      <c r="R278" s="39"/>
      <c r="S278" s="39"/>
      <c r="T278" s="39"/>
      <c r="U278" s="39"/>
      <c r="V278" s="39"/>
      <c r="W278" s="39"/>
      <c r="X278" s="39" t="s">
        <v>2</v>
      </c>
      <c r="Y278" s="39" t="s">
        <v>2</v>
      </c>
      <c r="Z278" s="39"/>
      <c r="AA278" s="39"/>
      <c r="AB278" s="39"/>
      <c r="AC278" s="39"/>
      <c r="AD278" s="39"/>
      <c r="AE278" s="39"/>
      <c r="AF278" s="39" t="s">
        <v>2</v>
      </c>
      <c r="AH278" s="20">
        <f t="shared" si="34"/>
        <v>0</v>
      </c>
      <c r="AI278" s="20">
        <f t="shared" si="35"/>
        <v>0</v>
      </c>
    </row>
    <row r="279" spans="1:35" ht="20.100000000000001" hidden="1" customHeight="1">
      <c r="A279" s="24" t="str">
        <f>ÖSSZES!$A$14</f>
        <v>Név12</v>
      </c>
      <c r="B279" s="39"/>
      <c r="C279" s="39"/>
      <c r="D279" s="39"/>
      <c r="E279" s="39"/>
      <c r="F279" s="39"/>
      <c r="G279" s="39"/>
      <c r="H279" s="39" t="s">
        <v>2</v>
      </c>
      <c r="I279" s="39" t="s">
        <v>2</v>
      </c>
      <c r="J279" s="39"/>
      <c r="K279" s="39"/>
      <c r="L279" s="39"/>
      <c r="M279" s="39"/>
      <c r="N279" s="39"/>
      <c r="O279" s="39"/>
      <c r="P279" s="39" t="s">
        <v>2</v>
      </c>
      <c r="Q279" s="39" t="s">
        <v>2</v>
      </c>
      <c r="R279" s="39"/>
      <c r="S279" s="39"/>
      <c r="T279" s="39"/>
      <c r="U279" s="39"/>
      <c r="V279" s="39"/>
      <c r="W279" s="39"/>
      <c r="X279" s="39" t="s">
        <v>2</v>
      </c>
      <c r="Y279" s="39" t="s">
        <v>2</v>
      </c>
      <c r="Z279" s="39"/>
      <c r="AA279" s="39"/>
      <c r="AB279" s="39"/>
      <c r="AC279" s="39"/>
      <c r="AD279" s="39"/>
      <c r="AE279" s="39"/>
      <c r="AF279" s="39" t="s">
        <v>2</v>
      </c>
      <c r="AH279" s="20">
        <f t="shared" si="34"/>
        <v>0</v>
      </c>
      <c r="AI279" s="20">
        <f t="shared" si="35"/>
        <v>0</v>
      </c>
    </row>
    <row r="280" spans="1:35" ht="20.100000000000001" hidden="1" customHeight="1">
      <c r="A280" s="24" t="str">
        <f>ÖSSZES!$A$15</f>
        <v>Név13</v>
      </c>
      <c r="B280" s="39"/>
      <c r="C280" s="39"/>
      <c r="D280" s="39"/>
      <c r="E280" s="39"/>
      <c r="F280" s="39"/>
      <c r="G280" s="39"/>
      <c r="H280" s="39" t="s">
        <v>2</v>
      </c>
      <c r="I280" s="39" t="s">
        <v>2</v>
      </c>
      <c r="J280" s="39"/>
      <c r="K280" s="39"/>
      <c r="L280" s="39"/>
      <c r="M280" s="39"/>
      <c r="N280" s="39"/>
      <c r="O280" s="39"/>
      <c r="P280" s="39" t="s">
        <v>2</v>
      </c>
      <c r="Q280" s="39" t="s">
        <v>2</v>
      </c>
      <c r="R280" s="39"/>
      <c r="S280" s="39"/>
      <c r="T280" s="39"/>
      <c r="U280" s="39"/>
      <c r="V280" s="39"/>
      <c r="W280" s="39"/>
      <c r="X280" s="39" t="s">
        <v>2</v>
      </c>
      <c r="Y280" s="39" t="s">
        <v>2</v>
      </c>
      <c r="Z280" s="39"/>
      <c r="AA280" s="39"/>
      <c r="AB280" s="39"/>
      <c r="AC280" s="39"/>
      <c r="AD280" s="39"/>
      <c r="AE280" s="39"/>
      <c r="AF280" s="39" t="s">
        <v>2</v>
      </c>
      <c r="AH280" s="20">
        <f t="shared" si="34"/>
        <v>0</v>
      </c>
      <c r="AI280" s="20">
        <f t="shared" si="35"/>
        <v>0</v>
      </c>
    </row>
    <row r="281" spans="1:35" ht="20.100000000000001" hidden="1" customHeight="1">
      <c r="A281" s="24" t="str">
        <f>ÖSSZES!$A$16</f>
        <v>Név14</v>
      </c>
      <c r="B281" s="39"/>
      <c r="C281" s="39"/>
      <c r="D281" s="39"/>
      <c r="E281" s="39"/>
      <c r="F281" s="39"/>
      <c r="G281" s="39"/>
      <c r="H281" s="39" t="s">
        <v>2</v>
      </c>
      <c r="I281" s="39" t="s">
        <v>2</v>
      </c>
      <c r="J281" s="39"/>
      <c r="K281" s="39"/>
      <c r="L281" s="39"/>
      <c r="M281" s="39"/>
      <c r="N281" s="39"/>
      <c r="O281" s="39"/>
      <c r="P281" s="39" t="s">
        <v>2</v>
      </c>
      <c r="Q281" s="39" t="s">
        <v>2</v>
      </c>
      <c r="R281" s="39"/>
      <c r="S281" s="39"/>
      <c r="T281" s="39"/>
      <c r="U281" s="39"/>
      <c r="V281" s="39"/>
      <c r="W281" s="39"/>
      <c r="X281" s="39" t="s">
        <v>2</v>
      </c>
      <c r="Y281" s="39" t="s">
        <v>2</v>
      </c>
      <c r="Z281" s="39"/>
      <c r="AA281" s="39"/>
      <c r="AB281" s="39"/>
      <c r="AC281" s="39"/>
      <c r="AD281" s="39"/>
      <c r="AE281" s="39"/>
      <c r="AF281" s="39" t="s">
        <v>2</v>
      </c>
      <c r="AH281" s="20">
        <f t="shared" si="34"/>
        <v>0</v>
      </c>
      <c r="AI281" s="20">
        <f t="shared" si="35"/>
        <v>0</v>
      </c>
    </row>
    <row r="282" spans="1:35" ht="20.100000000000001" hidden="1" customHeight="1">
      <c r="A282" s="24" t="str">
        <f>ÖSSZES!$A$17</f>
        <v>Név15</v>
      </c>
      <c r="B282" s="39"/>
      <c r="C282" s="39"/>
      <c r="D282" s="39"/>
      <c r="E282" s="39"/>
      <c r="F282" s="39"/>
      <c r="G282" s="39"/>
      <c r="H282" s="39" t="s">
        <v>2</v>
      </c>
      <c r="I282" s="39" t="s">
        <v>2</v>
      </c>
      <c r="J282" s="39"/>
      <c r="K282" s="39"/>
      <c r="L282" s="39"/>
      <c r="M282" s="39"/>
      <c r="N282" s="39"/>
      <c r="O282" s="39"/>
      <c r="P282" s="39" t="s">
        <v>2</v>
      </c>
      <c r="Q282" s="39" t="s">
        <v>2</v>
      </c>
      <c r="R282" s="39"/>
      <c r="S282" s="39"/>
      <c r="T282" s="39"/>
      <c r="U282" s="39"/>
      <c r="V282" s="39"/>
      <c r="W282" s="39"/>
      <c r="X282" s="39" t="s">
        <v>2</v>
      </c>
      <c r="Y282" s="39" t="s">
        <v>2</v>
      </c>
      <c r="Z282" s="39"/>
      <c r="AA282" s="39"/>
      <c r="AB282" s="39"/>
      <c r="AC282" s="39"/>
      <c r="AD282" s="39"/>
      <c r="AE282" s="39"/>
      <c r="AF282" s="39" t="s">
        <v>2</v>
      </c>
      <c r="AH282" s="20">
        <f t="shared" si="34"/>
        <v>0</v>
      </c>
      <c r="AI282" s="20">
        <f t="shared" si="35"/>
        <v>0</v>
      </c>
    </row>
    <row r="283" spans="1:35" ht="20.100000000000001" hidden="1" customHeight="1">
      <c r="A283" s="24" t="str">
        <f>ÖSSZES!$A$18</f>
        <v>Név16</v>
      </c>
      <c r="B283" s="39"/>
      <c r="C283" s="39"/>
      <c r="D283" s="39"/>
      <c r="E283" s="39"/>
      <c r="F283" s="39"/>
      <c r="G283" s="39"/>
      <c r="H283" s="39" t="s">
        <v>2</v>
      </c>
      <c r="I283" s="39" t="s">
        <v>2</v>
      </c>
      <c r="J283" s="39"/>
      <c r="K283" s="39"/>
      <c r="L283" s="39"/>
      <c r="M283" s="39"/>
      <c r="N283" s="39"/>
      <c r="O283" s="39"/>
      <c r="P283" s="39" t="s">
        <v>2</v>
      </c>
      <c r="Q283" s="39" t="s">
        <v>2</v>
      </c>
      <c r="R283" s="39"/>
      <c r="S283" s="39"/>
      <c r="T283" s="39"/>
      <c r="U283" s="39"/>
      <c r="V283" s="39"/>
      <c r="W283" s="39"/>
      <c r="X283" s="39" t="s">
        <v>2</v>
      </c>
      <c r="Y283" s="39" t="s">
        <v>2</v>
      </c>
      <c r="Z283" s="39"/>
      <c r="AA283" s="39"/>
      <c r="AB283" s="39"/>
      <c r="AC283" s="39"/>
      <c r="AD283" s="39"/>
      <c r="AE283" s="39"/>
      <c r="AF283" s="39" t="s">
        <v>2</v>
      </c>
      <c r="AH283" s="20">
        <f t="shared" si="34"/>
        <v>0</v>
      </c>
      <c r="AI283" s="20">
        <f t="shared" si="35"/>
        <v>0</v>
      </c>
    </row>
    <row r="284" spans="1:35" ht="20.100000000000001" hidden="1" customHeight="1">
      <c r="A284" s="24" t="str">
        <f>ÖSSZES!$A$19</f>
        <v>Név17</v>
      </c>
      <c r="B284" s="39"/>
      <c r="C284" s="39"/>
      <c r="D284" s="39"/>
      <c r="E284" s="39"/>
      <c r="F284" s="39"/>
      <c r="G284" s="39"/>
      <c r="H284" s="39" t="s">
        <v>2</v>
      </c>
      <c r="I284" s="39" t="s">
        <v>2</v>
      </c>
      <c r="J284" s="39"/>
      <c r="K284" s="39"/>
      <c r="L284" s="39"/>
      <c r="M284" s="39"/>
      <c r="N284" s="39"/>
      <c r="O284" s="39"/>
      <c r="P284" s="39" t="s">
        <v>2</v>
      </c>
      <c r="Q284" s="39" t="s">
        <v>2</v>
      </c>
      <c r="R284" s="39"/>
      <c r="S284" s="39"/>
      <c r="T284" s="39"/>
      <c r="U284" s="39"/>
      <c r="V284" s="39"/>
      <c r="W284" s="39"/>
      <c r="X284" s="39" t="s">
        <v>2</v>
      </c>
      <c r="Y284" s="39" t="s">
        <v>2</v>
      </c>
      <c r="Z284" s="39"/>
      <c r="AA284" s="39"/>
      <c r="AB284" s="39"/>
      <c r="AC284" s="39"/>
      <c r="AD284" s="39"/>
      <c r="AE284" s="39"/>
      <c r="AF284" s="39" t="s">
        <v>2</v>
      </c>
      <c r="AH284" s="20">
        <f t="shared" si="34"/>
        <v>0</v>
      </c>
      <c r="AI284" s="20">
        <f t="shared" si="35"/>
        <v>0</v>
      </c>
    </row>
    <row r="285" spans="1:35" ht="20.100000000000001" hidden="1" customHeight="1">
      <c r="A285" s="24" t="str">
        <f>ÖSSZES!$A$20</f>
        <v>Név18</v>
      </c>
      <c r="B285" s="39"/>
      <c r="C285" s="39"/>
      <c r="D285" s="39"/>
      <c r="E285" s="39"/>
      <c r="F285" s="39"/>
      <c r="G285" s="39"/>
      <c r="H285" s="39" t="s">
        <v>2</v>
      </c>
      <c r="I285" s="39" t="s">
        <v>2</v>
      </c>
      <c r="J285" s="39"/>
      <c r="K285" s="39"/>
      <c r="L285" s="39"/>
      <c r="M285" s="39"/>
      <c r="N285" s="39"/>
      <c r="O285" s="39"/>
      <c r="P285" s="39" t="s">
        <v>2</v>
      </c>
      <c r="Q285" s="39" t="s">
        <v>2</v>
      </c>
      <c r="R285" s="39"/>
      <c r="S285" s="39"/>
      <c r="T285" s="39"/>
      <c r="U285" s="39"/>
      <c r="V285" s="39"/>
      <c r="W285" s="39"/>
      <c r="X285" s="39" t="s">
        <v>2</v>
      </c>
      <c r="Y285" s="39" t="s">
        <v>2</v>
      </c>
      <c r="Z285" s="39"/>
      <c r="AA285" s="39"/>
      <c r="AB285" s="39"/>
      <c r="AC285" s="39"/>
      <c r="AD285" s="39"/>
      <c r="AE285" s="39"/>
      <c r="AF285" s="39" t="s">
        <v>2</v>
      </c>
      <c r="AH285" s="20">
        <f t="shared" si="34"/>
        <v>0</v>
      </c>
      <c r="AI285" s="20">
        <f t="shared" si="35"/>
        <v>0</v>
      </c>
    </row>
    <row r="286" spans="1:35" ht="20.100000000000001" hidden="1" customHeight="1">
      <c r="A286" s="24" t="str">
        <f>ÖSSZES!$A$21</f>
        <v>Név19</v>
      </c>
      <c r="B286" s="39"/>
      <c r="C286" s="39"/>
      <c r="D286" s="39"/>
      <c r="E286" s="39"/>
      <c r="F286" s="39"/>
      <c r="G286" s="39"/>
      <c r="H286" s="39" t="s">
        <v>2</v>
      </c>
      <c r="I286" s="39" t="s">
        <v>2</v>
      </c>
      <c r="J286" s="39"/>
      <c r="K286" s="39"/>
      <c r="L286" s="39"/>
      <c r="M286" s="39"/>
      <c r="N286" s="39"/>
      <c r="O286" s="39"/>
      <c r="P286" s="39" t="s">
        <v>2</v>
      </c>
      <c r="Q286" s="39" t="s">
        <v>2</v>
      </c>
      <c r="R286" s="39"/>
      <c r="S286" s="39"/>
      <c r="T286" s="39"/>
      <c r="U286" s="39"/>
      <c r="V286" s="39"/>
      <c r="W286" s="39"/>
      <c r="X286" s="39" t="s">
        <v>2</v>
      </c>
      <c r="Y286" s="39" t="s">
        <v>2</v>
      </c>
      <c r="Z286" s="39"/>
      <c r="AA286" s="39"/>
      <c r="AB286" s="39"/>
      <c r="AC286" s="39"/>
      <c r="AD286" s="39"/>
      <c r="AE286" s="39"/>
      <c r="AF286" s="39" t="s">
        <v>2</v>
      </c>
      <c r="AH286" s="20">
        <f t="shared" si="34"/>
        <v>0</v>
      </c>
      <c r="AI286" s="20">
        <f t="shared" si="35"/>
        <v>0</v>
      </c>
    </row>
    <row r="287" spans="1:35" ht="20.100000000000001" hidden="1" customHeight="1">
      <c r="A287" s="24" t="str">
        <f>ÖSSZES!$A$17</f>
        <v>Név15</v>
      </c>
      <c r="B287" s="39"/>
      <c r="C287" s="39"/>
      <c r="D287" s="39"/>
      <c r="E287" s="39"/>
      <c r="F287" s="39"/>
      <c r="G287" s="39"/>
      <c r="H287" s="39" t="s">
        <v>2</v>
      </c>
      <c r="I287" s="39" t="s">
        <v>2</v>
      </c>
      <c r="J287" s="39"/>
      <c r="K287" s="39"/>
      <c r="L287" s="39"/>
      <c r="M287" s="39"/>
      <c r="N287" s="39"/>
      <c r="O287" s="39"/>
      <c r="P287" s="39" t="s">
        <v>2</v>
      </c>
      <c r="Q287" s="39" t="s">
        <v>2</v>
      </c>
      <c r="R287" s="39"/>
      <c r="S287" s="39"/>
      <c r="T287" s="39"/>
      <c r="U287" s="39"/>
      <c r="V287" s="39"/>
      <c r="W287" s="39"/>
      <c r="X287" s="39" t="s">
        <v>2</v>
      </c>
      <c r="Y287" s="39" t="s">
        <v>2</v>
      </c>
      <c r="Z287" s="39"/>
      <c r="AA287" s="39"/>
      <c r="AB287" s="39"/>
      <c r="AC287" s="39"/>
      <c r="AD287" s="39"/>
      <c r="AE287" s="39"/>
      <c r="AF287" s="39" t="s">
        <v>2</v>
      </c>
      <c r="AH287" s="20">
        <f t="shared" si="34"/>
        <v>0</v>
      </c>
      <c r="AI287" s="20">
        <f t="shared" si="35"/>
        <v>0</v>
      </c>
    </row>
  </sheetData>
  <sheetProtection password="DD6F" sheet="1" objects="1" scenarios="1"/>
  <mergeCells count="36">
    <mergeCell ref="A265:A267"/>
    <mergeCell ref="A1:A3"/>
    <mergeCell ref="A25:A27"/>
    <mergeCell ref="A49:A51"/>
    <mergeCell ref="A73:A75"/>
    <mergeCell ref="A97:A99"/>
    <mergeCell ref="A121:A123"/>
    <mergeCell ref="A145:A147"/>
    <mergeCell ref="A169:A171"/>
    <mergeCell ref="A193:A195"/>
    <mergeCell ref="A217:A219"/>
    <mergeCell ref="A241:A243"/>
    <mergeCell ref="AH1:AH3"/>
    <mergeCell ref="AI1:AI3"/>
    <mergeCell ref="AH25:AH27"/>
    <mergeCell ref="AI25:AI27"/>
    <mergeCell ref="AH49:AH51"/>
    <mergeCell ref="AI49:AI51"/>
    <mergeCell ref="AH73:AH75"/>
    <mergeCell ref="AI73:AI75"/>
    <mergeCell ref="AH97:AH99"/>
    <mergeCell ref="AI97:AI99"/>
    <mergeCell ref="AH121:AH123"/>
    <mergeCell ref="AI121:AI123"/>
    <mergeCell ref="AH145:AH147"/>
    <mergeCell ref="AI145:AI147"/>
    <mergeCell ref="AH169:AH171"/>
    <mergeCell ref="AI169:AI171"/>
    <mergeCell ref="AH193:AH195"/>
    <mergeCell ref="AI193:AI195"/>
    <mergeCell ref="AH217:AH219"/>
    <mergeCell ref="AI217:AI219"/>
    <mergeCell ref="AH241:AH243"/>
    <mergeCell ref="AI241:AI243"/>
    <mergeCell ref="AH265:AH267"/>
    <mergeCell ref="AI265:AI267"/>
  </mergeCells>
  <phoneticPr fontId="0" type="noConversion"/>
  <conditionalFormatting sqref="C4:AF4">
    <cfRule type="cellIs" dxfId="4074" priority="282" operator="equal">
      <formula>"+"</formula>
    </cfRule>
    <cfRule type="cellIs" dxfId="4073" priority="283" operator="equal">
      <formula>"szf"</formula>
    </cfRule>
  </conditionalFormatting>
  <conditionalFormatting sqref="D4">
    <cfRule type="cellIs" dxfId="4072" priority="281" operator="equal">
      <formula>"szf"</formula>
    </cfRule>
  </conditionalFormatting>
  <conditionalFormatting sqref="F4">
    <cfRule type="cellIs" dxfId="4071" priority="280" operator="equal">
      <formula>"+"</formula>
    </cfRule>
  </conditionalFormatting>
  <conditionalFormatting sqref="E4">
    <cfRule type="cellIs" dxfId="4070" priority="279" operator="equal">
      <formula>"szf"</formula>
    </cfRule>
  </conditionalFormatting>
  <conditionalFormatting sqref="A1:XFD3 A5:XFD1048576 A4 C4:XFD4">
    <cfRule type="cellIs" dxfId="4069" priority="277" operator="equal">
      <formula>"+"</formula>
    </cfRule>
    <cfRule type="cellIs" dxfId="4068" priority="278" operator="equal">
      <formula>"szf"</formula>
    </cfRule>
  </conditionalFormatting>
  <conditionalFormatting sqref="F3">
    <cfRule type="cellIs" dxfId="4067" priority="276" operator="equal">
      <formula>"X"</formula>
    </cfRule>
  </conditionalFormatting>
  <conditionalFormatting sqref="B1:AF3 B5:AF1048576 C4:AF4">
    <cfRule type="cellIs" dxfId="4066" priority="265" operator="equal">
      <formula>"V"</formula>
    </cfRule>
    <cfRule type="cellIs" dxfId="4065" priority="266" operator="equal">
      <formula>"Szo"</formula>
    </cfRule>
    <cfRule type="cellIs" dxfId="4064" priority="274" operator="equal">
      <formula>"X"</formula>
    </cfRule>
    <cfRule type="cellIs" dxfId="4063" priority="275" operator="equal">
      <formula>"X"</formula>
    </cfRule>
  </conditionalFormatting>
  <conditionalFormatting sqref="G4">
    <cfRule type="cellIs" dxfId="4062" priority="273" operator="equal">
      <formula>"+"</formula>
    </cfRule>
  </conditionalFormatting>
  <conditionalFormatting sqref="N4">
    <cfRule type="cellIs" dxfId="4061" priority="272" operator="equal">
      <formula>"+"</formula>
    </cfRule>
  </conditionalFormatting>
  <conditionalFormatting sqref="O4">
    <cfRule type="cellIs" dxfId="4060" priority="271" operator="equal">
      <formula>"+"</formula>
    </cfRule>
  </conditionalFormatting>
  <conditionalFormatting sqref="V4">
    <cfRule type="cellIs" dxfId="4059" priority="270" operator="equal">
      <formula>"+"</formula>
    </cfRule>
  </conditionalFormatting>
  <conditionalFormatting sqref="W4">
    <cfRule type="cellIs" dxfId="4058" priority="269" operator="equal">
      <formula>"+"</formula>
    </cfRule>
  </conditionalFormatting>
  <conditionalFormatting sqref="AD4">
    <cfRule type="cellIs" dxfId="4057" priority="268" operator="equal">
      <formula>"+"</formula>
    </cfRule>
  </conditionalFormatting>
  <conditionalFormatting sqref="AE4">
    <cfRule type="cellIs" dxfId="4056" priority="267" operator="equal">
      <formula>"+"</formula>
    </cfRule>
  </conditionalFormatting>
  <conditionalFormatting sqref="G28">
    <cfRule type="cellIs" dxfId="4055" priority="263" operator="equal">
      <formula>"+"</formula>
    </cfRule>
    <cfRule type="cellIs" dxfId="4054" priority="264" operator="equal">
      <formula>"szf"</formula>
    </cfRule>
  </conditionalFormatting>
  <conditionalFormatting sqref="G28">
    <cfRule type="cellIs" dxfId="4053" priority="262" operator="equal">
      <formula>"+"</formula>
    </cfRule>
  </conditionalFormatting>
  <conditionalFormatting sqref="H28">
    <cfRule type="cellIs" dxfId="4052" priority="260" operator="equal">
      <formula>"+"</formula>
    </cfRule>
    <cfRule type="cellIs" dxfId="4051" priority="261" operator="equal">
      <formula>"szf"</formula>
    </cfRule>
  </conditionalFormatting>
  <conditionalFormatting sqref="H28">
    <cfRule type="cellIs" dxfId="4050" priority="259" operator="equal">
      <formula>"+"</formula>
    </cfRule>
  </conditionalFormatting>
  <conditionalFormatting sqref="O28">
    <cfRule type="cellIs" dxfId="4049" priority="257" operator="equal">
      <formula>"+"</formula>
    </cfRule>
    <cfRule type="cellIs" dxfId="4048" priority="258" operator="equal">
      <formula>"szf"</formula>
    </cfRule>
  </conditionalFormatting>
  <conditionalFormatting sqref="O28">
    <cfRule type="cellIs" dxfId="4047" priority="256" operator="equal">
      <formula>"+"</formula>
    </cfRule>
  </conditionalFormatting>
  <conditionalFormatting sqref="P28">
    <cfRule type="cellIs" dxfId="4046" priority="254" operator="equal">
      <formula>"+"</formula>
    </cfRule>
    <cfRule type="cellIs" dxfId="4045" priority="255" operator="equal">
      <formula>"szf"</formula>
    </cfRule>
  </conditionalFormatting>
  <conditionalFormatting sqref="P28">
    <cfRule type="cellIs" dxfId="4044" priority="253" operator="equal">
      <formula>"+"</formula>
    </cfRule>
  </conditionalFormatting>
  <conditionalFormatting sqref="W28">
    <cfRule type="cellIs" dxfId="4043" priority="251" operator="equal">
      <formula>"+"</formula>
    </cfRule>
    <cfRule type="cellIs" dxfId="4042" priority="252" operator="equal">
      <formula>"szf"</formula>
    </cfRule>
  </conditionalFormatting>
  <conditionalFormatting sqref="W28">
    <cfRule type="cellIs" dxfId="4041" priority="250" operator="equal">
      <formula>"+"</formula>
    </cfRule>
  </conditionalFormatting>
  <conditionalFormatting sqref="X28">
    <cfRule type="cellIs" dxfId="4040" priority="248" operator="equal">
      <formula>"+"</formula>
    </cfRule>
    <cfRule type="cellIs" dxfId="4039" priority="249" operator="equal">
      <formula>"szf"</formula>
    </cfRule>
  </conditionalFormatting>
  <conditionalFormatting sqref="X28">
    <cfRule type="cellIs" dxfId="4038" priority="247" operator="equal">
      <formula>"+"</formula>
    </cfRule>
  </conditionalFormatting>
  <conditionalFormatting sqref="C52">
    <cfRule type="cellIs" dxfId="4037" priority="245" operator="equal">
      <formula>"+"</formula>
    </cfRule>
    <cfRule type="cellIs" dxfId="4036" priority="246" operator="equal">
      <formula>"szf"</formula>
    </cfRule>
  </conditionalFormatting>
  <conditionalFormatting sqref="C52">
    <cfRule type="cellIs" dxfId="4035" priority="244" operator="equal">
      <formula>"+"</formula>
    </cfRule>
  </conditionalFormatting>
  <conditionalFormatting sqref="D52">
    <cfRule type="cellIs" dxfId="4034" priority="242" operator="equal">
      <formula>"+"</formula>
    </cfRule>
    <cfRule type="cellIs" dxfId="4033" priority="243" operator="equal">
      <formula>"szf"</formula>
    </cfRule>
  </conditionalFormatting>
  <conditionalFormatting sqref="D52">
    <cfRule type="cellIs" dxfId="4032" priority="241" operator="equal">
      <formula>"+"</formula>
    </cfRule>
  </conditionalFormatting>
  <conditionalFormatting sqref="K52">
    <cfRule type="cellIs" dxfId="4031" priority="239" operator="equal">
      <formula>"+"</formula>
    </cfRule>
    <cfRule type="cellIs" dxfId="4030" priority="240" operator="equal">
      <formula>"szf"</formula>
    </cfRule>
  </conditionalFormatting>
  <conditionalFormatting sqref="K52">
    <cfRule type="cellIs" dxfId="4029" priority="238" operator="equal">
      <formula>"+"</formula>
    </cfRule>
  </conditionalFormatting>
  <conditionalFormatting sqref="L52">
    <cfRule type="cellIs" dxfId="4028" priority="236" operator="equal">
      <formula>"+"</formula>
    </cfRule>
    <cfRule type="cellIs" dxfId="4027" priority="237" operator="equal">
      <formula>"szf"</formula>
    </cfRule>
  </conditionalFormatting>
  <conditionalFormatting sqref="L52">
    <cfRule type="cellIs" dxfId="4026" priority="235" operator="equal">
      <formula>"+"</formula>
    </cfRule>
  </conditionalFormatting>
  <conditionalFormatting sqref="S52">
    <cfRule type="cellIs" dxfId="4025" priority="233" operator="equal">
      <formula>"+"</formula>
    </cfRule>
    <cfRule type="cellIs" dxfId="4024" priority="234" operator="equal">
      <formula>"szf"</formula>
    </cfRule>
  </conditionalFormatting>
  <conditionalFormatting sqref="S52">
    <cfRule type="cellIs" dxfId="4023" priority="232" operator="equal">
      <formula>"+"</formula>
    </cfRule>
  </conditionalFormatting>
  <conditionalFormatting sqref="T52">
    <cfRule type="cellIs" dxfId="4022" priority="230" operator="equal">
      <formula>"+"</formula>
    </cfRule>
    <cfRule type="cellIs" dxfId="4021" priority="231" operator="equal">
      <formula>"szf"</formula>
    </cfRule>
  </conditionalFormatting>
  <conditionalFormatting sqref="T52">
    <cfRule type="cellIs" dxfId="4020" priority="229" operator="equal">
      <formula>"+"</formula>
    </cfRule>
  </conditionalFormatting>
  <conditionalFormatting sqref="AA52">
    <cfRule type="cellIs" dxfId="4019" priority="227" operator="equal">
      <formula>"+"</formula>
    </cfRule>
    <cfRule type="cellIs" dxfId="4018" priority="228" operator="equal">
      <formula>"szf"</formula>
    </cfRule>
  </conditionalFormatting>
  <conditionalFormatting sqref="AA52">
    <cfRule type="cellIs" dxfId="4017" priority="226" operator="equal">
      <formula>"+"</formula>
    </cfRule>
  </conditionalFormatting>
  <conditionalFormatting sqref="AB52">
    <cfRule type="cellIs" dxfId="4016" priority="224" operator="equal">
      <formula>"+"</formula>
    </cfRule>
    <cfRule type="cellIs" dxfId="4015" priority="225" operator="equal">
      <formula>"szf"</formula>
    </cfRule>
  </conditionalFormatting>
  <conditionalFormatting sqref="AB52">
    <cfRule type="cellIs" dxfId="4014" priority="223" operator="equal">
      <formula>"+"</formula>
    </cfRule>
  </conditionalFormatting>
  <conditionalFormatting sqref="D76">
    <cfRule type="cellIs" dxfId="4013" priority="221" operator="equal">
      <formula>"+"</formula>
    </cfRule>
    <cfRule type="cellIs" dxfId="4012" priority="222" operator="equal">
      <formula>"szf"</formula>
    </cfRule>
  </conditionalFormatting>
  <conditionalFormatting sqref="D76">
    <cfRule type="cellIs" dxfId="4011" priority="220" operator="equal">
      <formula>"+"</formula>
    </cfRule>
  </conditionalFormatting>
  <conditionalFormatting sqref="E76">
    <cfRule type="cellIs" dxfId="4010" priority="218" operator="equal">
      <formula>"+"</formula>
    </cfRule>
    <cfRule type="cellIs" dxfId="4009" priority="219" operator="equal">
      <formula>"szf"</formula>
    </cfRule>
  </conditionalFormatting>
  <conditionalFormatting sqref="E76">
    <cfRule type="cellIs" dxfId="4008" priority="217" operator="equal">
      <formula>"+"</formula>
    </cfRule>
  </conditionalFormatting>
  <conditionalFormatting sqref="M76">
    <cfRule type="cellIs" dxfId="4007" priority="215" operator="equal">
      <formula>"+"</formula>
    </cfRule>
    <cfRule type="cellIs" dxfId="4006" priority="216" operator="equal">
      <formula>"szf"</formula>
    </cfRule>
  </conditionalFormatting>
  <conditionalFormatting sqref="M76">
    <cfRule type="cellIs" dxfId="4005" priority="214" operator="equal">
      <formula>"+"</formula>
    </cfRule>
  </conditionalFormatting>
  <conditionalFormatting sqref="L76">
    <cfRule type="cellIs" dxfId="4004" priority="212" operator="equal">
      <formula>"+"</formula>
    </cfRule>
    <cfRule type="cellIs" dxfId="4003" priority="213" operator="equal">
      <formula>"szf"</formula>
    </cfRule>
  </conditionalFormatting>
  <conditionalFormatting sqref="L76">
    <cfRule type="cellIs" dxfId="4002" priority="211" operator="equal">
      <formula>"+"</formula>
    </cfRule>
  </conditionalFormatting>
  <conditionalFormatting sqref="T76">
    <cfRule type="cellIs" dxfId="4001" priority="209" operator="equal">
      <formula>"+"</formula>
    </cfRule>
    <cfRule type="cellIs" dxfId="4000" priority="210" operator="equal">
      <formula>"szf"</formula>
    </cfRule>
  </conditionalFormatting>
  <conditionalFormatting sqref="T76">
    <cfRule type="cellIs" dxfId="3999" priority="208" operator="equal">
      <formula>"+"</formula>
    </cfRule>
  </conditionalFormatting>
  <conditionalFormatting sqref="U76">
    <cfRule type="cellIs" dxfId="3998" priority="206" operator="equal">
      <formula>"+"</formula>
    </cfRule>
    <cfRule type="cellIs" dxfId="3997" priority="207" operator="equal">
      <formula>"szf"</formula>
    </cfRule>
  </conditionalFormatting>
  <conditionalFormatting sqref="U76">
    <cfRule type="cellIs" dxfId="3996" priority="205" operator="equal">
      <formula>"+"</formula>
    </cfRule>
  </conditionalFormatting>
  <conditionalFormatting sqref="AC76">
    <cfRule type="cellIs" dxfId="3995" priority="203" operator="equal">
      <formula>"+"</formula>
    </cfRule>
    <cfRule type="cellIs" dxfId="3994" priority="204" operator="equal">
      <formula>"szf"</formula>
    </cfRule>
  </conditionalFormatting>
  <conditionalFormatting sqref="AC76">
    <cfRule type="cellIs" dxfId="3993" priority="202" operator="equal">
      <formula>"+"</formula>
    </cfRule>
  </conditionalFormatting>
  <conditionalFormatting sqref="AB76">
    <cfRule type="cellIs" dxfId="3992" priority="200" operator="equal">
      <formula>"+"</formula>
    </cfRule>
    <cfRule type="cellIs" dxfId="3991" priority="201" operator="equal">
      <formula>"szf"</formula>
    </cfRule>
  </conditionalFormatting>
  <conditionalFormatting sqref="AB76">
    <cfRule type="cellIs" dxfId="3990" priority="199" operator="equal">
      <formula>"+"</formula>
    </cfRule>
  </conditionalFormatting>
  <conditionalFormatting sqref="F100">
    <cfRule type="cellIs" dxfId="3989" priority="197" operator="equal">
      <formula>"+"</formula>
    </cfRule>
    <cfRule type="cellIs" dxfId="3988" priority="198" operator="equal">
      <formula>"szf"</formula>
    </cfRule>
  </conditionalFormatting>
  <conditionalFormatting sqref="F100">
    <cfRule type="cellIs" dxfId="3987" priority="196" operator="equal">
      <formula>"+"</formula>
    </cfRule>
  </conditionalFormatting>
  <conditionalFormatting sqref="G100">
    <cfRule type="cellIs" dxfId="3986" priority="194" operator="equal">
      <formula>"+"</formula>
    </cfRule>
    <cfRule type="cellIs" dxfId="3985" priority="195" operator="equal">
      <formula>"szf"</formula>
    </cfRule>
  </conditionalFormatting>
  <conditionalFormatting sqref="G100">
    <cfRule type="cellIs" dxfId="3984" priority="193" operator="equal">
      <formula>"+"</formula>
    </cfRule>
  </conditionalFormatting>
  <conditionalFormatting sqref="N100">
    <cfRule type="cellIs" dxfId="3983" priority="191" operator="equal">
      <formula>"+"</formula>
    </cfRule>
    <cfRule type="cellIs" dxfId="3982" priority="192" operator="equal">
      <formula>"szf"</formula>
    </cfRule>
  </conditionalFormatting>
  <conditionalFormatting sqref="N100">
    <cfRule type="cellIs" dxfId="3981" priority="190" operator="equal">
      <formula>"+"</formula>
    </cfRule>
  </conditionalFormatting>
  <conditionalFormatting sqref="O100">
    <cfRule type="cellIs" dxfId="3980" priority="188" operator="equal">
      <formula>"+"</formula>
    </cfRule>
    <cfRule type="cellIs" dxfId="3979" priority="189" operator="equal">
      <formula>"szf"</formula>
    </cfRule>
  </conditionalFormatting>
  <conditionalFormatting sqref="O100">
    <cfRule type="cellIs" dxfId="3978" priority="187" operator="equal">
      <formula>"+"</formula>
    </cfRule>
  </conditionalFormatting>
  <conditionalFormatting sqref="V100">
    <cfRule type="cellIs" dxfId="3977" priority="185" operator="equal">
      <formula>"+"</formula>
    </cfRule>
    <cfRule type="cellIs" dxfId="3976" priority="186" operator="equal">
      <formula>"szf"</formula>
    </cfRule>
  </conditionalFormatting>
  <conditionalFormatting sqref="V100">
    <cfRule type="cellIs" dxfId="3975" priority="184" operator="equal">
      <formula>"+"</formula>
    </cfRule>
  </conditionalFormatting>
  <conditionalFormatting sqref="W100">
    <cfRule type="cellIs" dxfId="3974" priority="182" operator="equal">
      <formula>"+"</formula>
    </cfRule>
    <cfRule type="cellIs" dxfId="3973" priority="183" operator="equal">
      <formula>"szf"</formula>
    </cfRule>
  </conditionalFormatting>
  <conditionalFormatting sqref="W100">
    <cfRule type="cellIs" dxfId="3972" priority="181" operator="equal">
      <formula>"+"</formula>
    </cfRule>
  </conditionalFormatting>
  <conditionalFormatting sqref="AD100">
    <cfRule type="cellIs" dxfId="3971" priority="179" operator="equal">
      <formula>"+"</formula>
    </cfRule>
    <cfRule type="cellIs" dxfId="3970" priority="180" operator="equal">
      <formula>"szf"</formula>
    </cfRule>
  </conditionalFormatting>
  <conditionalFormatting sqref="AD100">
    <cfRule type="cellIs" dxfId="3969" priority="178" operator="equal">
      <formula>"+"</formula>
    </cfRule>
  </conditionalFormatting>
  <conditionalFormatting sqref="AE100">
    <cfRule type="cellIs" dxfId="3968" priority="176" operator="equal">
      <formula>"+"</formula>
    </cfRule>
    <cfRule type="cellIs" dxfId="3967" priority="177" operator="equal">
      <formula>"szf"</formula>
    </cfRule>
  </conditionalFormatting>
  <conditionalFormatting sqref="AE100">
    <cfRule type="cellIs" dxfId="3966" priority="175" operator="equal">
      <formula>"+"</formula>
    </cfRule>
  </conditionalFormatting>
  <conditionalFormatting sqref="G124">
    <cfRule type="cellIs" dxfId="3965" priority="173" operator="equal">
      <formula>"+"</formula>
    </cfRule>
    <cfRule type="cellIs" dxfId="3964" priority="174" operator="equal">
      <formula>"szf"</formula>
    </cfRule>
  </conditionalFormatting>
  <conditionalFormatting sqref="G124">
    <cfRule type="cellIs" dxfId="3963" priority="172" operator="equal">
      <formula>"+"</formula>
    </cfRule>
  </conditionalFormatting>
  <conditionalFormatting sqref="H124">
    <cfRule type="cellIs" dxfId="3962" priority="170" operator="equal">
      <formula>"+"</formula>
    </cfRule>
    <cfRule type="cellIs" dxfId="3961" priority="171" operator="equal">
      <formula>"szf"</formula>
    </cfRule>
  </conditionalFormatting>
  <conditionalFormatting sqref="H124">
    <cfRule type="cellIs" dxfId="3960" priority="169" operator="equal">
      <formula>"+"</formula>
    </cfRule>
  </conditionalFormatting>
  <conditionalFormatting sqref="O124">
    <cfRule type="cellIs" dxfId="3959" priority="167" operator="equal">
      <formula>"+"</formula>
    </cfRule>
    <cfRule type="cellIs" dxfId="3958" priority="168" operator="equal">
      <formula>"szf"</formula>
    </cfRule>
  </conditionalFormatting>
  <conditionalFormatting sqref="O124">
    <cfRule type="cellIs" dxfId="3957" priority="166" operator="equal">
      <formula>"+"</formula>
    </cfRule>
  </conditionalFormatting>
  <conditionalFormatting sqref="P124">
    <cfRule type="cellIs" dxfId="3956" priority="164" operator="equal">
      <formula>"+"</formula>
    </cfRule>
    <cfRule type="cellIs" dxfId="3955" priority="165" operator="equal">
      <formula>"szf"</formula>
    </cfRule>
  </conditionalFormatting>
  <conditionalFormatting sqref="P124">
    <cfRule type="cellIs" dxfId="3954" priority="163" operator="equal">
      <formula>"+"</formula>
    </cfRule>
  </conditionalFormatting>
  <conditionalFormatting sqref="W124">
    <cfRule type="cellIs" dxfId="3953" priority="161" operator="equal">
      <formula>"+"</formula>
    </cfRule>
    <cfRule type="cellIs" dxfId="3952" priority="162" operator="equal">
      <formula>"szf"</formula>
    </cfRule>
  </conditionalFormatting>
  <conditionalFormatting sqref="W124">
    <cfRule type="cellIs" dxfId="3951" priority="160" operator="equal">
      <formula>"+"</formula>
    </cfRule>
  </conditionalFormatting>
  <conditionalFormatting sqref="X124">
    <cfRule type="cellIs" dxfId="3950" priority="158" operator="equal">
      <formula>"+"</formula>
    </cfRule>
    <cfRule type="cellIs" dxfId="3949" priority="159" operator="equal">
      <formula>"szf"</formula>
    </cfRule>
  </conditionalFormatting>
  <conditionalFormatting sqref="X124">
    <cfRule type="cellIs" dxfId="3948" priority="157" operator="equal">
      <formula>"+"</formula>
    </cfRule>
  </conditionalFormatting>
  <conditionalFormatting sqref="AE124">
    <cfRule type="cellIs" dxfId="3947" priority="155" operator="equal">
      <formula>"+"</formula>
    </cfRule>
    <cfRule type="cellIs" dxfId="3946" priority="156" operator="equal">
      <formula>"szf"</formula>
    </cfRule>
  </conditionalFormatting>
  <conditionalFormatting sqref="AE124">
    <cfRule type="cellIs" dxfId="3945" priority="154" operator="equal">
      <formula>"+"</formula>
    </cfRule>
  </conditionalFormatting>
  <conditionalFormatting sqref="B148">
    <cfRule type="cellIs" dxfId="3944" priority="152" operator="equal">
      <formula>"+"</formula>
    </cfRule>
    <cfRule type="cellIs" dxfId="3943" priority="153" operator="equal">
      <formula>"szf"</formula>
    </cfRule>
  </conditionalFormatting>
  <conditionalFormatting sqref="B148">
    <cfRule type="cellIs" dxfId="3942" priority="151" operator="equal">
      <formula>"+"</formula>
    </cfRule>
  </conditionalFormatting>
  <conditionalFormatting sqref="I148">
    <cfRule type="cellIs" dxfId="3941" priority="149" operator="equal">
      <formula>"+"</formula>
    </cfRule>
    <cfRule type="cellIs" dxfId="3940" priority="150" operator="equal">
      <formula>"szf"</formula>
    </cfRule>
  </conditionalFormatting>
  <conditionalFormatting sqref="I148">
    <cfRule type="cellIs" dxfId="3939" priority="148" operator="equal">
      <formula>"+"</formula>
    </cfRule>
  </conditionalFormatting>
  <conditionalFormatting sqref="J148">
    <cfRule type="cellIs" dxfId="3938" priority="146" operator="equal">
      <formula>"+"</formula>
    </cfRule>
    <cfRule type="cellIs" dxfId="3937" priority="147" operator="equal">
      <formula>"szf"</formula>
    </cfRule>
  </conditionalFormatting>
  <conditionalFormatting sqref="J148">
    <cfRule type="cellIs" dxfId="3936" priority="145" operator="equal">
      <formula>"+"</formula>
    </cfRule>
  </conditionalFormatting>
  <conditionalFormatting sqref="R148">
    <cfRule type="cellIs" dxfId="3935" priority="143" operator="equal">
      <formula>"+"</formula>
    </cfRule>
    <cfRule type="cellIs" dxfId="3934" priority="144" operator="equal">
      <formula>"szf"</formula>
    </cfRule>
  </conditionalFormatting>
  <conditionalFormatting sqref="R148">
    <cfRule type="cellIs" dxfId="3933" priority="142" operator="equal">
      <formula>"+"</formula>
    </cfRule>
  </conditionalFormatting>
  <conditionalFormatting sqref="Q148">
    <cfRule type="cellIs" dxfId="3932" priority="140" operator="equal">
      <formula>"+"</formula>
    </cfRule>
    <cfRule type="cellIs" dxfId="3931" priority="141" operator="equal">
      <formula>"szf"</formula>
    </cfRule>
  </conditionalFormatting>
  <conditionalFormatting sqref="Q148">
    <cfRule type="cellIs" dxfId="3930" priority="139" operator="equal">
      <formula>"+"</formula>
    </cfRule>
  </conditionalFormatting>
  <conditionalFormatting sqref="Y148">
    <cfRule type="cellIs" dxfId="3929" priority="137" operator="equal">
      <formula>"+"</formula>
    </cfRule>
    <cfRule type="cellIs" dxfId="3928" priority="138" operator="equal">
      <formula>"szf"</formula>
    </cfRule>
  </conditionalFormatting>
  <conditionalFormatting sqref="Y148">
    <cfRule type="cellIs" dxfId="3927" priority="136" operator="equal">
      <formula>"+"</formula>
    </cfRule>
  </conditionalFormatting>
  <conditionalFormatting sqref="Y148">
    <cfRule type="cellIs" dxfId="3926" priority="134" operator="equal">
      <formula>"+"</formula>
    </cfRule>
    <cfRule type="cellIs" dxfId="3925" priority="135" operator="equal">
      <formula>"szf"</formula>
    </cfRule>
  </conditionalFormatting>
  <conditionalFormatting sqref="Y148">
    <cfRule type="cellIs" dxfId="3924" priority="133" operator="equal">
      <formula>"+"</formula>
    </cfRule>
  </conditionalFormatting>
  <conditionalFormatting sqref="Z148">
    <cfRule type="cellIs" dxfId="3923" priority="131" operator="equal">
      <formula>"+"</formula>
    </cfRule>
    <cfRule type="cellIs" dxfId="3922" priority="132" operator="equal">
      <formula>"szf"</formula>
    </cfRule>
  </conditionalFormatting>
  <conditionalFormatting sqref="Z148">
    <cfRule type="cellIs" dxfId="3921" priority="130" operator="equal">
      <formula>"+"</formula>
    </cfRule>
  </conditionalFormatting>
  <conditionalFormatting sqref="B172">
    <cfRule type="cellIs" dxfId="3920" priority="128" operator="equal">
      <formula>"+"</formula>
    </cfRule>
    <cfRule type="cellIs" dxfId="3919" priority="129" operator="equal">
      <formula>"szf"</formula>
    </cfRule>
  </conditionalFormatting>
  <conditionalFormatting sqref="B172">
    <cfRule type="cellIs" dxfId="3918" priority="127" operator="equal">
      <formula>"+"</formula>
    </cfRule>
  </conditionalFormatting>
  <conditionalFormatting sqref="C172">
    <cfRule type="cellIs" dxfId="3917" priority="125" operator="equal">
      <formula>"+"</formula>
    </cfRule>
    <cfRule type="cellIs" dxfId="3916" priority="126" operator="equal">
      <formula>"szf"</formula>
    </cfRule>
  </conditionalFormatting>
  <conditionalFormatting sqref="C172">
    <cfRule type="cellIs" dxfId="3915" priority="124" operator="equal">
      <formula>"+"</formula>
    </cfRule>
  </conditionalFormatting>
  <conditionalFormatting sqref="J172">
    <cfRule type="cellIs" dxfId="3914" priority="122" operator="equal">
      <formula>"+"</formula>
    </cfRule>
    <cfRule type="cellIs" dxfId="3913" priority="123" operator="equal">
      <formula>"szf"</formula>
    </cfRule>
  </conditionalFormatting>
  <conditionalFormatting sqref="J172">
    <cfRule type="cellIs" dxfId="3912" priority="121" operator="equal">
      <formula>"+"</formula>
    </cfRule>
  </conditionalFormatting>
  <conditionalFormatting sqref="K172">
    <cfRule type="cellIs" dxfId="3911" priority="119" operator="equal">
      <formula>"+"</formula>
    </cfRule>
    <cfRule type="cellIs" dxfId="3910" priority="120" operator="equal">
      <formula>"szf"</formula>
    </cfRule>
  </conditionalFormatting>
  <conditionalFormatting sqref="K172">
    <cfRule type="cellIs" dxfId="3909" priority="118" operator="equal">
      <formula>"+"</formula>
    </cfRule>
  </conditionalFormatting>
  <conditionalFormatting sqref="R172">
    <cfRule type="cellIs" dxfId="3908" priority="116" operator="equal">
      <formula>"+"</formula>
    </cfRule>
    <cfRule type="cellIs" dxfId="3907" priority="117" operator="equal">
      <formula>"szf"</formula>
    </cfRule>
  </conditionalFormatting>
  <conditionalFormatting sqref="R172">
    <cfRule type="cellIs" dxfId="3906" priority="115" operator="equal">
      <formula>"+"</formula>
    </cfRule>
  </conditionalFormatting>
  <conditionalFormatting sqref="S172">
    <cfRule type="cellIs" dxfId="3905" priority="113" operator="equal">
      <formula>"+"</formula>
    </cfRule>
    <cfRule type="cellIs" dxfId="3904" priority="114" operator="equal">
      <formula>"szf"</formula>
    </cfRule>
  </conditionalFormatting>
  <conditionalFormatting sqref="S172">
    <cfRule type="cellIs" dxfId="3903" priority="112" operator="equal">
      <formula>"+"</formula>
    </cfRule>
  </conditionalFormatting>
  <conditionalFormatting sqref="Z172">
    <cfRule type="cellIs" dxfId="3902" priority="110" operator="equal">
      <formula>"+"</formula>
    </cfRule>
    <cfRule type="cellIs" dxfId="3901" priority="111" operator="equal">
      <formula>"szf"</formula>
    </cfRule>
  </conditionalFormatting>
  <conditionalFormatting sqref="Z172">
    <cfRule type="cellIs" dxfId="3900" priority="109" operator="equal">
      <formula>"+"</formula>
    </cfRule>
  </conditionalFormatting>
  <conditionalFormatting sqref="Z172">
    <cfRule type="cellIs" dxfId="3899" priority="107" operator="equal">
      <formula>"+"</formula>
    </cfRule>
    <cfRule type="cellIs" dxfId="3898" priority="108" operator="equal">
      <formula>"szf"</formula>
    </cfRule>
  </conditionalFormatting>
  <conditionalFormatting sqref="Z172">
    <cfRule type="cellIs" dxfId="3897" priority="106" operator="equal">
      <formula>"+"</formula>
    </cfRule>
  </conditionalFormatting>
  <conditionalFormatting sqref="AA172">
    <cfRule type="cellIs" dxfId="3896" priority="104" operator="equal">
      <formula>"+"</formula>
    </cfRule>
    <cfRule type="cellIs" dxfId="3895" priority="105" operator="equal">
      <formula>"szf"</formula>
    </cfRule>
  </conditionalFormatting>
  <conditionalFormatting sqref="AA172">
    <cfRule type="cellIs" dxfId="3894" priority="103" operator="equal">
      <formula>"+"</formula>
    </cfRule>
  </conditionalFormatting>
  <conditionalFormatting sqref="C196">
    <cfRule type="cellIs" dxfId="3893" priority="101" operator="equal">
      <formula>"+"</formula>
    </cfRule>
    <cfRule type="cellIs" dxfId="3892" priority="102" operator="equal">
      <formula>"szf"</formula>
    </cfRule>
  </conditionalFormatting>
  <conditionalFormatting sqref="C196">
    <cfRule type="cellIs" dxfId="3891" priority="100" operator="equal">
      <formula>"+"</formula>
    </cfRule>
  </conditionalFormatting>
  <conditionalFormatting sqref="D196">
    <cfRule type="cellIs" dxfId="3890" priority="98" operator="equal">
      <formula>"+"</formula>
    </cfRule>
    <cfRule type="cellIs" dxfId="3889" priority="99" operator="equal">
      <formula>"szf"</formula>
    </cfRule>
  </conditionalFormatting>
  <conditionalFormatting sqref="D196">
    <cfRule type="cellIs" dxfId="3888" priority="97" operator="equal">
      <formula>"+"</formula>
    </cfRule>
  </conditionalFormatting>
  <conditionalFormatting sqref="L196">
    <cfRule type="cellIs" dxfId="3887" priority="95" operator="equal">
      <formula>"+"</formula>
    </cfRule>
    <cfRule type="cellIs" dxfId="3886" priority="96" operator="equal">
      <formula>"szf"</formula>
    </cfRule>
  </conditionalFormatting>
  <conditionalFormatting sqref="L196">
    <cfRule type="cellIs" dxfId="3885" priority="94" operator="equal">
      <formula>"+"</formula>
    </cfRule>
  </conditionalFormatting>
  <conditionalFormatting sqref="K196">
    <cfRule type="cellIs" dxfId="3884" priority="92" operator="equal">
      <formula>"+"</formula>
    </cfRule>
    <cfRule type="cellIs" dxfId="3883" priority="93" operator="equal">
      <formula>"szf"</formula>
    </cfRule>
  </conditionalFormatting>
  <conditionalFormatting sqref="K196">
    <cfRule type="cellIs" dxfId="3882" priority="91" operator="equal">
      <formula>"+"</formula>
    </cfRule>
  </conditionalFormatting>
  <conditionalFormatting sqref="S196">
    <cfRule type="cellIs" dxfId="3881" priority="89" operator="equal">
      <formula>"+"</formula>
    </cfRule>
    <cfRule type="cellIs" dxfId="3880" priority="90" operator="equal">
      <formula>"szf"</formula>
    </cfRule>
  </conditionalFormatting>
  <conditionalFormatting sqref="S196">
    <cfRule type="cellIs" dxfId="3879" priority="88" operator="equal">
      <formula>"+"</formula>
    </cfRule>
  </conditionalFormatting>
  <conditionalFormatting sqref="T196">
    <cfRule type="cellIs" dxfId="3878" priority="86" operator="equal">
      <formula>"+"</formula>
    </cfRule>
    <cfRule type="cellIs" dxfId="3877" priority="87" operator="equal">
      <formula>"szf"</formula>
    </cfRule>
  </conditionalFormatting>
  <conditionalFormatting sqref="T196">
    <cfRule type="cellIs" dxfId="3876" priority="85" operator="equal">
      <formula>"+"</formula>
    </cfRule>
  </conditionalFormatting>
  <conditionalFormatting sqref="AB196">
    <cfRule type="cellIs" dxfId="3875" priority="83" operator="equal">
      <formula>"+"</formula>
    </cfRule>
    <cfRule type="cellIs" dxfId="3874" priority="84" operator="equal">
      <formula>"szf"</formula>
    </cfRule>
  </conditionalFormatting>
  <conditionalFormatting sqref="AB196">
    <cfRule type="cellIs" dxfId="3873" priority="82" operator="equal">
      <formula>"+"</formula>
    </cfRule>
  </conditionalFormatting>
  <conditionalFormatting sqref="AA196">
    <cfRule type="cellIs" dxfId="3872" priority="80" operator="equal">
      <formula>"+"</formula>
    </cfRule>
    <cfRule type="cellIs" dxfId="3871" priority="81" operator="equal">
      <formula>"szf"</formula>
    </cfRule>
  </conditionalFormatting>
  <conditionalFormatting sqref="AA196">
    <cfRule type="cellIs" dxfId="3870" priority="79" operator="equal">
      <formula>"+"</formula>
    </cfRule>
  </conditionalFormatting>
  <conditionalFormatting sqref="E220">
    <cfRule type="cellIs" dxfId="3869" priority="77" operator="equal">
      <formula>"+"</formula>
    </cfRule>
    <cfRule type="cellIs" dxfId="3868" priority="78" operator="equal">
      <formula>"szf"</formula>
    </cfRule>
  </conditionalFormatting>
  <conditionalFormatting sqref="E220">
    <cfRule type="cellIs" dxfId="3867" priority="76" operator="equal">
      <formula>"+"</formula>
    </cfRule>
  </conditionalFormatting>
  <conditionalFormatting sqref="F220">
    <cfRule type="cellIs" dxfId="3866" priority="74" operator="equal">
      <formula>"+"</formula>
    </cfRule>
    <cfRule type="cellIs" dxfId="3865" priority="75" operator="equal">
      <formula>"szf"</formula>
    </cfRule>
  </conditionalFormatting>
  <conditionalFormatting sqref="F220">
    <cfRule type="cellIs" dxfId="3864" priority="73" operator="equal">
      <formula>"+"</formula>
    </cfRule>
  </conditionalFormatting>
  <conditionalFormatting sqref="M220">
    <cfRule type="cellIs" dxfId="3863" priority="71" operator="equal">
      <formula>"+"</formula>
    </cfRule>
    <cfRule type="cellIs" dxfId="3862" priority="72" operator="equal">
      <formula>"szf"</formula>
    </cfRule>
  </conditionalFormatting>
  <conditionalFormatting sqref="M220">
    <cfRule type="cellIs" dxfId="3861" priority="70" operator="equal">
      <formula>"+"</formula>
    </cfRule>
  </conditionalFormatting>
  <conditionalFormatting sqref="M220">
    <cfRule type="cellIs" dxfId="3860" priority="68" operator="equal">
      <formula>"+"</formula>
    </cfRule>
    <cfRule type="cellIs" dxfId="3859" priority="69" operator="equal">
      <formula>"szf"</formula>
    </cfRule>
  </conditionalFormatting>
  <conditionalFormatting sqref="M220">
    <cfRule type="cellIs" dxfId="3858" priority="67" operator="equal">
      <formula>"+"</formula>
    </cfRule>
  </conditionalFormatting>
  <conditionalFormatting sqref="N220">
    <cfRule type="cellIs" dxfId="3857" priority="65" operator="equal">
      <formula>"+"</formula>
    </cfRule>
    <cfRule type="cellIs" dxfId="3856" priority="66" operator="equal">
      <formula>"szf"</formula>
    </cfRule>
  </conditionalFormatting>
  <conditionalFormatting sqref="N220">
    <cfRule type="cellIs" dxfId="3855" priority="64" operator="equal">
      <formula>"+"</formula>
    </cfRule>
  </conditionalFormatting>
  <conditionalFormatting sqref="U220">
    <cfRule type="cellIs" dxfId="3854" priority="62" operator="equal">
      <formula>"+"</formula>
    </cfRule>
    <cfRule type="cellIs" dxfId="3853" priority="63" operator="equal">
      <formula>"szf"</formula>
    </cfRule>
  </conditionalFormatting>
  <conditionalFormatting sqref="U220">
    <cfRule type="cellIs" dxfId="3852" priority="61" operator="equal">
      <formula>"+"</formula>
    </cfRule>
  </conditionalFormatting>
  <conditionalFormatting sqref="V220">
    <cfRule type="cellIs" dxfId="3851" priority="59" operator="equal">
      <formula>"+"</formula>
    </cfRule>
    <cfRule type="cellIs" dxfId="3850" priority="60" operator="equal">
      <formula>"szf"</formula>
    </cfRule>
  </conditionalFormatting>
  <conditionalFormatting sqref="V220">
    <cfRule type="cellIs" dxfId="3849" priority="58" operator="equal">
      <formula>"+"</formula>
    </cfRule>
  </conditionalFormatting>
  <conditionalFormatting sqref="AC220">
    <cfRule type="cellIs" dxfId="3848" priority="56" operator="equal">
      <formula>"+"</formula>
    </cfRule>
    <cfRule type="cellIs" dxfId="3847" priority="57" operator="equal">
      <formula>"szf"</formula>
    </cfRule>
  </conditionalFormatting>
  <conditionalFormatting sqref="AC220">
    <cfRule type="cellIs" dxfId="3846" priority="55" operator="equal">
      <formula>"+"</formula>
    </cfRule>
  </conditionalFormatting>
  <conditionalFormatting sqref="AD220">
    <cfRule type="cellIs" dxfId="3845" priority="53" operator="equal">
      <formula>"+"</formula>
    </cfRule>
    <cfRule type="cellIs" dxfId="3844" priority="54" operator="equal">
      <formula>"szf"</formula>
    </cfRule>
  </conditionalFormatting>
  <conditionalFormatting sqref="AD220">
    <cfRule type="cellIs" dxfId="3843" priority="52" operator="equal">
      <formula>"+"</formula>
    </cfRule>
  </conditionalFormatting>
  <conditionalFormatting sqref="F244">
    <cfRule type="cellIs" dxfId="3842" priority="50" operator="equal">
      <formula>"+"</formula>
    </cfRule>
    <cfRule type="cellIs" dxfId="3841" priority="51" operator="equal">
      <formula>"szf"</formula>
    </cfRule>
  </conditionalFormatting>
  <conditionalFormatting sqref="F244">
    <cfRule type="cellIs" dxfId="3840" priority="49" operator="equal">
      <formula>"+"</formula>
    </cfRule>
  </conditionalFormatting>
  <conditionalFormatting sqref="G244">
    <cfRule type="cellIs" dxfId="3839" priority="47" operator="equal">
      <formula>"+"</formula>
    </cfRule>
    <cfRule type="cellIs" dxfId="3838" priority="48" operator="equal">
      <formula>"szf"</formula>
    </cfRule>
  </conditionalFormatting>
  <conditionalFormatting sqref="G244">
    <cfRule type="cellIs" dxfId="3837" priority="46" operator="equal">
      <formula>"+"</formula>
    </cfRule>
  </conditionalFormatting>
  <conditionalFormatting sqref="N244">
    <cfRule type="cellIs" dxfId="3836" priority="44" operator="equal">
      <formula>"+"</formula>
    </cfRule>
    <cfRule type="cellIs" dxfId="3835" priority="45" operator="equal">
      <formula>"szf"</formula>
    </cfRule>
  </conditionalFormatting>
  <conditionalFormatting sqref="N244">
    <cfRule type="cellIs" dxfId="3834" priority="43" operator="equal">
      <formula>"+"</formula>
    </cfRule>
  </conditionalFormatting>
  <conditionalFormatting sqref="O244">
    <cfRule type="cellIs" dxfId="3833" priority="41" operator="equal">
      <formula>"+"</formula>
    </cfRule>
    <cfRule type="cellIs" dxfId="3832" priority="42" operator="equal">
      <formula>"szf"</formula>
    </cfRule>
  </conditionalFormatting>
  <conditionalFormatting sqref="O244">
    <cfRule type="cellIs" dxfId="3831" priority="40" operator="equal">
      <formula>"+"</formula>
    </cfRule>
  </conditionalFormatting>
  <conditionalFormatting sqref="V244">
    <cfRule type="cellIs" dxfId="3830" priority="38" operator="equal">
      <formula>"+"</formula>
    </cfRule>
    <cfRule type="cellIs" dxfId="3829" priority="39" operator="equal">
      <formula>"szf"</formula>
    </cfRule>
  </conditionalFormatting>
  <conditionalFormatting sqref="V244">
    <cfRule type="cellIs" dxfId="3828" priority="37" operator="equal">
      <formula>"+"</formula>
    </cfRule>
  </conditionalFormatting>
  <conditionalFormatting sqref="W244">
    <cfRule type="cellIs" dxfId="3827" priority="35" operator="equal">
      <formula>"+"</formula>
    </cfRule>
    <cfRule type="cellIs" dxfId="3826" priority="36" operator="equal">
      <formula>"szf"</formula>
    </cfRule>
  </conditionalFormatting>
  <conditionalFormatting sqref="W244">
    <cfRule type="cellIs" dxfId="3825" priority="34" operator="equal">
      <formula>"+"</formula>
    </cfRule>
  </conditionalFormatting>
  <conditionalFormatting sqref="AD244">
    <cfRule type="cellIs" dxfId="3824" priority="32" operator="equal">
      <formula>"+"</formula>
    </cfRule>
    <cfRule type="cellIs" dxfId="3823" priority="33" operator="equal">
      <formula>"szf"</formula>
    </cfRule>
  </conditionalFormatting>
  <conditionalFormatting sqref="AD244">
    <cfRule type="cellIs" dxfId="3822" priority="31" operator="equal">
      <formula>"+"</formula>
    </cfRule>
  </conditionalFormatting>
  <conditionalFormatting sqref="AE244">
    <cfRule type="cellIs" dxfId="3821" priority="29" operator="equal">
      <formula>"+"</formula>
    </cfRule>
    <cfRule type="cellIs" dxfId="3820" priority="30" operator="equal">
      <formula>"szf"</formula>
    </cfRule>
  </conditionalFormatting>
  <conditionalFormatting sqref="AE244">
    <cfRule type="cellIs" dxfId="3819" priority="28" operator="equal">
      <formula>"+"</formula>
    </cfRule>
  </conditionalFormatting>
  <conditionalFormatting sqref="H268">
    <cfRule type="cellIs" dxfId="3818" priority="26" operator="equal">
      <formula>"+"</formula>
    </cfRule>
    <cfRule type="cellIs" dxfId="3817" priority="27" operator="equal">
      <formula>"szf"</formula>
    </cfRule>
  </conditionalFormatting>
  <conditionalFormatting sqref="H268">
    <cfRule type="cellIs" dxfId="3816" priority="25" operator="equal">
      <formula>"+"</formula>
    </cfRule>
  </conditionalFormatting>
  <conditionalFormatting sqref="I268">
    <cfRule type="cellIs" dxfId="3815" priority="23" operator="equal">
      <formula>"+"</formula>
    </cfRule>
    <cfRule type="cellIs" dxfId="3814" priority="24" operator="equal">
      <formula>"szf"</formula>
    </cfRule>
  </conditionalFormatting>
  <conditionalFormatting sqref="I268">
    <cfRule type="cellIs" dxfId="3813" priority="22" operator="equal">
      <formula>"+"</formula>
    </cfRule>
  </conditionalFormatting>
  <conditionalFormatting sqref="P268">
    <cfRule type="cellIs" dxfId="3812" priority="20" operator="equal">
      <formula>"+"</formula>
    </cfRule>
    <cfRule type="cellIs" dxfId="3811" priority="21" operator="equal">
      <formula>"szf"</formula>
    </cfRule>
  </conditionalFormatting>
  <conditionalFormatting sqref="P268">
    <cfRule type="cellIs" dxfId="3810" priority="19" operator="equal">
      <formula>"+"</formula>
    </cfRule>
  </conditionalFormatting>
  <conditionalFormatting sqref="Q268">
    <cfRule type="cellIs" dxfId="3809" priority="17" operator="equal">
      <formula>"+"</formula>
    </cfRule>
    <cfRule type="cellIs" dxfId="3808" priority="18" operator="equal">
      <formula>"szf"</formula>
    </cfRule>
  </conditionalFormatting>
  <conditionalFormatting sqref="Q268">
    <cfRule type="cellIs" dxfId="3807" priority="16" operator="equal">
      <formula>"+"</formula>
    </cfRule>
  </conditionalFormatting>
  <conditionalFormatting sqref="X268">
    <cfRule type="cellIs" dxfId="3806" priority="14" operator="equal">
      <formula>"+"</formula>
    </cfRule>
    <cfRule type="cellIs" dxfId="3805" priority="15" operator="equal">
      <formula>"szf"</formula>
    </cfRule>
  </conditionalFormatting>
  <conditionalFormatting sqref="X268">
    <cfRule type="cellIs" dxfId="3804" priority="13" operator="equal">
      <formula>"+"</formula>
    </cfRule>
  </conditionalFormatting>
  <conditionalFormatting sqref="Y268">
    <cfRule type="cellIs" dxfId="3803" priority="11" operator="equal">
      <formula>"+"</formula>
    </cfRule>
    <cfRule type="cellIs" dxfId="3802" priority="12" operator="equal">
      <formula>"szf"</formula>
    </cfRule>
  </conditionalFormatting>
  <conditionalFormatting sqref="Y268">
    <cfRule type="cellIs" dxfId="3801" priority="10" operator="equal">
      <formula>"+"</formula>
    </cfRule>
  </conditionalFormatting>
  <conditionalFormatting sqref="AF268">
    <cfRule type="cellIs" dxfId="3800" priority="8" operator="equal">
      <formula>"+"</formula>
    </cfRule>
    <cfRule type="cellIs" dxfId="3799" priority="9" operator="equal">
      <formula>"szf"</formula>
    </cfRule>
  </conditionalFormatting>
  <conditionalFormatting sqref="AF268">
    <cfRule type="cellIs" dxfId="3798" priority="7" operator="equal">
      <formula>"+"</formula>
    </cfRule>
  </conditionalFormatting>
  <conditionalFormatting sqref="B4">
    <cfRule type="cellIs" dxfId="3797" priority="5" operator="equal">
      <formula>"szf"</formula>
    </cfRule>
    <cfRule type="cellIs" dxfId="3796" priority="6" operator="equal">
      <formula>"+"</formula>
    </cfRule>
  </conditionalFormatting>
  <conditionalFormatting sqref="B4">
    <cfRule type="cellIs" dxfId="3795" priority="2" operator="equal">
      <formula>"X"</formula>
    </cfRule>
    <cfRule type="cellIs" dxfId="3794" priority="3" operator="equal">
      <formula>"V"</formula>
    </cfRule>
    <cfRule type="cellIs" dxfId="3793" priority="4" operator="equal">
      <formula>"Szo"</formula>
    </cfRule>
  </conditionalFormatting>
  <conditionalFormatting sqref="B4">
    <cfRule type="cellIs" dxfId="3792" priority="1" operator="equal">
      <formula>"Fü"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7"/>
  <sheetViews>
    <sheetView showGridLines="0" workbookViewId="0">
      <selection activeCell="A273" sqref="A273"/>
    </sheetView>
  </sheetViews>
  <sheetFormatPr defaultColWidth="12" defaultRowHeight="12.75"/>
  <cols>
    <col min="1" max="1" width="20.140625" style="26" bestFit="1" customWidth="1"/>
    <col min="2" max="2" width="4" style="9" customWidth="1"/>
    <col min="3" max="8" width="3.140625" style="9" customWidth="1"/>
    <col min="9" max="9" width="3" style="9" customWidth="1"/>
    <col min="10" max="31" width="3.140625" style="9" customWidth="1"/>
    <col min="32" max="32" width="3.85546875" style="9" customWidth="1"/>
    <col min="33" max="33" width="3.42578125" style="6" customWidth="1"/>
    <col min="34" max="35" width="6.85546875" style="13" hidden="1" customWidth="1"/>
    <col min="36" max="36" width="3.42578125" style="6" hidden="1" customWidth="1"/>
    <col min="37" max="43" width="3.42578125" style="6" customWidth="1"/>
    <col min="44" max="16384" width="12" style="6"/>
  </cols>
  <sheetData>
    <row r="1" spans="1:35" s="11" customFormat="1" ht="20.100000000000001" customHeight="1">
      <c r="A1" s="57" t="s">
        <v>0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23">
        <v>13</v>
      </c>
      <c r="O1" s="23">
        <v>14</v>
      </c>
      <c r="P1" s="23">
        <v>15</v>
      </c>
      <c r="Q1" s="23">
        <v>16</v>
      </c>
      <c r="R1" s="23">
        <v>17</v>
      </c>
      <c r="S1" s="23">
        <v>18</v>
      </c>
      <c r="T1" s="23">
        <v>19</v>
      </c>
      <c r="U1" s="23">
        <v>20</v>
      </c>
      <c r="V1" s="23">
        <v>21</v>
      </c>
      <c r="W1" s="23">
        <v>22</v>
      </c>
      <c r="X1" s="23">
        <v>23</v>
      </c>
      <c r="Y1" s="23">
        <v>24</v>
      </c>
      <c r="Z1" s="23">
        <v>25</v>
      </c>
      <c r="AA1" s="23">
        <v>26</v>
      </c>
      <c r="AB1" s="23">
        <v>27</v>
      </c>
      <c r="AC1" s="23">
        <v>28</v>
      </c>
      <c r="AD1" s="23">
        <v>29</v>
      </c>
      <c r="AE1" s="23">
        <v>30</v>
      </c>
      <c r="AF1" s="23">
        <v>31</v>
      </c>
      <c r="AH1" s="59" t="s">
        <v>18</v>
      </c>
      <c r="AI1" s="59" t="s">
        <v>19</v>
      </c>
    </row>
    <row r="2" spans="1:35" ht="20.100000000000001" customHeight="1">
      <c r="A2" s="58"/>
      <c r="B2" s="15" t="str">
        <f>'2021'!B4</f>
        <v>P</v>
      </c>
      <c r="C2" s="15" t="str">
        <f>'2021'!C4</f>
        <v>Szo</v>
      </c>
      <c r="D2" s="15" t="str">
        <f>'2021'!D4</f>
        <v>V</v>
      </c>
      <c r="E2" s="15" t="str">
        <f>'2021'!E4</f>
        <v>H</v>
      </c>
      <c r="F2" s="15" t="str">
        <f>'2021'!F4</f>
        <v>K</v>
      </c>
      <c r="G2" s="15" t="str">
        <f>'2021'!G4</f>
        <v>Sze</v>
      </c>
      <c r="H2" s="15" t="str">
        <f>'2021'!H4</f>
        <v>Cs</v>
      </c>
      <c r="I2" s="15" t="str">
        <f>'2021'!I4</f>
        <v>P</v>
      </c>
      <c r="J2" s="15" t="str">
        <f>'2021'!J4</f>
        <v>Szo</v>
      </c>
      <c r="K2" s="15" t="str">
        <f>'2021'!K4</f>
        <v>V</v>
      </c>
      <c r="L2" s="15" t="str">
        <f>'2021'!L4</f>
        <v>H</v>
      </c>
      <c r="M2" s="15" t="str">
        <f>'2021'!M4</f>
        <v>K</v>
      </c>
      <c r="N2" s="15" t="str">
        <f>'2021'!N4</f>
        <v>Sze</v>
      </c>
      <c r="O2" s="15" t="str">
        <f>'2021'!O4</f>
        <v>Cs</v>
      </c>
      <c r="P2" s="15" t="str">
        <f>'2021'!P4</f>
        <v>P</v>
      </c>
      <c r="Q2" s="15" t="str">
        <f>'2021'!Q4</f>
        <v>Szo</v>
      </c>
      <c r="R2" s="15" t="str">
        <f>'2021'!R4</f>
        <v>V</v>
      </c>
      <c r="S2" s="15" t="str">
        <f>'2021'!S4</f>
        <v>H</v>
      </c>
      <c r="T2" s="15" t="str">
        <f>'2021'!T4</f>
        <v>K</v>
      </c>
      <c r="U2" s="15" t="str">
        <f>'2021'!U4</f>
        <v>Sze</v>
      </c>
      <c r="V2" s="15" t="str">
        <f>'2021'!V4</f>
        <v>Cs</v>
      </c>
      <c r="W2" s="15" t="str">
        <f>'2021'!W4</f>
        <v>P</v>
      </c>
      <c r="X2" s="15" t="str">
        <f>'2021'!X4</f>
        <v>Szo</v>
      </c>
      <c r="Y2" s="15" t="str">
        <f>'2021'!Y4</f>
        <v>V</v>
      </c>
      <c r="Z2" s="15" t="str">
        <f>'2021'!Z4</f>
        <v>H</v>
      </c>
      <c r="AA2" s="15" t="str">
        <f>'2021'!AA4</f>
        <v>K</v>
      </c>
      <c r="AB2" s="15" t="str">
        <f>'2021'!AB4</f>
        <v>Sze</v>
      </c>
      <c r="AC2" s="15" t="str">
        <f>'2021'!AC4</f>
        <v>Cs</v>
      </c>
      <c r="AD2" s="15" t="str">
        <f>'2021'!AD4</f>
        <v>P</v>
      </c>
      <c r="AE2" s="15" t="str">
        <f>'2021'!AE4</f>
        <v>Szo</v>
      </c>
      <c r="AF2" s="15" t="str">
        <f>'2021'!AF4</f>
        <v>V</v>
      </c>
      <c r="AH2" s="60"/>
      <c r="AI2" s="60"/>
    </row>
    <row r="3" spans="1:35" ht="20.100000000000001" customHeight="1">
      <c r="A3" s="58"/>
      <c r="B3" s="15">
        <f>'2021'!B6</f>
        <v>3</v>
      </c>
      <c r="C3" s="15">
        <f>'2021'!C6</f>
        <v>3</v>
      </c>
      <c r="D3" s="15" t="str">
        <f>'2021'!D6</f>
        <v>X</v>
      </c>
      <c r="E3" s="15" t="str">
        <f>'2021'!E6</f>
        <v>X</v>
      </c>
      <c r="F3" s="15">
        <f>'2021'!F6</f>
        <v>2</v>
      </c>
      <c r="G3" s="15">
        <f>'2021'!G6</f>
        <v>2</v>
      </c>
      <c r="H3" s="15">
        <f>'2021'!H6</f>
        <v>2</v>
      </c>
      <c r="I3" s="15">
        <f>'2021'!I6</f>
        <v>2</v>
      </c>
      <c r="J3" s="15">
        <f>'2021'!J6</f>
        <v>2</v>
      </c>
      <c r="K3" s="15">
        <f>'2021'!K6</f>
        <v>2</v>
      </c>
      <c r="L3" s="15" t="str">
        <f>'2021'!L6</f>
        <v>X</v>
      </c>
      <c r="M3" s="15" t="str">
        <f>'2021'!M6</f>
        <v>X</v>
      </c>
      <c r="N3" s="15">
        <f>'2021'!N6</f>
        <v>1</v>
      </c>
      <c r="O3" s="15">
        <f>'2021'!O6</f>
        <v>1</v>
      </c>
      <c r="P3" s="15">
        <f>'2021'!P6</f>
        <v>1</v>
      </c>
      <c r="Q3" s="15">
        <f>'2021'!Q6</f>
        <v>1</v>
      </c>
      <c r="R3" s="15">
        <f>'2021'!R6</f>
        <v>1</v>
      </c>
      <c r="S3" s="15">
        <f>'2021'!S6</f>
        <v>1</v>
      </c>
      <c r="T3" s="15" t="str">
        <f>'2021'!T6</f>
        <v>X</v>
      </c>
      <c r="U3" s="15" t="str">
        <f>'2021'!U6</f>
        <v>X</v>
      </c>
      <c r="V3" s="15">
        <f>'2021'!V6</f>
        <v>3</v>
      </c>
      <c r="W3" s="15">
        <f>'2021'!W6</f>
        <v>3</v>
      </c>
      <c r="X3" s="15">
        <f>'2021'!X6</f>
        <v>3</v>
      </c>
      <c r="Y3" s="15">
        <f>'2021'!Y6</f>
        <v>3</v>
      </c>
      <c r="Z3" s="15">
        <f>'2021'!Z6</f>
        <v>3</v>
      </c>
      <c r="AA3" s="15">
        <f>'2021'!AA6</f>
        <v>3</v>
      </c>
      <c r="AB3" s="15" t="str">
        <f>'2021'!AB6</f>
        <v>X</v>
      </c>
      <c r="AC3" s="15" t="str">
        <f>'2021'!AC6</f>
        <v>X</v>
      </c>
      <c r="AD3" s="15">
        <f>'2021'!AD6</f>
        <v>2</v>
      </c>
      <c r="AE3" s="15">
        <f>'2021'!AE6</f>
        <v>2</v>
      </c>
      <c r="AF3" s="15">
        <f>'2021'!AF6</f>
        <v>2</v>
      </c>
      <c r="AH3" s="60"/>
      <c r="AI3" s="60"/>
    </row>
    <row r="4" spans="1:35" ht="20.100000000000001" customHeight="1">
      <c r="A4" s="24" t="str">
        <f>ÖSSZES!$A$26</f>
        <v>Katona László</v>
      </c>
      <c r="B4" s="19"/>
      <c r="C4" s="19"/>
      <c r="D4" s="39" t="s">
        <v>2</v>
      </c>
      <c r="E4" s="39" t="s">
        <v>2</v>
      </c>
      <c r="F4" s="19"/>
      <c r="G4" s="19"/>
      <c r="H4" s="19"/>
      <c r="I4" s="19"/>
      <c r="J4" s="19"/>
      <c r="K4" s="19"/>
      <c r="L4" s="39" t="s">
        <v>2</v>
      </c>
      <c r="M4" s="39" t="s">
        <v>2</v>
      </c>
      <c r="N4" s="19"/>
      <c r="O4" s="19"/>
      <c r="P4" s="19"/>
      <c r="Q4" s="19"/>
      <c r="R4" s="19"/>
      <c r="S4" s="19"/>
      <c r="T4" s="39" t="s">
        <v>2</v>
      </c>
      <c r="U4" s="39" t="s">
        <v>2</v>
      </c>
      <c r="V4" s="19"/>
      <c r="W4" s="19"/>
      <c r="X4" s="19"/>
      <c r="Y4" s="19"/>
      <c r="Z4" s="19"/>
      <c r="AA4" s="19"/>
      <c r="AB4" s="39" t="s">
        <v>2</v>
      </c>
      <c r="AC4" s="39" t="s">
        <v>2</v>
      </c>
      <c r="AD4" s="19"/>
      <c r="AE4" s="19"/>
      <c r="AF4" s="19"/>
      <c r="AH4" s="20">
        <f>1*COUNTIF(A4:AF4,"+")</f>
        <v>0</v>
      </c>
      <c r="AI4" s="20">
        <f>1*COUNTIF(B4:AF4,"szf")</f>
        <v>0</v>
      </c>
    </row>
    <row r="5" spans="1:35" ht="20.100000000000001" customHeight="1">
      <c r="A5" s="24" t="str">
        <f>ÖSSZES!$A$27</f>
        <v>Fényi László</v>
      </c>
      <c r="B5" s="19"/>
      <c r="C5" s="19"/>
      <c r="D5" s="39" t="s">
        <v>2</v>
      </c>
      <c r="E5" s="39" t="s">
        <v>2</v>
      </c>
      <c r="F5" s="19"/>
      <c r="G5" s="19"/>
      <c r="H5" s="19"/>
      <c r="I5" s="19"/>
      <c r="J5" s="19"/>
      <c r="K5" s="19"/>
      <c r="L5" s="39" t="s">
        <v>2</v>
      </c>
      <c r="M5" s="39" t="s">
        <v>2</v>
      </c>
      <c r="N5" s="19"/>
      <c r="O5" s="19"/>
      <c r="P5" s="19"/>
      <c r="Q5" s="19"/>
      <c r="R5" s="19"/>
      <c r="S5" s="19"/>
      <c r="T5" s="39" t="s">
        <v>2</v>
      </c>
      <c r="U5" s="39" t="s">
        <v>2</v>
      </c>
      <c r="V5" s="19"/>
      <c r="W5" s="19"/>
      <c r="X5" s="19"/>
      <c r="Y5" s="19"/>
      <c r="Z5" s="19"/>
      <c r="AA5" s="19"/>
      <c r="AB5" s="39" t="s">
        <v>2</v>
      </c>
      <c r="AC5" s="39" t="s">
        <v>2</v>
      </c>
      <c r="AD5" s="19"/>
      <c r="AE5" s="19"/>
      <c r="AF5" s="19"/>
      <c r="AH5" s="20">
        <f t="shared" ref="AH5:AH23" si="0">1*COUNTIF(A5:AF5,"+")</f>
        <v>0</v>
      </c>
      <c r="AI5" s="20">
        <f t="shared" ref="AI5:AI23" si="1">1*COUNTIF(B5:AF5,"szf")</f>
        <v>0</v>
      </c>
    </row>
    <row r="6" spans="1:35" ht="20.100000000000001" customHeight="1">
      <c r="A6" s="24" t="str">
        <f>ÖSSZES!$A$28</f>
        <v>Habara Gábor</v>
      </c>
      <c r="B6" s="19"/>
      <c r="C6" s="19"/>
      <c r="D6" s="39" t="s">
        <v>2</v>
      </c>
      <c r="E6" s="39" t="s">
        <v>2</v>
      </c>
      <c r="F6" s="19"/>
      <c r="G6" s="19"/>
      <c r="H6" s="19"/>
      <c r="I6" s="19"/>
      <c r="J6" s="19"/>
      <c r="K6" s="19"/>
      <c r="L6" s="39" t="s">
        <v>2</v>
      </c>
      <c r="M6" s="39" t="s">
        <v>2</v>
      </c>
      <c r="N6" s="19"/>
      <c r="O6" s="19"/>
      <c r="P6" s="19"/>
      <c r="Q6" s="19"/>
      <c r="R6" s="19"/>
      <c r="S6" s="19"/>
      <c r="T6" s="39" t="s">
        <v>2</v>
      </c>
      <c r="U6" s="39" t="s">
        <v>2</v>
      </c>
      <c r="V6" s="19"/>
      <c r="W6" s="19"/>
      <c r="X6" s="19"/>
      <c r="Y6" s="19"/>
      <c r="Z6" s="19"/>
      <c r="AA6" s="19"/>
      <c r="AB6" s="39" t="s">
        <v>2</v>
      </c>
      <c r="AC6" s="39" t="s">
        <v>2</v>
      </c>
      <c r="AD6" s="19"/>
      <c r="AE6" s="19"/>
      <c r="AF6" s="19"/>
      <c r="AH6" s="20">
        <f t="shared" si="0"/>
        <v>0</v>
      </c>
      <c r="AI6" s="20">
        <f t="shared" si="1"/>
        <v>0</v>
      </c>
    </row>
    <row r="7" spans="1:35" ht="20.100000000000001" customHeight="1">
      <c r="A7" s="24" t="str">
        <f>ÖSSZES!$A$29</f>
        <v>Holba Imre</v>
      </c>
      <c r="B7" s="19"/>
      <c r="C7" s="19"/>
      <c r="D7" s="39" t="s">
        <v>2</v>
      </c>
      <c r="E7" s="39" t="s">
        <v>2</v>
      </c>
      <c r="F7" s="19"/>
      <c r="G7" s="19"/>
      <c r="H7" s="19"/>
      <c r="I7" s="19"/>
      <c r="J7" s="19"/>
      <c r="K7" s="19"/>
      <c r="L7" s="39" t="s">
        <v>2</v>
      </c>
      <c r="M7" s="39" t="s">
        <v>2</v>
      </c>
      <c r="N7" s="19"/>
      <c r="O7" s="19"/>
      <c r="P7" s="19"/>
      <c r="Q7" s="19"/>
      <c r="R7" s="19"/>
      <c r="S7" s="19"/>
      <c r="T7" s="39" t="s">
        <v>2</v>
      </c>
      <c r="U7" s="39" t="s">
        <v>2</v>
      </c>
      <c r="V7" s="19"/>
      <c r="W7" s="19"/>
      <c r="X7" s="19"/>
      <c r="Y7" s="19"/>
      <c r="Z7" s="19"/>
      <c r="AA7" s="19"/>
      <c r="AB7" s="39" t="s">
        <v>2</v>
      </c>
      <c r="AC7" s="39" t="s">
        <v>2</v>
      </c>
      <c r="AD7" s="19"/>
      <c r="AE7" s="19"/>
      <c r="AF7" s="19"/>
      <c r="AH7" s="20">
        <f t="shared" si="0"/>
        <v>0</v>
      </c>
      <c r="AI7" s="20">
        <f t="shared" si="1"/>
        <v>0</v>
      </c>
    </row>
    <row r="8" spans="1:35" ht="20.100000000000001" customHeight="1">
      <c r="A8" s="24" t="str">
        <f>ÖSSZES!$A$30</f>
        <v>Király Bálint Donát</v>
      </c>
      <c r="B8" s="19"/>
      <c r="C8" s="19"/>
      <c r="D8" s="39" t="s">
        <v>2</v>
      </c>
      <c r="E8" s="39" t="s">
        <v>2</v>
      </c>
      <c r="F8" s="19"/>
      <c r="G8" s="19"/>
      <c r="H8" s="19"/>
      <c r="I8" s="19"/>
      <c r="J8" s="19"/>
      <c r="K8" s="19"/>
      <c r="L8" s="39" t="s">
        <v>2</v>
      </c>
      <c r="M8" s="39" t="s">
        <v>2</v>
      </c>
      <c r="N8" s="19"/>
      <c r="O8" s="19"/>
      <c r="P8" s="19"/>
      <c r="Q8" s="19"/>
      <c r="R8" s="19"/>
      <c r="S8" s="19"/>
      <c r="T8" s="39" t="s">
        <v>2</v>
      </c>
      <c r="U8" s="39" t="s">
        <v>2</v>
      </c>
      <c r="V8" s="19"/>
      <c r="W8" s="19"/>
      <c r="X8" s="19"/>
      <c r="Y8" s="19"/>
      <c r="Z8" s="19"/>
      <c r="AA8" s="19"/>
      <c r="AB8" s="39" t="s">
        <v>2</v>
      </c>
      <c r="AC8" s="39" t="s">
        <v>2</v>
      </c>
      <c r="AD8" s="19"/>
      <c r="AE8" s="19"/>
      <c r="AF8" s="19"/>
      <c r="AH8" s="20">
        <f t="shared" si="0"/>
        <v>0</v>
      </c>
      <c r="AI8" s="20">
        <f t="shared" si="1"/>
        <v>0</v>
      </c>
    </row>
    <row r="9" spans="1:35" ht="20.100000000000001" customHeight="1">
      <c r="A9" s="24" t="str">
        <f>ÖSSZES!$A$31</f>
        <v>Kiss János Tamás</v>
      </c>
      <c r="B9" s="19"/>
      <c r="C9" s="19"/>
      <c r="D9" s="39" t="s">
        <v>2</v>
      </c>
      <c r="E9" s="39" t="s">
        <v>2</v>
      </c>
      <c r="F9" s="19"/>
      <c r="G9" s="19"/>
      <c r="H9" s="19"/>
      <c r="I9" s="19"/>
      <c r="J9" s="19"/>
      <c r="K9" s="19"/>
      <c r="L9" s="39" t="s">
        <v>2</v>
      </c>
      <c r="M9" s="39" t="s">
        <v>2</v>
      </c>
      <c r="N9" s="19"/>
      <c r="O9" s="19"/>
      <c r="P9" s="19"/>
      <c r="Q9" s="19"/>
      <c r="R9" s="19"/>
      <c r="S9" s="19"/>
      <c r="T9" s="39" t="s">
        <v>2</v>
      </c>
      <c r="U9" s="39" t="s">
        <v>2</v>
      </c>
      <c r="V9" s="19"/>
      <c r="W9" s="19"/>
      <c r="X9" s="19"/>
      <c r="Y9" s="19"/>
      <c r="Z9" s="19"/>
      <c r="AA9" s="19"/>
      <c r="AB9" s="39" t="s">
        <v>2</v>
      </c>
      <c r="AC9" s="39" t="s">
        <v>2</v>
      </c>
      <c r="AD9" s="19"/>
      <c r="AE9" s="19"/>
      <c r="AF9" s="19"/>
      <c r="AH9" s="20">
        <f t="shared" si="0"/>
        <v>0</v>
      </c>
      <c r="AI9" s="20">
        <f t="shared" si="1"/>
        <v>0</v>
      </c>
    </row>
    <row r="10" spans="1:35" ht="20.100000000000001" customHeight="1">
      <c r="A10" s="24" t="str">
        <f>ÖSSZES!$A$32</f>
        <v>Mezei Lajos</v>
      </c>
      <c r="B10" s="19"/>
      <c r="C10" s="19"/>
      <c r="D10" s="39" t="s">
        <v>2</v>
      </c>
      <c r="E10" s="39" t="s">
        <v>2</v>
      </c>
      <c r="F10" s="19"/>
      <c r="G10" s="19"/>
      <c r="H10" s="19"/>
      <c r="I10" s="19"/>
      <c r="J10" s="19"/>
      <c r="K10" s="19"/>
      <c r="L10" s="39" t="s">
        <v>2</v>
      </c>
      <c r="M10" s="39" t="s">
        <v>2</v>
      </c>
      <c r="N10" s="19"/>
      <c r="O10" s="19"/>
      <c r="P10" s="19"/>
      <c r="Q10" s="19"/>
      <c r="R10" s="19"/>
      <c r="S10" s="19"/>
      <c r="T10" s="39" t="s">
        <v>2</v>
      </c>
      <c r="U10" s="39" t="s">
        <v>2</v>
      </c>
      <c r="V10" s="19"/>
      <c r="W10" s="19"/>
      <c r="X10" s="19"/>
      <c r="Y10" s="19"/>
      <c r="Z10" s="19"/>
      <c r="AA10" s="19"/>
      <c r="AB10" s="39" t="s">
        <v>2</v>
      </c>
      <c r="AC10" s="39" t="s">
        <v>2</v>
      </c>
      <c r="AD10" s="19"/>
      <c r="AE10" s="19"/>
      <c r="AF10" s="19"/>
      <c r="AH10" s="20">
        <f t="shared" si="0"/>
        <v>0</v>
      </c>
      <c r="AI10" s="20">
        <f t="shared" si="1"/>
        <v>0</v>
      </c>
    </row>
    <row r="11" spans="1:35" ht="20.100000000000001" hidden="1" customHeight="1">
      <c r="A11" s="24" t="str">
        <f>ÖSSZES!$A$33</f>
        <v>Név8</v>
      </c>
      <c r="B11" s="19"/>
      <c r="C11" s="19"/>
      <c r="D11" s="39" t="s">
        <v>2</v>
      </c>
      <c r="E11" s="39" t="s">
        <v>2</v>
      </c>
      <c r="F11" s="19"/>
      <c r="G11" s="19"/>
      <c r="H11" s="19"/>
      <c r="I11" s="19"/>
      <c r="J11" s="19"/>
      <c r="K11" s="19"/>
      <c r="L11" s="39" t="s">
        <v>2</v>
      </c>
      <c r="M11" s="39" t="s">
        <v>2</v>
      </c>
      <c r="N11" s="19"/>
      <c r="O11" s="19"/>
      <c r="P11" s="19"/>
      <c r="Q11" s="19"/>
      <c r="R11" s="19"/>
      <c r="S11" s="19"/>
      <c r="T11" s="39" t="s">
        <v>2</v>
      </c>
      <c r="U11" s="39" t="s">
        <v>2</v>
      </c>
      <c r="V11" s="19"/>
      <c r="W11" s="19"/>
      <c r="X11" s="19"/>
      <c r="Y11" s="19"/>
      <c r="Z11" s="19"/>
      <c r="AA11" s="19"/>
      <c r="AB11" s="39" t="s">
        <v>2</v>
      </c>
      <c r="AC11" s="39" t="s">
        <v>2</v>
      </c>
      <c r="AD11" s="19"/>
      <c r="AE11" s="19"/>
      <c r="AF11" s="19"/>
      <c r="AH11" s="20">
        <f t="shared" si="0"/>
        <v>0</v>
      </c>
      <c r="AI11" s="20">
        <f t="shared" si="1"/>
        <v>0</v>
      </c>
    </row>
    <row r="12" spans="1:35" ht="20.100000000000001" hidden="1" customHeight="1">
      <c r="A12" s="24" t="str">
        <f>ÖSSZES!$A$34</f>
        <v>Név9</v>
      </c>
      <c r="B12" s="19"/>
      <c r="C12" s="19"/>
      <c r="D12" s="39" t="s">
        <v>2</v>
      </c>
      <c r="E12" s="39" t="s">
        <v>2</v>
      </c>
      <c r="F12" s="19"/>
      <c r="G12" s="19"/>
      <c r="H12" s="19"/>
      <c r="I12" s="19"/>
      <c r="J12" s="19"/>
      <c r="K12" s="19"/>
      <c r="L12" s="39" t="s">
        <v>2</v>
      </c>
      <c r="M12" s="39" t="s">
        <v>2</v>
      </c>
      <c r="N12" s="19"/>
      <c r="O12" s="19"/>
      <c r="P12" s="19"/>
      <c r="Q12" s="19"/>
      <c r="R12" s="19"/>
      <c r="S12" s="19"/>
      <c r="T12" s="39" t="s">
        <v>2</v>
      </c>
      <c r="U12" s="39" t="s">
        <v>2</v>
      </c>
      <c r="V12" s="19"/>
      <c r="W12" s="19"/>
      <c r="X12" s="19"/>
      <c r="Y12" s="19"/>
      <c r="Z12" s="19"/>
      <c r="AA12" s="19"/>
      <c r="AB12" s="39" t="s">
        <v>2</v>
      </c>
      <c r="AC12" s="39" t="s">
        <v>2</v>
      </c>
      <c r="AD12" s="19"/>
      <c r="AE12" s="19"/>
      <c r="AF12" s="19"/>
      <c r="AH12" s="20">
        <f t="shared" si="0"/>
        <v>0</v>
      </c>
      <c r="AI12" s="20">
        <f t="shared" si="1"/>
        <v>0</v>
      </c>
    </row>
    <row r="13" spans="1:35" ht="20.100000000000001" hidden="1" customHeight="1">
      <c r="A13" s="24" t="str">
        <f>ÖSSZES!$A$35</f>
        <v>Név10</v>
      </c>
      <c r="B13" s="19"/>
      <c r="C13" s="19"/>
      <c r="D13" s="39" t="s">
        <v>2</v>
      </c>
      <c r="E13" s="39" t="s">
        <v>2</v>
      </c>
      <c r="F13" s="19"/>
      <c r="G13" s="19"/>
      <c r="H13" s="19"/>
      <c r="I13" s="19"/>
      <c r="J13" s="19"/>
      <c r="K13" s="19"/>
      <c r="L13" s="39" t="s">
        <v>2</v>
      </c>
      <c r="M13" s="39" t="s">
        <v>2</v>
      </c>
      <c r="N13" s="19"/>
      <c r="O13" s="19"/>
      <c r="P13" s="19"/>
      <c r="Q13" s="19"/>
      <c r="R13" s="19"/>
      <c r="S13" s="19"/>
      <c r="T13" s="39" t="s">
        <v>2</v>
      </c>
      <c r="U13" s="39" t="s">
        <v>2</v>
      </c>
      <c r="V13" s="19"/>
      <c r="W13" s="19"/>
      <c r="X13" s="19"/>
      <c r="Y13" s="19"/>
      <c r="Z13" s="19"/>
      <c r="AA13" s="19"/>
      <c r="AB13" s="39" t="s">
        <v>2</v>
      </c>
      <c r="AC13" s="39" t="s">
        <v>2</v>
      </c>
      <c r="AD13" s="19"/>
      <c r="AE13" s="19"/>
      <c r="AF13" s="19"/>
      <c r="AH13" s="20">
        <f t="shared" si="0"/>
        <v>0</v>
      </c>
      <c r="AI13" s="20">
        <f t="shared" si="1"/>
        <v>0</v>
      </c>
    </row>
    <row r="14" spans="1:35" ht="20.100000000000001" hidden="1" customHeight="1">
      <c r="A14" s="24" t="str">
        <f>ÖSSZES!$A$36</f>
        <v>Név11</v>
      </c>
      <c r="B14" s="19"/>
      <c r="C14" s="19"/>
      <c r="D14" s="39" t="s">
        <v>2</v>
      </c>
      <c r="E14" s="39" t="s">
        <v>2</v>
      </c>
      <c r="F14" s="19"/>
      <c r="G14" s="19"/>
      <c r="H14" s="19"/>
      <c r="I14" s="19"/>
      <c r="J14" s="19"/>
      <c r="K14" s="19"/>
      <c r="L14" s="39" t="s">
        <v>2</v>
      </c>
      <c r="M14" s="39" t="s">
        <v>2</v>
      </c>
      <c r="N14" s="19"/>
      <c r="O14" s="19"/>
      <c r="P14" s="19"/>
      <c r="Q14" s="19"/>
      <c r="R14" s="19"/>
      <c r="S14" s="19"/>
      <c r="T14" s="39" t="s">
        <v>2</v>
      </c>
      <c r="U14" s="39" t="s">
        <v>2</v>
      </c>
      <c r="V14" s="19"/>
      <c r="W14" s="19"/>
      <c r="X14" s="19"/>
      <c r="Y14" s="19"/>
      <c r="Z14" s="19"/>
      <c r="AA14" s="19"/>
      <c r="AB14" s="39" t="s">
        <v>2</v>
      </c>
      <c r="AC14" s="39" t="s">
        <v>2</v>
      </c>
      <c r="AD14" s="19"/>
      <c r="AE14" s="19"/>
      <c r="AF14" s="19"/>
      <c r="AH14" s="20">
        <f t="shared" si="0"/>
        <v>0</v>
      </c>
      <c r="AI14" s="20">
        <f t="shared" si="1"/>
        <v>0</v>
      </c>
    </row>
    <row r="15" spans="1:35" ht="20.100000000000001" hidden="1" customHeight="1">
      <c r="A15" s="24" t="str">
        <f>ÖSSZES!$A$37</f>
        <v>Név12</v>
      </c>
      <c r="B15" s="19"/>
      <c r="C15" s="19"/>
      <c r="D15" s="39" t="s">
        <v>2</v>
      </c>
      <c r="E15" s="39" t="s">
        <v>2</v>
      </c>
      <c r="F15" s="19"/>
      <c r="G15" s="19"/>
      <c r="H15" s="19"/>
      <c r="I15" s="19"/>
      <c r="J15" s="19"/>
      <c r="K15" s="19"/>
      <c r="L15" s="39" t="s">
        <v>2</v>
      </c>
      <c r="M15" s="39" t="s">
        <v>2</v>
      </c>
      <c r="N15" s="19"/>
      <c r="O15" s="19"/>
      <c r="P15" s="19"/>
      <c r="Q15" s="19"/>
      <c r="R15" s="19"/>
      <c r="S15" s="19"/>
      <c r="T15" s="39" t="s">
        <v>2</v>
      </c>
      <c r="U15" s="39" t="s">
        <v>2</v>
      </c>
      <c r="V15" s="19"/>
      <c r="W15" s="19"/>
      <c r="X15" s="19"/>
      <c r="Y15" s="19"/>
      <c r="Z15" s="19"/>
      <c r="AA15" s="19"/>
      <c r="AB15" s="39" t="s">
        <v>2</v>
      </c>
      <c r="AC15" s="39" t="s">
        <v>2</v>
      </c>
      <c r="AD15" s="19"/>
      <c r="AE15" s="19"/>
      <c r="AF15" s="19"/>
      <c r="AH15" s="20">
        <f t="shared" si="0"/>
        <v>0</v>
      </c>
      <c r="AI15" s="20">
        <f t="shared" si="1"/>
        <v>0</v>
      </c>
    </row>
    <row r="16" spans="1:35" ht="20.100000000000001" hidden="1" customHeight="1">
      <c r="A16" s="24" t="str">
        <f>ÖSSZES!$A$38</f>
        <v>Név13</v>
      </c>
      <c r="B16" s="19"/>
      <c r="C16" s="19"/>
      <c r="D16" s="39" t="s">
        <v>2</v>
      </c>
      <c r="E16" s="39" t="s">
        <v>2</v>
      </c>
      <c r="F16" s="19"/>
      <c r="G16" s="19"/>
      <c r="H16" s="19"/>
      <c r="I16" s="19"/>
      <c r="J16" s="19"/>
      <c r="K16" s="19"/>
      <c r="L16" s="39" t="s">
        <v>2</v>
      </c>
      <c r="M16" s="39" t="s">
        <v>2</v>
      </c>
      <c r="N16" s="19"/>
      <c r="O16" s="19"/>
      <c r="P16" s="19"/>
      <c r="Q16" s="19"/>
      <c r="R16" s="19"/>
      <c r="S16" s="19"/>
      <c r="T16" s="39" t="s">
        <v>2</v>
      </c>
      <c r="U16" s="39" t="s">
        <v>2</v>
      </c>
      <c r="V16" s="19"/>
      <c r="W16" s="19"/>
      <c r="X16" s="19"/>
      <c r="Y16" s="19"/>
      <c r="Z16" s="19"/>
      <c r="AA16" s="19"/>
      <c r="AB16" s="39" t="s">
        <v>2</v>
      </c>
      <c r="AC16" s="39" t="s">
        <v>2</v>
      </c>
      <c r="AD16" s="19"/>
      <c r="AE16" s="19"/>
      <c r="AF16" s="19"/>
      <c r="AH16" s="20">
        <f t="shared" si="0"/>
        <v>0</v>
      </c>
      <c r="AI16" s="20">
        <f t="shared" si="1"/>
        <v>0</v>
      </c>
    </row>
    <row r="17" spans="1:35" ht="20.100000000000001" hidden="1" customHeight="1">
      <c r="A17" s="24" t="str">
        <f>ÖSSZES!$A$39</f>
        <v>Név14</v>
      </c>
      <c r="B17" s="19"/>
      <c r="C17" s="19"/>
      <c r="D17" s="39" t="s">
        <v>2</v>
      </c>
      <c r="E17" s="39" t="s">
        <v>2</v>
      </c>
      <c r="F17" s="19"/>
      <c r="G17" s="19"/>
      <c r="H17" s="19"/>
      <c r="I17" s="19"/>
      <c r="J17" s="19"/>
      <c r="K17" s="19"/>
      <c r="L17" s="39" t="s">
        <v>2</v>
      </c>
      <c r="M17" s="39" t="s">
        <v>2</v>
      </c>
      <c r="N17" s="19"/>
      <c r="O17" s="19"/>
      <c r="P17" s="19"/>
      <c r="Q17" s="19"/>
      <c r="R17" s="19"/>
      <c r="S17" s="19"/>
      <c r="T17" s="39" t="s">
        <v>2</v>
      </c>
      <c r="U17" s="39" t="s">
        <v>2</v>
      </c>
      <c r="V17" s="19"/>
      <c r="W17" s="19"/>
      <c r="X17" s="19"/>
      <c r="Y17" s="19"/>
      <c r="Z17" s="19"/>
      <c r="AA17" s="19"/>
      <c r="AB17" s="39" t="s">
        <v>2</v>
      </c>
      <c r="AC17" s="39" t="s">
        <v>2</v>
      </c>
      <c r="AD17" s="19"/>
      <c r="AE17" s="19"/>
      <c r="AF17" s="19"/>
      <c r="AH17" s="20">
        <f t="shared" si="0"/>
        <v>0</v>
      </c>
      <c r="AI17" s="20">
        <f t="shared" si="1"/>
        <v>0</v>
      </c>
    </row>
    <row r="18" spans="1:35" ht="20.100000000000001" hidden="1" customHeight="1">
      <c r="A18" s="24" t="str">
        <f>ÖSSZES!$A$40</f>
        <v>Név15</v>
      </c>
      <c r="B18" s="19"/>
      <c r="C18" s="19"/>
      <c r="D18" s="39" t="s">
        <v>2</v>
      </c>
      <c r="E18" s="39" t="s">
        <v>2</v>
      </c>
      <c r="F18" s="19"/>
      <c r="G18" s="19"/>
      <c r="H18" s="19"/>
      <c r="I18" s="19"/>
      <c r="J18" s="19"/>
      <c r="K18" s="19"/>
      <c r="L18" s="39" t="s">
        <v>2</v>
      </c>
      <c r="M18" s="39" t="s">
        <v>2</v>
      </c>
      <c r="N18" s="19"/>
      <c r="O18" s="19"/>
      <c r="P18" s="19"/>
      <c r="Q18" s="19"/>
      <c r="R18" s="19"/>
      <c r="S18" s="19"/>
      <c r="T18" s="39" t="s">
        <v>2</v>
      </c>
      <c r="U18" s="39" t="s">
        <v>2</v>
      </c>
      <c r="V18" s="19"/>
      <c r="W18" s="19"/>
      <c r="X18" s="19"/>
      <c r="Y18" s="19"/>
      <c r="Z18" s="19"/>
      <c r="AA18" s="19"/>
      <c r="AB18" s="39" t="s">
        <v>2</v>
      </c>
      <c r="AC18" s="39" t="s">
        <v>2</v>
      </c>
      <c r="AD18" s="19"/>
      <c r="AE18" s="19"/>
      <c r="AF18" s="19"/>
      <c r="AH18" s="20">
        <f t="shared" si="0"/>
        <v>0</v>
      </c>
      <c r="AI18" s="20">
        <f t="shared" si="1"/>
        <v>0</v>
      </c>
    </row>
    <row r="19" spans="1:35" ht="20.100000000000001" hidden="1" customHeight="1">
      <c r="A19" s="24" t="str">
        <f>ÖSSZES!$A$41</f>
        <v>Név16</v>
      </c>
      <c r="B19" s="19"/>
      <c r="C19" s="19"/>
      <c r="D19" s="39" t="s">
        <v>2</v>
      </c>
      <c r="E19" s="39" t="s">
        <v>2</v>
      </c>
      <c r="F19" s="19"/>
      <c r="G19" s="19"/>
      <c r="H19" s="19"/>
      <c r="I19" s="19"/>
      <c r="J19" s="19"/>
      <c r="K19" s="19"/>
      <c r="L19" s="39" t="s">
        <v>2</v>
      </c>
      <c r="M19" s="39" t="s">
        <v>2</v>
      </c>
      <c r="N19" s="19"/>
      <c r="O19" s="19"/>
      <c r="P19" s="19"/>
      <c r="Q19" s="19"/>
      <c r="R19" s="19"/>
      <c r="S19" s="19"/>
      <c r="T19" s="39" t="s">
        <v>2</v>
      </c>
      <c r="U19" s="39" t="s">
        <v>2</v>
      </c>
      <c r="V19" s="19"/>
      <c r="W19" s="19"/>
      <c r="X19" s="19"/>
      <c r="Y19" s="19"/>
      <c r="Z19" s="19"/>
      <c r="AA19" s="19"/>
      <c r="AB19" s="39" t="s">
        <v>2</v>
      </c>
      <c r="AC19" s="39" t="s">
        <v>2</v>
      </c>
      <c r="AD19" s="19"/>
      <c r="AE19" s="19"/>
      <c r="AF19" s="19"/>
      <c r="AH19" s="20">
        <f t="shared" si="0"/>
        <v>0</v>
      </c>
      <c r="AI19" s="20">
        <f t="shared" si="1"/>
        <v>0</v>
      </c>
    </row>
    <row r="20" spans="1:35" ht="20.100000000000001" hidden="1" customHeight="1">
      <c r="A20" s="24" t="str">
        <f>ÖSSZES!$A$42</f>
        <v>Név17</v>
      </c>
      <c r="B20" s="19"/>
      <c r="C20" s="19"/>
      <c r="D20" s="39" t="s">
        <v>2</v>
      </c>
      <c r="E20" s="39" t="s">
        <v>2</v>
      </c>
      <c r="F20" s="19"/>
      <c r="G20" s="19"/>
      <c r="H20" s="19"/>
      <c r="I20" s="19"/>
      <c r="J20" s="19"/>
      <c r="K20" s="19"/>
      <c r="L20" s="39" t="s">
        <v>2</v>
      </c>
      <c r="M20" s="39" t="s">
        <v>2</v>
      </c>
      <c r="N20" s="19"/>
      <c r="O20" s="19"/>
      <c r="P20" s="19"/>
      <c r="Q20" s="19"/>
      <c r="R20" s="19"/>
      <c r="S20" s="19"/>
      <c r="T20" s="39" t="s">
        <v>2</v>
      </c>
      <c r="U20" s="39" t="s">
        <v>2</v>
      </c>
      <c r="V20" s="19"/>
      <c r="W20" s="19"/>
      <c r="X20" s="19"/>
      <c r="Y20" s="19"/>
      <c r="Z20" s="19"/>
      <c r="AA20" s="19"/>
      <c r="AB20" s="39" t="s">
        <v>2</v>
      </c>
      <c r="AC20" s="39" t="s">
        <v>2</v>
      </c>
      <c r="AD20" s="19"/>
      <c r="AE20" s="19"/>
      <c r="AF20" s="19"/>
      <c r="AH20" s="20">
        <f t="shared" si="0"/>
        <v>0</v>
      </c>
      <c r="AI20" s="20">
        <f t="shared" si="1"/>
        <v>0</v>
      </c>
    </row>
    <row r="21" spans="1:35" ht="20.100000000000001" hidden="1" customHeight="1">
      <c r="A21" s="24" t="str">
        <f>ÖSSZES!$A$43</f>
        <v>Név18</v>
      </c>
      <c r="B21" s="19"/>
      <c r="C21" s="19"/>
      <c r="D21" s="39" t="s">
        <v>2</v>
      </c>
      <c r="E21" s="39" t="s">
        <v>2</v>
      </c>
      <c r="F21" s="19"/>
      <c r="G21" s="19"/>
      <c r="H21" s="19"/>
      <c r="I21" s="19"/>
      <c r="J21" s="19"/>
      <c r="K21" s="19"/>
      <c r="L21" s="39" t="s">
        <v>2</v>
      </c>
      <c r="M21" s="39" t="s">
        <v>2</v>
      </c>
      <c r="N21" s="19"/>
      <c r="O21" s="19"/>
      <c r="P21" s="19"/>
      <c r="Q21" s="19"/>
      <c r="R21" s="19"/>
      <c r="S21" s="19"/>
      <c r="T21" s="39" t="s">
        <v>2</v>
      </c>
      <c r="U21" s="39" t="s">
        <v>2</v>
      </c>
      <c r="V21" s="19"/>
      <c r="W21" s="19"/>
      <c r="X21" s="19"/>
      <c r="Y21" s="19"/>
      <c r="Z21" s="19"/>
      <c r="AA21" s="19"/>
      <c r="AB21" s="39" t="s">
        <v>2</v>
      </c>
      <c r="AC21" s="39" t="s">
        <v>2</v>
      </c>
      <c r="AD21" s="19"/>
      <c r="AE21" s="19"/>
      <c r="AF21" s="19"/>
      <c r="AH21" s="20">
        <f t="shared" si="0"/>
        <v>0</v>
      </c>
      <c r="AI21" s="20">
        <f t="shared" si="1"/>
        <v>0</v>
      </c>
    </row>
    <row r="22" spans="1:35" ht="20.100000000000001" hidden="1" customHeight="1">
      <c r="A22" s="24" t="str">
        <f>ÖSSZES!$A$44</f>
        <v>Név19</v>
      </c>
      <c r="B22" s="19"/>
      <c r="C22" s="19"/>
      <c r="D22" s="39" t="s">
        <v>2</v>
      </c>
      <c r="E22" s="39" t="s">
        <v>2</v>
      </c>
      <c r="F22" s="19"/>
      <c r="G22" s="19"/>
      <c r="H22" s="19"/>
      <c r="I22" s="19"/>
      <c r="J22" s="19"/>
      <c r="K22" s="19"/>
      <c r="L22" s="39" t="s">
        <v>2</v>
      </c>
      <c r="M22" s="39" t="s">
        <v>2</v>
      </c>
      <c r="N22" s="19"/>
      <c r="O22" s="19"/>
      <c r="P22" s="19"/>
      <c r="Q22" s="19"/>
      <c r="R22" s="19"/>
      <c r="S22" s="19"/>
      <c r="T22" s="39" t="s">
        <v>2</v>
      </c>
      <c r="U22" s="39" t="s">
        <v>2</v>
      </c>
      <c r="V22" s="19"/>
      <c r="W22" s="19"/>
      <c r="X22" s="19"/>
      <c r="Y22" s="19"/>
      <c r="Z22" s="19"/>
      <c r="AA22" s="19"/>
      <c r="AB22" s="39" t="s">
        <v>2</v>
      </c>
      <c r="AC22" s="39" t="s">
        <v>2</v>
      </c>
      <c r="AD22" s="19"/>
      <c r="AE22" s="19"/>
      <c r="AF22" s="19"/>
      <c r="AH22" s="20">
        <f t="shared" si="0"/>
        <v>0</v>
      </c>
      <c r="AI22" s="20">
        <f t="shared" si="1"/>
        <v>0</v>
      </c>
    </row>
    <row r="23" spans="1:35" ht="20.100000000000001" hidden="1" customHeight="1">
      <c r="A23" s="24" t="str">
        <f>ÖSSZES!$A$45</f>
        <v>Név20</v>
      </c>
      <c r="B23" s="19"/>
      <c r="C23" s="19"/>
      <c r="D23" s="39" t="s">
        <v>2</v>
      </c>
      <c r="E23" s="39" t="s">
        <v>2</v>
      </c>
      <c r="F23" s="19"/>
      <c r="G23" s="19"/>
      <c r="H23" s="19"/>
      <c r="I23" s="19"/>
      <c r="J23" s="19"/>
      <c r="K23" s="19"/>
      <c r="L23" s="39" t="s">
        <v>2</v>
      </c>
      <c r="M23" s="39" t="s">
        <v>2</v>
      </c>
      <c r="N23" s="19"/>
      <c r="O23" s="19"/>
      <c r="P23" s="19"/>
      <c r="Q23" s="19"/>
      <c r="R23" s="19"/>
      <c r="S23" s="19"/>
      <c r="T23" s="39" t="s">
        <v>2</v>
      </c>
      <c r="U23" s="39" t="s">
        <v>2</v>
      </c>
      <c r="V23" s="19"/>
      <c r="W23" s="19"/>
      <c r="X23" s="19"/>
      <c r="Y23" s="19"/>
      <c r="Z23" s="19"/>
      <c r="AA23" s="19"/>
      <c r="AB23" s="39" t="s">
        <v>2</v>
      </c>
      <c r="AC23" s="39" t="s">
        <v>2</v>
      </c>
      <c r="AD23" s="19"/>
      <c r="AE23" s="19"/>
      <c r="AF23" s="19"/>
      <c r="AH23" s="20">
        <f t="shared" si="0"/>
        <v>0</v>
      </c>
      <c r="AI23" s="20">
        <f t="shared" si="1"/>
        <v>0</v>
      </c>
    </row>
    <row r="24" spans="1:35" ht="20.100000000000001" customHeight="1"/>
    <row r="25" spans="1:35" s="11" customFormat="1" ht="20.100000000000001" customHeight="1">
      <c r="A25" s="57" t="s">
        <v>6</v>
      </c>
      <c r="B25" s="23">
        <v>1</v>
      </c>
      <c r="C25" s="23">
        <v>2</v>
      </c>
      <c r="D25" s="23">
        <v>3</v>
      </c>
      <c r="E25" s="23">
        <v>4</v>
      </c>
      <c r="F25" s="23">
        <v>5</v>
      </c>
      <c r="G25" s="23">
        <v>6</v>
      </c>
      <c r="H25" s="23">
        <v>7</v>
      </c>
      <c r="I25" s="23">
        <v>8</v>
      </c>
      <c r="J25" s="23">
        <v>9</v>
      </c>
      <c r="K25" s="23">
        <v>10</v>
      </c>
      <c r="L25" s="23">
        <v>11</v>
      </c>
      <c r="M25" s="23">
        <v>12</v>
      </c>
      <c r="N25" s="23">
        <v>13</v>
      </c>
      <c r="O25" s="23">
        <v>14</v>
      </c>
      <c r="P25" s="23">
        <v>15</v>
      </c>
      <c r="Q25" s="23">
        <v>16</v>
      </c>
      <c r="R25" s="23">
        <v>17</v>
      </c>
      <c r="S25" s="23">
        <v>18</v>
      </c>
      <c r="T25" s="23">
        <v>19</v>
      </c>
      <c r="U25" s="23">
        <v>20</v>
      </c>
      <c r="V25" s="23">
        <v>21</v>
      </c>
      <c r="W25" s="23">
        <v>22</v>
      </c>
      <c r="X25" s="23">
        <v>23</v>
      </c>
      <c r="Y25" s="23">
        <v>24</v>
      </c>
      <c r="Z25" s="23">
        <v>25</v>
      </c>
      <c r="AA25" s="23">
        <v>26</v>
      </c>
      <c r="AB25" s="23">
        <v>27</v>
      </c>
      <c r="AC25" s="23">
        <v>28</v>
      </c>
      <c r="AH25" s="59" t="s">
        <v>18</v>
      </c>
      <c r="AI25" s="59" t="s">
        <v>19</v>
      </c>
    </row>
    <row r="26" spans="1:35" ht="20.100000000000001" customHeight="1">
      <c r="A26" s="58"/>
      <c r="B26" s="15" t="str">
        <f>'2021'!B12</f>
        <v>H</v>
      </c>
      <c r="C26" s="15" t="str">
        <f>'2021'!C12</f>
        <v>K</v>
      </c>
      <c r="D26" s="15" t="str">
        <f>'2021'!D12</f>
        <v>Sze</v>
      </c>
      <c r="E26" s="15" t="str">
        <f>'2021'!E12</f>
        <v>Cs</v>
      </c>
      <c r="F26" s="15" t="str">
        <f>'2021'!F12</f>
        <v>P</v>
      </c>
      <c r="G26" s="15" t="str">
        <f>'2021'!G12</f>
        <v>Szo</v>
      </c>
      <c r="H26" s="15" t="str">
        <f>'2021'!H12</f>
        <v>V</v>
      </c>
      <c r="I26" s="15" t="str">
        <f>'2021'!I12</f>
        <v>H</v>
      </c>
      <c r="J26" s="15" t="str">
        <f>'2021'!J12</f>
        <v>K</v>
      </c>
      <c r="K26" s="15" t="str">
        <f>'2021'!K12</f>
        <v>Sze</v>
      </c>
      <c r="L26" s="15" t="str">
        <f>'2021'!L12</f>
        <v>Cs</v>
      </c>
      <c r="M26" s="15" t="str">
        <f>'2021'!M12</f>
        <v>P</v>
      </c>
      <c r="N26" s="15" t="str">
        <f>'2021'!N12</f>
        <v>Szo</v>
      </c>
      <c r="O26" s="15" t="str">
        <f>'2021'!O12</f>
        <v>V</v>
      </c>
      <c r="P26" s="15" t="str">
        <f>'2021'!P12</f>
        <v>H</v>
      </c>
      <c r="Q26" s="15" t="str">
        <f>'2021'!Q12</f>
        <v>K</v>
      </c>
      <c r="R26" s="15" t="str">
        <f>'2021'!R12</f>
        <v>Sze</v>
      </c>
      <c r="S26" s="15" t="str">
        <f>'2021'!S12</f>
        <v>Cs</v>
      </c>
      <c r="T26" s="15" t="str">
        <f>'2021'!T12</f>
        <v>P</v>
      </c>
      <c r="U26" s="15" t="str">
        <f>'2021'!U12</f>
        <v>Szo</v>
      </c>
      <c r="V26" s="15" t="str">
        <f>'2021'!V12</f>
        <v>V</v>
      </c>
      <c r="W26" s="15" t="str">
        <f>'2021'!W12</f>
        <v>H</v>
      </c>
      <c r="X26" s="15" t="str">
        <f>'2021'!X12</f>
        <v>K</v>
      </c>
      <c r="Y26" s="15" t="str">
        <f>'2021'!Y12</f>
        <v>Sze</v>
      </c>
      <c r="Z26" s="15" t="str">
        <f>'2021'!Z12</f>
        <v>Cs</v>
      </c>
      <c r="AA26" s="15" t="str">
        <f>'2021'!AA12</f>
        <v>P</v>
      </c>
      <c r="AB26" s="15" t="str">
        <f>'2021'!AB12</f>
        <v>Szo</v>
      </c>
      <c r="AC26" s="15" t="str">
        <f>'2021'!AC12</f>
        <v>V</v>
      </c>
      <c r="AD26" s="6"/>
      <c r="AE26" s="6"/>
      <c r="AF26" s="6"/>
      <c r="AH26" s="60"/>
      <c r="AI26" s="60"/>
    </row>
    <row r="27" spans="1:35" ht="20.100000000000001" customHeight="1">
      <c r="A27" s="58"/>
      <c r="B27" s="15">
        <f>'2021'!B14</f>
        <v>2</v>
      </c>
      <c r="C27" s="15">
        <f>'2021'!C14</f>
        <v>2</v>
      </c>
      <c r="D27" s="15">
        <f>'2021'!D14</f>
        <v>2</v>
      </c>
      <c r="E27" s="15" t="str">
        <f>'2021'!E14</f>
        <v>X</v>
      </c>
      <c r="F27" s="15" t="str">
        <f>'2021'!F14</f>
        <v>X</v>
      </c>
      <c r="G27" s="15">
        <f>'2021'!G14</f>
        <v>1</v>
      </c>
      <c r="H27" s="15">
        <f>'2021'!H14</f>
        <v>1</v>
      </c>
      <c r="I27" s="15">
        <f>'2021'!I14</f>
        <v>1</v>
      </c>
      <c r="J27" s="15">
        <f>'2021'!J14</f>
        <v>1</v>
      </c>
      <c r="K27" s="15">
        <f>'2021'!K14</f>
        <v>1</v>
      </c>
      <c r="L27" s="15">
        <f>'2021'!L14</f>
        <v>1</v>
      </c>
      <c r="M27" s="15" t="str">
        <f>'2021'!M14</f>
        <v>X</v>
      </c>
      <c r="N27" s="15" t="str">
        <f>'2021'!N14</f>
        <v>X</v>
      </c>
      <c r="O27" s="15">
        <f>'2021'!O14</f>
        <v>3</v>
      </c>
      <c r="P27" s="15">
        <f>'2021'!P14</f>
        <v>3</v>
      </c>
      <c r="Q27" s="15">
        <f>'2021'!Q14</f>
        <v>3</v>
      </c>
      <c r="R27" s="15">
        <f>'2021'!R14</f>
        <v>3</v>
      </c>
      <c r="S27" s="15">
        <f>'2021'!S14</f>
        <v>3</v>
      </c>
      <c r="T27" s="15">
        <f>'2021'!T14</f>
        <v>3</v>
      </c>
      <c r="U27" s="15" t="str">
        <f>'2021'!U14</f>
        <v>X</v>
      </c>
      <c r="V27" s="15" t="str">
        <f>'2021'!V14</f>
        <v>X</v>
      </c>
      <c r="W27" s="15">
        <f>'2021'!W14</f>
        <v>2</v>
      </c>
      <c r="X27" s="15">
        <f>'2021'!X14</f>
        <v>2</v>
      </c>
      <c r="Y27" s="15">
        <f>'2021'!Y14</f>
        <v>2</v>
      </c>
      <c r="Z27" s="15">
        <f>'2021'!Z14</f>
        <v>2</v>
      </c>
      <c r="AA27" s="15">
        <f>'2021'!AA14</f>
        <v>2</v>
      </c>
      <c r="AB27" s="15">
        <f>'2021'!AB14</f>
        <v>2</v>
      </c>
      <c r="AC27" s="15" t="str">
        <f>'2021'!AC14</f>
        <v>X</v>
      </c>
      <c r="AD27" s="6"/>
      <c r="AE27" s="6"/>
      <c r="AF27" s="6"/>
      <c r="AH27" s="60"/>
      <c r="AI27" s="60"/>
    </row>
    <row r="28" spans="1:35" ht="20.100000000000001" customHeight="1">
      <c r="A28" s="24" t="str">
        <f>ÖSSZES!$A$26</f>
        <v>Katona László</v>
      </c>
      <c r="B28" s="37"/>
      <c r="C28" s="37"/>
      <c r="D28" s="37"/>
      <c r="E28" s="39" t="s">
        <v>2</v>
      </c>
      <c r="F28" s="39" t="s">
        <v>2</v>
      </c>
      <c r="G28" s="37"/>
      <c r="H28" s="37"/>
      <c r="I28" s="37"/>
      <c r="J28" s="37"/>
      <c r="K28" s="37"/>
      <c r="L28" s="37"/>
      <c r="M28" s="39" t="s">
        <v>2</v>
      </c>
      <c r="N28" s="39" t="s">
        <v>2</v>
      </c>
      <c r="O28" s="37"/>
      <c r="P28" s="37"/>
      <c r="Q28" s="37"/>
      <c r="R28" s="37"/>
      <c r="S28" s="37"/>
      <c r="T28" s="37"/>
      <c r="U28" s="39" t="s">
        <v>2</v>
      </c>
      <c r="V28" s="39" t="s">
        <v>2</v>
      </c>
      <c r="W28" s="37"/>
      <c r="X28" s="37"/>
      <c r="Y28" s="37"/>
      <c r="Z28" s="37"/>
      <c r="AA28" s="37"/>
      <c r="AB28" s="37"/>
      <c r="AC28" s="39" t="s">
        <v>2</v>
      </c>
      <c r="AD28" s="6"/>
      <c r="AE28" s="6"/>
      <c r="AF28" s="6"/>
      <c r="AH28" s="20">
        <f>1*COUNTIF(A28:AF28,"+")</f>
        <v>0</v>
      </c>
      <c r="AI28" s="20">
        <f t="shared" ref="AI28" si="2">1*COUNTIF(B28:AF28,"szf")</f>
        <v>0</v>
      </c>
    </row>
    <row r="29" spans="1:35" ht="20.100000000000001" customHeight="1">
      <c r="A29" s="24" t="str">
        <f>ÖSSZES!$A$27</f>
        <v>Fényi László</v>
      </c>
      <c r="B29" s="37"/>
      <c r="C29" s="37"/>
      <c r="D29" s="37"/>
      <c r="E29" s="39" t="s">
        <v>2</v>
      </c>
      <c r="F29" s="39" t="s">
        <v>2</v>
      </c>
      <c r="G29" s="37"/>
      <c r="H29" s="37"/>
      <c r="I29" s="37"/>
      <c r="J29" s="37"/>
      <c r="K29" s="37"/>
      <c r="L29" s="37"/>
      <c r="M29" s="39" t="s">
        <v>2</v>
      </c>
      <c r="N29" s="39" t="s">
        <v>2</v>
      </c>
      <c r="O29" s="37"/>
      <c r="P29" s="37"/>
      <c r="Q29" s="37"/>
      <c r="R29" s="37"/>
      <c r="S29" s="37"/>
      <c r="T29" s="37"/>
      <c r="U29" s="39" t="s">
        <v>2</v>
      </c>
      <c r="V29" s="39" t="s">
        <v>2</v>
      </c>
      <c r="W29" s="37"/>
      <c r="X29" s="37"/>
      <c r="Y29" s="37"/>
      <c r="Z29" s="37"/>
      <c r="AA29" s="37"/>
      <c r="AB29" s="37"/>
      <c r="AC29" s="39" t="s">
        <v>2</v>
      </c>
      <c r="AD29" s="6"/>
      <c r="AE29" s="6"/>
      <c r="AF29" s="6"/>
      <c r="AH29" s="20">
        <f t="shared" ref="AH29:AH47" si="3">1*COUNTIF(A29:AF29,"+")</f>
        <v>0</v>
      </c>
      <c r="AI29" s="20">
        <f t="shared" ref="AI29:AI47" si="4">1*COUNTIF(B29:AF29,"szf")</f>
        <v>0</v>
      </c>
    </row>
    <row r="30" spans="1:35" ht="20.100000000000001" customHeight="1">
      <c r="A30" s="24" t="str">
        <f>ÖSSZES!$A$28</f>
        <v>Habara Gábor</v>
      </c>
      <c r="B30" s="37"/>
      <c r="C30" s="37"/>
      <c r="D30" s="37"/>
      <c r="E30" s="39" t="s">
        <v>2</v>
      </c>
      <c r="F30" s="39" t="s">
        <v>2</v>
      </c>
      <c r="G30" s="37"/>
      <c r="H30" s="37"/>
      <c r="I30" s="37"/>
      <c r="J30" s="37"/>
      <c r="K30" s="37"/>
      <c r="L30" s="37"/>
      <c r="M30" s="39" t="s">
        <v>2</v>
      </c>
      <c r="N30" s="39" t="s">
        <v>2</v>
      </c>
      <c r="O30" s="37"/>
      <c r="P30" s="37"/>
      <c r="Q30" s="37"/>
      <c r="R30" s="37"/>
      <c r="S30" s="37"/>
      <c r="T30" s="37"/>
      <c r="U30" s="39" t="s">
        <v>2</v>
      </c>
      <c r="V30" s="39" t="s">
        <v>2</v>
      </c>
      <c r="W30" s="37"/>
      <c r="X30" s="37"/>
      <c r="Y30" s="37"/>
      <c r="Z30" s="37"/>
      <c r="AA30" s="37"/>
      <c r="AB30" s="37"/>
      <c r="AC30" s="39" t="s">
        <v>2</v>
      </c>
      <c r="AD30" s="6"/>
      <c r="AE30" s="6"/>
      <c r="AF30" s="6"/>
      <c r="AH30" s="20">
        <f t="shared" si="3"/>
        <v>0</v>
      </c>
      <c r="AI30" s="20">
        <f t="shared" si="4"/>
        <v>0</v>
      </c>
    </row>
    <row r="31" spans="1:35" ht="20.100000000000001" customHeight="1">
      <c r="A31" s="24" t="str">
        <f>ÖSSZES!$A$29</f>
        <v>Holba Imre</v>
      </c>
      <c r="B31" s="37"/>
      <c r="C31" s="37"/>
      <c r="D31" s="37"/>
      <c r="E31" s="39" t="s">
        <v>2</v>
      </c>
      <c r="F31" s="39" t="s">
        <v>2</v>
      </c>
      <c r="G31" s="37"/>
      <c r="H31" s="37"/>
      <c r="I31" s="37"/>
      <c r="J31" s="37"/>
      <c r="K31" s="37"/>
      <c r="L31" s="37"/>
      <c r="M31" s="39" t="s">
        <v>2</v>
      </c>
      <c r="N31" s="39" t="s">
        <v>2</v>
      </c>
      <c r="O31" s="37"/>
      <c r="P31" s="37"/>
      <c r="Q31" s="37"/>
      <c r="R31" s="37"/>
      <c r="S31" s="37"/>
      <c r="T31" s="37"/>
      <c r="U31" s="39" t="s">
        <v>2</v>
      </c>
      <c r="V31" s="39" t="s">
        <v>2</v>
      </c>
      <c r="W31" s="37"/>
      <c r="X31" s="37"/>
      <c r="Y31" s="37"/>
      <c r="Z31" s="37"/>
      <c r="AA31" s="37"/>
      <c r="AB31" s="37"/>
      <c r="AC31" s="39" t="s">
        <v>2</v>
      </c>
      <c r="AD31" s="6"/>
      <c r="AE31" s="6"/>
      <c r="AF31" s="6"/>
      <c r="AH31" s="20">
        <f t="shared" si="3"/>
        <v>0</v>
      </c>
      <c r="AI31" s="20">
        <f t="shared" si="4"/>
        <v>0</v>
      </c>
    </row>
    <row r="32" spans="1:35" ht="20.100000000000001" customHeight="1">
      <c r="A32" s="24" t="str">
        <f>ÖSSZES!$A$30</f>
        <v>Király Bálint Donát</v>
      </c>
      <c r="B32" s="37"/>
      <c r="C32" s="37"/>
      <c r="D32" s="37"/>
      <c r="E32" s="39" t="s">
        <v>2</v>
      </c>
      <c r="F32" s="39" t="s">
        <v>2</v>
      </c>
      <c r="G32" s="37"/>
      <c r="H32" s="37"/>
      <c r="I32" s="37"/>
      <c r="J32" s="37"/>
      <c r="K32" s="37"/>
      <c r="L32" s="37"/>
      <c r="M32" s="39" t="s">
        <v>2</v>
      </c>
      <c r="N32" s="39" t="s">
        <v>2</v>
      </c>
      <c r="O32" s="37"/>
      <c r="P32" s="37"/>
      <c r="Q32" s="37"/>
      <c r="R32" s="37"/>
      <c r="S32" s="37"/>
      <c r="T32" s="37"/>
      <c r="U32" s="39" t="s">
        <v>2</v>
      </c>
      <c r="V32" s="39" t="s">
        <v>2</v>
      </c>
      <c r="W32" s="37"/>
      <c r="X32" s="37"/>
      <c r="Y32" s="37"/>
      <c r="Z32" s="37"/>
      <c r="AA32" s="37"/>
      <c r="AB32" s="37"/>
      <c r="AC32" s="39" t="s">
        <v>2</v>
      </c>
      <c r="AD32" s="6"/>
      <c r="AE32" s="6"/>
      <c r="AF32" s="6"/>
      <c r="AH32" s="20">
        <f t="shared" si="3"/>
        <v>0</v>
      </c>
      <c r="AI32" s="20">
        <f t="shared" si="4"/>
        <v>0</v>
      </c>
    </row>
    <row r="33" spans="1:35" ht="20.100000000000001" customHeight="1">
      <c r="A33" s="24" t="str">
        <f>ÖSSZES!$A$31</f>
        <v>Kiss János Tamás</v>
      </c>
      <c r="B33" s="37"/>
      <c r="C33" s="37"/>
      <c r="D33" s="37"/>
      <c r="E33" s="39" t="s">
        <v>2</v>
      </c>
      <c r="F33" s="39" t="s">
        <v>2</v>
      </c>
      <c r="G33" s="37"/>
      <c r="H33" s="37"/>
      <c r="I33" s="37"/>
      <c r="J33" s="37"/>
      <c r="K33" s="37"/>
      <c r="L33" s="37"/>
      <c r="M33" s="39" t="s">
        <v>2</v>
      </c>
      <c r="N33" s="39" t="s">
        <v>2</v>
      </c>
      <c r="O33" s="37"/>
      <c r="P33" s="37"/>
      <c r="Q33" s="37"/>
      <c r="R33" s="37"/>
      <c r="S33" s="37"/>
      <c r="T33" s="37"/>
      <c r="U33" s="39" t="s">
        <v>2</v>
      </c>
      <c r="V33" s="39" t="s">
        <v>2</v>
      </c>
      <c r="W33" s="37"/>
      <c r="X33" s="37"/>
      <c r="Y33" s="37"/>
      <c r="Z33" s="37"/>
      <c r="AA33" s="37"/>
      <c r="AB33" s="37"/>
      <c r="AC33" s="39" t="s">
        <v>2</v>
      </c>
      <c r="AD33" s="6"/>
      <c r="AE33" s="6"/>
      <c r="AF33" s="6"/>
      <c r="AH33" s="20">
        <f t="shared" si="3"/>
        <v>0</v>
      </c>
      <c r="AI33" s="20">
        <f t="shared" si="4"/>
        <v>0</v>
      </c>
    </row>
    <row r="34" spans="1:35" ht="20.100000000000001" customHeight="1">
      <c r="A34" s="24" t="str">
        <f>ÖSSZES!$A$32</f>
        <v>Mezei Lajos</v>
      </c>
      <c r="B34" s="37"/>
      <c r="C34" s="37"/>
      <c r="D34" s="37"/>
      <c r="E34" s="39" t="s">
        <v>2</v>
      </c>
      <c r="F34" s="39" t="s">
        <v>2</v>
      </c>
      <c r="G34" s="37"/>
      <c r="H34" s="37"/>
      <c r="I34" s="37"/>
      <c r="J34" s="37"/>
      <c r="K34" s="37"/>
      <c r="L34" s="37"/>
      <c r="M34" s="39" t="s">
        <v>2</v>
      </c>
      <c r="N34" s="39" t="s">
        <v>2</v>
      </c>
      <c r="O34" s="37"/>
      <c r="P34" s="37"/>
      <c r="Q34" s="37"/>
      <c r="R34" s="37"/>
      <c r="S34" s="37"/>
      <c r="T34" s="37"/>
      <c r="U34" s="39" t="s">
        <v>2</v>
      </c>
      <c r="V34" s="39" t="s">
        <v>2</v>
      </c>
      <c r="W34" s="37"/>
      <c r="X34" s="37"/>
      <c r="Y34" s="37"/>
      <c r="Z34" s="37"/>
      <c r="AA34" s="37"/>
      <c r="AB34" s="37"/>
      <c r="AC34" s="39" t="s">
        <v>2</v>
      </c>
      <c r="AD34" s="6"/>
      <c r="AE34" s="6"/>
      <c r="AF34" s="6"/>
      <c r="AH34" s="20">
        <f t="shared" si="3"/>
        <v>0</v>
      </c>
      <c r="AI34" s="20">
        <f t="shared" si="4"/>
        <v>0</v>
      </c>
    </row>
    <row r="35" spans="1:35" ht="20.100000000000001" hidden="1" customHeight="1">
      <c r="A35" s="24" t="str">
        <f>ÖSSZES!$A$33</f>
        <v>Név8</v>
      </c>
      <c r="B35" s="37"/>
      <c r="C35" s="37"/>
      <c r="D35" s="37"/>
      <c r="E35" s="39" t="s">
        <v>2</v>
      </c>
      <c r="F35" s="39" t="s">
        <v>2</v>
      </c>
      <c r="G35" s="37"/>
      <c r="H35" s="37"/>
      <c r="I35" s="37"/>
      <c r="J35" s="37"/>
      <c r="K35" s="37"/>
      <c r="L35" s="37"/>
      <c r="M35" s="39" t="s">
        <v>2</v>
      </c>
      <c r="N35" s="39" t="s">
        <v>2</v>
      </c>
      <c r="O35" s="37"/>
      <c r="P35" s="37"/>
      <c r="Q35" s="37"/>
      <c r="R35" s="37"/>
      <c r="S35" s="37"/>
      <c r="T35" s="37"/>
      <c r="U35" s="39" t="s">
        <v>2</v>
      </c>
      <c r="V35" s="39" t="s">
        <v>2</v>
      </c>
      <c r="W35" s="37"/>
      <c r="X35" s="37"/>
      <c r="Y35" s="37"/>
      <c r="Z35" s="37"/>
      <c r="AA35" s="37"/>
      <c r="AB35" s="37"/>
      <c r="AC35" s="39" t="s">
        <v>2</v>
      </c>
      <c r="AD35" s="6"/>
      <c r="AE35" s="6"/>
      <c r="AF35" s="6"/>
      <c r="AH35" s="20">
        <f t="shared" si="3"/>
        <v>0</v>
      </c>
      <c r="AI35" s="20">
        <f t="shared" si="4"/>
        <v>0</v>
      </c>
    </row>
    <row r="36" spans="1:35" ht="20.100000000000001" hidden="1" customHeight="1">
      <c r="A36" s="24" t="str">
        <f>ÖSSZES!$A$34</f>
        <v>Név9</v>
      </c>
      <c r="B36" s="37"/>
      <c r="C36" s="37"/>
      <c r="D36" s="37"/>
      <c r="E36" s="39" t="s">
        <v>2</v>
      </c>
      <c r="F36" s="39" t="s">
        <v>2</v>
      </c>
      <c r="G36" s="37"/>
      <c r="H36" s="37"/>
      <c r="I36" s="37"/>
      <c r="J36" s="37"/>
      <c r="K36" s="37"/>
      <c r="L36" s="37"/>
      <c r="M36" s="39" t="s">
        <v>2</v>
      </c>
      <c r="N36" s="39" t="s">
        <v>2</v>
      </c>
      <c r="O36" s="37"/>
      <c r="P36" s="37"/>
      <c r="Q36" s="37"/>
      <c r="R36" s="37"/>
      <c r="S36" s="37"/>
      <c r="T36" s="37"/>
      <c r="U36" s="39" t="s">
        <v>2</v>
      </c>
      <c r="V36" s="39" t="s">
        <v>2</v>
      </c>
      <c r="W36" s="37"/>
      <c r="X36" s="37"/>
      <c r="Y36" s="37"/>
      <c r="Z36" s="37"/>
      <c r="AA36" s="37"/>
      <c r="AB36" s="37"/>
      <c r="AC36" s="39" t="s">
        <v>2</v>
      </c>
      <c r="AD36" s="6"/>
      <c r="AE36" s="6"/>
      <c r="AF36" s="6"/>
      <c r="AH36" s="20">
        <f t="shared" si="3"/>
        <v>0</v>
      </c>
      <c r="AI36" s="20">
        <f t="shared" si="4"/>
        <v>0</v>
      </c>
    </row>
    <row r="37" spans="1:35" ht="20.100000000000001" hidden="1" customHeight="1">
      <c r="A37" s="24" t="str">
        <f>ÖSSZES!$A$35</f>
        <v>Név10</v>
      </c>
      <c r="B37" s="37"/>
      <c r="C37" s="37"/>
      <c r="D37" s="37"/>
      <c r="E37" s="39" t="s">
        <v>2</v>
      </c>
      <c r="F37" s="39" t="s">
        <v>2</v>
      </c>
      <c r="G37" s="37"/>
      <c r="H37" s="37"/>
      <c r="I37" s="37"/>
      <c r="J37" s="37"/>
      <c r="K37" s="37"/>
      <c r="L37" s="37"/>
      <c r="M37" s="39" t="s">
        <v>2</v>
      </c>
      <c r="N37" s="39" t="s">
        <v>2</v>
      </c>
      <c r="O37" s="37"/>
      <c r="P37" s="37"/>
      <c r="Q37" s="37"/>
      <c r="R37" s="37"/>
      <c r="S37" s="37"/>
      <c r="T37" s="37"/>
      <c r="U37" s="39" t="s">
        <v>2</v>
      </c>
      <c r="V37" s="39" t="s">
        <v>2</v>
      </c>
      <c r="W37" s="37"/>
      <c r="X37" s="37"/>
      <c r="Y37" s="37"/>
      <c r="Z37" s="37"/>
      <c r="AA37" s="37"/>
      <c r="AB37" s="37"/>
      <c r="AC37" s="39" t="s">
        <v>2</v>
      </c>
      <c r="AD37" s="6"/>
      <c r="AE37" s="6"/>
      <c r="AF37" s="6"/>
      <c r="AH37" s="20">
        <f t="shared" si="3"/>
        <v>0</v>
      </c>
      <c r="AI37" s="20">
        <f t="shared" si="4"/>
        <v>0</v>
      </c>
    </row>
    <row r="38" spans="1:35" ht="20.100000000000001" hidden="1" customHeight="1">
      <c r="A38" s="24" t="str">
        <f>ÖSSZES!$A$36</f>
        <v>Név11</v>
      </c>
      <c r="B38" s="37"/>
      <c r="C38" s="37"/>
      <c r="D38" s="37"/>
      <c r="E38" s="39" t="s">
        <v>2</v>
      </c>
      <c r="F38" s="39" t="s">
        <v>2</v>
      </c>
      <c r="G38" s="37"/>
      <c r="H38" s="37"/>
      <c r="I38" s="37"/>
      <c r="J38" s="37"/>
      <c r="K38" s="37"/>
      <c r="L38" s="37"/>
      <c r="M38" s="39" t="s">
        <v>2</v>
      </c>
      <c r="N38" s="39" t="s">
        <v>2</v>
      </c>
      <c r="O38" s="37"/>
      <c r="P38" s="37"/>
      <c r="Q38" s="37"/>
      <c r="R38" s="37"/>
      <c r="S38" s="37"/>
      <c r="T38" s="37"/>
      <c r="U38" s="39" t="s">
        <v>2</v>
      </c>
      <c r="V38" s="39" t="s">
        <v>2</v>
      </c>
      <c r="W38" s="37"/>
      <c r="X38" s="37"/>
      <c r="Y38" s="37"/>
      <c r="Z38" s="37"/>
      <c r="AA38" s="37"/>
      <c r="AB38" s="37"/>
      <c r="AC38" s="39" t="s">
        <v>2</v>
      </c>
      <c r="AD38" s="6"/>
      <c r="AE38" s="6"/>
      <c r="AF38" s="6"/>
      <c r="AH38" s="20">
        <f t="shared" si="3"/>
        <v>0</v>
      </c>
      <c r="AI38" s="20">
        <f t="shared" si="4"/>
        <v>0</v>
      </c>
    </row>
    <row r="39" spans="1:35" ht="20.100000000000001" hidden="1" customHeight="1">
      <c r="A39" s="24" t="str">
        <f>ÖSSZES!$A$37</f>
        <v>Név12</v>
      </c>
      <c r="B39" s="37"/>
      <c r="C39" s="37"/>
      <c r="D39" s="37"/>
      <c r="E39" s="39" t="s">
        <v>2</v>
      </c>
      <c r="F39" s="39" t="s">
        <v>2</v>
      </c>
      <c r="G39" s="37"/>
      <c r="H39" s="37"/>
      <c r="I39" s="37"/>
      <c r="J39" s="37"/>
      <c r="K39" s="37"/>
      <c r="L39" s="37"/>
      <c r="M39" s="39" t="s">
        <v>2</v>
      </c>
      <c r="N39" s="39" t="s">
        <v>2</v>
      </c>
      <c r="O39" s="37"/>
      <c r="P39" s="37"/>
      <c r="Q39" s="37"/>
      <c r="R39" s="37"/>
      <c r="S39" s="37"/>
      <c r="T39" s="37"/>
      <c r="U39" s="39" t="s">
        <v>2</v>
      </c>
      <c r="V39" s="39" t="s">
        <v>2</v>
      </c>
      <c r="W39" s="37"/>
      <c r="X39" s="37"/>
      <c r="Y39" s="37"/>
      <c r="Z39" s="37"/>
      <c r="AA39" s="37"/>
      <c r="AB39" s="37"/>
      <c r="AC39" s="39" t="s">
        <v>2</v>
      </c>
      <c r="AD39" s="6"/>
      <c r="AE39" s="6"/>
      <c r="AF39" s="6"/>
      <c r="AH39" s="20">
        <f t="shared" si="3"/>
        <v>0</v>
      </c>
      <c r="AI39" s="20">
        <f t="shared" si="4"/>
        <v>0</v>
      </c>
    </row>
    <row r="40" spans="1:35" ht="20.100000000000001" hidden="1" customHeight="1">
      <c r="A40" s="24" t="str">
        <f>ÖSSZES!$A$38</f>
        <v>Név13</v>
      </c>
      <c r="B40" s="37"/>
      <c r="C40" s="37"/>
      <c r="D40" s="37"/>
      <c r="E40" s="39" t="s">
        <v>2</v>
      </c>
      <c r="F40" s="39" t="s">
        <v>2</v>
      </c>
      <c r="G40" s="37"/>
      <c r="H40" s="37"/>
      <c r="I40" s="37"/>
      <c r="J40" s="37"/>
      <c r="K40" s="37"/>
      <c r="L40" s="37"/>
      <c r="M40" s="39" t="s">
        <v>2</v>
      </c>
      <c r="N40" s="39" t="s">
        <v>2</v>
      </c>
      <c r="O40" s="37"/>
      <c r="P40" s="37"/>
      <c r="Q40" s="37"/>
      <c r="R40" s="37"/>
      <c r="S40" s="37"/>
      <c r="T40" s="37"/>
      <c r="U40" s="39" t="s">
        <v>2</v>
      </c>
      <c r="V40" s="39" t="s">
        <v>2</v>
      </c>
      <c r="W40" s="37"/>
      <c r="X40" s="37"/>
      <c r="Y40" s="37"/>
      <c r="Z40" s="37"/>
      <c r="AA40" s="37"/>
      <c r="AB40" s="37"/>
      <c r="AC40" s="39" t="s">
        <v>2</v>
      </c>
      <c r="AD40" s="6"/>
      <c r="AE40" s="6"/>
      <c r="AF40" s="6"/>
      <c r="AH40" s="20">
        <f t="shared" si="3"/>
        <v>0</v>
      </c>
      <c r="AI40" s="20">
        <f t="shared" si="4"/>
        <v>0</v>
      </c>
    </row>
    <row r="41" spans="1:35" ht="20.100000000000001" hidden="1" customHeight="1">
      <c r="A41" s="24" t="str">
        <f>ÖSSZES!$A$39</f>
        <v>Név14</v>
      </c>
      <c r="B41" s="37"/>
      <c r="C41" s="37"/>
      <c r="D41" s="37"/>
      <c r="E41" s="39" t="s">
        <v>2</v>
      </c>
      <c r="F41" s="39" t="s">
        <v>2</v>
      </c>
      <c r="G41" s="37"/>
      <c r="H41" s="37"/>
      <c r="I41" s="37"/>
      <c r="J41" s="37"/>
      <c r="K41" s="37"/>
      <c r="L41" s="37"/>
      <c r="M41" s="39" t="s">
        <v>2</v>
      </c>
      <c r="N41" s="39" t="s">
        <v>2</v>
      </c>
      <c r="O41" s="37"/>
      <c r="P41" s="37"/>
      <c r="Q41" s="37"/>
      <c r="R41" s="37"/>
      <c r="S41" s="37"/>
      <c r="T41" s="37"/>
      <c r="U41" s="39" t="s">
        <v>2</v>
      </c>
      <c r="V41" s="39" t="s">
        <v>2</v>
      </c>
      <c r="W41" s="37"/>
      <c r="X41" s="37"/>
      <c r="Y41" s="37"/>
      <c r="Z41" s="37"/>
      <c r="AA41" s="37"/>
      <c r="AB41" s="37"/>
      <c r="AC41" s="39" t="s">
        <v>2</v>
      </c>
      <c r="AD41" s="6"/>
      <c r="AE41" s="6"/>
      <c r="AF41" s="6"/>
      <c r="AH41" s="20">
        <f t="shared" si="3"/>
        <v>0</v>
      </c>
      <c r="AI41" s="20">
        <f t="shared" si="4"/>
        <v>0</v>
      </c>
    </row>
    <row r="42" spans="1:35" ht="20.100000000000001" hidden="1" customHeight="1">
      <c r="A42" s="24" t="str">
        <f>ÖSSZES!$A$40</f>
        <v>Név15</v>
      </c>
      <c r="B42" s="37"/>
      <c r="C42" s="37"/>
      <c r="D42" s="37"/>
      <c r="E42" s="39" t="s">
        <v>2</v>
      </c>
      <c r="F42" s="39" t="s">
        <v>2</v>
      </c>
      <c r="G42" s="37"/>
      <c r="H42" s="37"/>
      <c r="I42" s="37"/>
      <c r="J42" s="37"/>
      <c r="K42" s="37"/>
      <c r="L42" s="37"/>
      <c r="M42" s="39" t="s">
        <v>2</v>
      </c>
      <c r="N42" s="39" t="s">
        <v>2</v>
      </c>
      <c r="O42" s="37"/>
      <c r="P42" s="37"/>
      <c r="Q42" s="37"/>
      <c r="R42" s="37"/>
      <c r="S42" s="37"/>
      <c r="T42" s="37"/>
      <c r="U42" s="39" t="s">
        <v>2</v>
      </c>
      <c r="V42" s="39" t="s">
        <v>2</v>
      </c>
      <c r="W42" s="37"/>
      <c r="X42" s="37"/>
      <c r="Y42" s="37"/>
      <c r="Z42" s="37"/>
      <c r="AA42" s="37"/>
      <c r="AB42" s="37"/>
      <c r="AC42" s="39" t="s">
        <v>2</v>
      </c>
      <c r="AD42" s="6"/>
      <c r="AE42" s="6"/>
      <c r="AF42" s="6"/>
      <c r="AH42" s="20">
        <f t="shared" si="3"/>
        <v>0</v>
      </c>
      <c r="AI42" s="20">
        <f t="shared" si="4"/>
        <v>0</v>
      </c>
    </row>
    <row r="43" spans="1:35" ht="20.100000000000001" hidden="1" customHeight="1">
      <c r="A43" s="24" t="str">
        <f>ÖSSZES!$A$41</f>
        <v>Név16</v>
      </c>
      <c r="B43" s="37"/>
      <c r="C43" s="37"/>
      <c r="D43" s="37"/>
      <c r="E43" s="39" t="s">
        <v>2</v>
      </c>
      <c r="F43" s="39" t="s">
        <v>2</v>
      </c>
      <c r="G43" s="37"/>
      <c r="H43" s="37"/>
      <c r="I43" s="37"/>
      <c r="J43" s="37"/>
      <c r="K43" s="37"/>
      <c r="L43" s="37"/>
      <c r="M43" s="39" t="s">
        <v>2</v>
      </c>
      <c r="N43" s="39" t="s">
        <v>2</v>
      </c>
      <c r="O43" s="37"/>
      <c r="P43" s="37"/>
      <c r="Q43" s="37"/>
      <c r="R43" s="37"/>
      <c r="S43" s="37"/>
      <c r="T43" s="37"/>
      <c r="U43" s="39" t="s">
        <v>2</v>
      </c>
      <c r="V43" s="39" t="s">
        <v>2</v>
      </c>
      <c r="W43" s="37"/>
      <c r="X43" s="37"/>
      <c r="Y43" s="37"/>
      <c r="Z43" s="37"/>
      <c r="AA43" s="37"/>
      <c r="AB43" s="37"/>
      <c r="AC43" s="39" t="s">
        <v>2</v>
      </c>
      <c r="AD43" s="6"/>
      <c r="AE43" s="6"/>
      <c r="AF43" s="6"/>
      <c r="AH43" s="20">
        <f t="shared" si="3"/>
        <v>0</v>
      </c>
      <c r="AI43" s="20">
        <f t="shared" si="4"/>
        <v>0</v>
      </c>
    </row>
    <row r="44" spans="1:35" ht="20.100000000000001" hidden="1" customHeight="1">
      <c r="A44" s="24" t="str">
        <f>ÖSSZES!$A$42</f>
        <v>Név17</v>
      </c>
      <c r="B44" s="37"/>
      <c r="C44" s="37"/>
      <c r="D44" s="37"/>
      <c r="E44" s="39" t="s">
        <v>2</v>
      </c>
      <c r="F44" s="39" t="s">
        <v>2</v>
      </c>
      <c r="G44" s="37"/>
      <c r="H44" s="37"/>
      <c r="I44" s="37"/>
      <c r="J44" s="37"/>
      <c r="K44" s="37"/>
      <c r="L44" s="37"/>
      <c r="M44" s="39" t="s">
        <v>2</v>
      </c>
      <c r="N44" s="39" t="s">
        <v>2</v>
      </c>
      <c r="O44" s="37"/>
      <c r="P44" s="37"/>
      <c r="Q44" s="37"/>
      <c r="R44" s="37"/>
      <c r="S44" s="37"/>
      <c r="T44" s="37"/>
      <c r="U44" s="39" t="s">
        <v>2</v>
      </c>
      <c r="V44" s="39" t="s">
        <v>2</v>
      </c>
      <c r="W44" s="37"/>
      <c r="X44" s="37"/>
      <c r="Y44" s="37"/>
      <c r="Z44" s="37"/>
      <c r="AA44" s="37"/>
      <c r="AB44" s="37"/>
      <c r="AC44" s="39" t="s">
        <v>2</v>
      </c>
      <c r="AD44" s="6"/>
      <c r="AE44" s="6"/>
      <c r="AF44" s="6"/>
      <c r="AH44" s="20">
        <f t="shared" si="3"/>
        <v>0</v>
      </c>
      <c r="AI44" s="20">
        <f t="shared" si="4"/>
        <v>0</v>
      </c>
    </row>
    <row r="45" spans="1:35" ht="20.100000000000001" hidden="1" customHeight="1">
      <c r="A45" s="24" t="str">
        <f>ÖSSZES!$A$43</f>
        <v>Név18</v>
      </c>
      <c r="B45" s="37"/>
      <c r="C45" s="37"/>
      <c r="D45" s="37"/>
      <c r="E45" s="39" t="s">
        <v>2</v>
      </c>
      <c r="F45" s="39" t="s">
        <v>2</v>
      </c>
      <c r="G45" s="37"/>
      <c r="H45" s="37"/>
      <c r="I45" s="37"/>
      <c r="J45" s="37"/>
      <c r="K45" s="37"/>
      <c r="L45" s="37"/>
      <c r="M45" s="39" t="s">
        <v>2</v>
      </c>
      <c r="N45" s="39" t="s">
        <v>2</v>
      </c>
      <c r="O45" s="37"/>
      <c r="P45" s="37"/>
      <c r="Q45" s="37"/>
      <c r="R45" s="37"/>
      <c r="S45" s="37"/>
      <c r="T45" s="37"/>
      <c r="U45" s="39" t="s">
        <v>2</v>
      </c>
      <c r="V45" s="39" t="s">
        <v>2</v>
      </c>
      <c r="W45" s="37"/>
      <c r="X45" s="37"/>
      <c r="Y45" s="37"/>
      <c r="Z45" s="37"/>
      <c r="AA45" s="37"/>
      <c r="AB45" s="37"/>
      <c r="AC45" s="39" t="s">
        <v>2</v>
      </c>
      <c r="AD45" s="6"/>
      <c r="AE45" s="6"/>
      <c r="AF45" s="6"/>
      <c r="AH45" s="20">
        <f t="shared" si="3"/>
        <v>0</v>
      </c>
      <c r="AI45" s="20">
        <f t="shared" si="4"/>
        <v>0</v>
      </c>
    </row>
    <row r="46" spans="1:35" ht="20.100000000000001" hidden="1" customHeight="1">
      <c r="A46" s="24" t="str">
        <f>ÖSSZES!$A$44</f>
        <v>Név19</v>
      </c>
      <c r="B46" s="37"/>
      <c r="C46" s="37"/>
      <c r="D46" s="37"/>
      <c r="E46" s="39" t="s">
        <v>2</v>
      </c>
      <c r="F46" s="39" t="s">
        <v>2</v>
      </c>
      <c r="G46" s="37"/>
      <c r="H46" s="37"/>
      <c r="I46" s="37"/>
      <c r="J46" s="37"/>
      <c r="K46" s="37"/>
      <c r="L46" s="37"/>
      <c r="M46" s="39" t="s">
        <v>2</v>
      </c>
      <c r="N46" s="39" t="s">
        <v>2</v>
      </c>
      <c r="O46" s="37"/>
      <c r="P46" s="37"/>
      <c r="Q46" s="37"/>
      <c r="R46" s="37"/>
      <c r="S46" s="37"/>
      <c r="T46" s="37"/>
      <c r="U46" s="39" t="s">
        <v>2</v>
      </c>
      <c r="V46" s="39" t="s">
        <v>2</v>
      </c>
      <c r="W46" s="37"/>
      <c r="X46" s="37"/>
      <c r="Y46" s="37"/>
      <c r="Z46" s="37"/>
      <c r="AA46" s="37"/>
      <c r="AB46" s="37"/>
      <c r="AC46" s="39" t="s">
        <v>2</v>
      </c>
      <c r="AD46" s="6"/>
      <c r="AE46" s="6"/>
      <c r="AF46" s="6"/>
      <c r="AH46" s="20">
        <f t="shared" si="3"/>
        <v>0</v>
      </c>
      <c r="AI46" s="20">
        <f t="shared" si="4"/>
        <v>0</v>
      </c>
    </row>
    <row r="47" spans="1:35" ht="20.100000000000001" hidden="1" customHeight="1">
      <c r="A47" s="24" t="str">
        <f>ÖSSZES!$A$45</f>
        <v>Név20</v>
      </c>
      <c r="B47" s="37"/>
      <c r="C47" s="37"/>
      <c r="D47" s="37"/>
      <c r="E47" s="39" t="s">
        <v>2</v>
      </c>
      <c r="F47" s="39" t="s">
        <v>2</v>
      </c>
      <c r="G47" s="37"/>
      <c r="H47" s="37"/>
      <c r="I47" s="37"/>
      <c r="J47" s="37"/>
      <c r="K47" s="37"/>
      <c r="L47" s="37"/>
      <c r="M47" s="39" t="s">
        <v>2</v>
      </c>
      <c r="N47" s="39" t="s">
        <v>2</v>
      </c>
      <c r="O47" s="37"/>
      <c r="P47" s="37"/>
      <c r="Q47" s="37"/>
      <c r="R47" s="37"/>
      <c r="S47" s="37"/>
      <c r="T47" s="37"/>
      <c r="U47" s="39" t="s">
        <v>2</v>
      </c>
      <c r="V47" s="39" t="s">
        <v>2</v>
      </c>
      <c r="W47" s="37"/>
      <c r="X47" s="37"/>
      <c r="Y47" s="37"/>
      <c r="Z47" s="37"/>
      <c r="AA47" s="37"/>
      <c r="AB47" s="37"/>
      <c r="AC47" s="39" t="s">
        <v>2</v>
      </c>
      <c r="AD47" s="6"/>
      <c r="AE47" s="6"/>
      <c r="AF47" s="6"/>
      <c r="AH47" s="20">
        <f t="shared" si="3"/>
        <v>0</v>
      </c>
      <c r="AI47" s="20">
        <f t="shared" si="4"/>
        <v>0</v>
      </c>
    </row>
    <row r="48" spans="1:35" ht="20.100000000000001" customHeight="1"/>
    <row r="49" spans="1:35" s="11" customFormat="1" ht="20.100000000000001" customHeight="1">
      <c r="A49" s="57" t="s">
        <v>7</v>
      </c>
      <c r="B49" s="23">
        <v>1</v>
      </c>
      <c r="C49" s="23">
        <v>2</v>
      </c>
      <c r="D49" s="23">
        <v>3</v>
      </c>
      <c r="E49" s="23">
        <v>4</v>
      </c>
      <c r="F49" s="23">
        <v>5</v>
      </c>
      <c r="G49" s="23">
        <v>6</v>
      </c>
      <c r="H49" s="23">
        <v>7</v>
      </c>
      <c r="I49" s="23">
        <v>8</v>
      </c>
      <c r="J49" s="23">
        <v>9</v>
      </c>
      <c r="K49" s="23">
        <v>10</v>
      </c>
      <c r="L49" s="23">
        <v>11</v>
      </c>
      <c r="M49" s="23">
        <v>12</v>
      </c>
      <c r="N49" s="23">
        <v>13</v>
      </c>
      <c r="O49" s="23">
        <v>14</v>
      </c>
      <c r="P49" s="38">
        <v>15</v>
      </c>
      <c r="Q49" s="23">
        <v>16</v>
      </c>
      <c r="R49" s="23">
        <v>17</v>
      </c>
      <c r="S49" s="23">
        <v>18</v>
      </c>
      <c r="T49" s="23">
        <v>19</v>
      </c>
      <c r="U49" s="23">
        <v>20</v>
      </c>
      <c r="V49" s="23">
        <v>21</v>
      </c>
      <c r="W49" s="23">
        <v>22</v>
      </c>
      <c r="X49" s="23">
        <v>23</v>
      </c>
      <c r="Y49" s="23">
        <v>24</v>
      </c>
      <c r="Z49" s="23">
        <v>25</v>
      </c>
      <c r="AA49" s="23">
        <v>26</v>
      </c>
      <c r="AB49" s="23">
        <v>27</v>
      </c>
      <c r="AC49" s="23">
        <v>28</v>
      </c>
      <c r="AD49" s="23">
        <v>29</v>
      </c>
      <c r="AE49" s="23">
        <v>30</v>
      </c>
      <c r="AF49" s="23">
        <v>31</v>
      </c>
      <c r="AH49" s="59" t="s">
        <v>18</v>
      </c>
      <c r="AI49" s="59" t="s">
        <v>19</v>
      </c>
    </row>
    <row r="50" spans="1:35" ht="20.100000000000001" customHeight="1">
      <c r="A50" s="58"/>
      <c r="B50" s="15" t="str">
        <f>'2021'!B20</f>
        <v>H</v>
      </c>
      <c r="C50" s="15" t="str">
        <f>'2021'!C20</f>
        <v>K</v>
      </c>
      <c r="D50" s="15" t="str">
        <f>'2021'!D20</f>
        <v>Sze</v>
      </c>
      <c r="E50" s="15" t="str">
        <f>'2021'!E20</f>
        <v>Cs</v>
      </c>
      <c r="F50" s="15" t="str">
        <f>'2021'!F20</f>
        <v>P</v>
      </c>
      <c r="G50" s="15" t="str">
        <f>'2021'!G20</f>
        <v>Szo</v>
      </c>
      <c r="H50" s="15" t="str">
        <f>'2021'!H20</f>
        <v>V</v>
      </c>
      <c r="I50" s="15" t="str">
        <f>'2021'!I20</f>
        <v>H</v>
      </c>
      <c r="J50" s="15" t="str">
        <f>'2021'!J20</f>
        <v>K</v>
      </c>
      <c r="K50" s="15" t="str">
        <f>'2021'!K20</f>
        <v>Sze</v>
      </c>
      <c r="L50" s="15" t="str">
        <f>'2021'!L20</f>
        <v>Cs</v>
      </c>
      <c r="M50" s="15" t="str">
        <f>'2021'!M20</f>
        <v>P</v>
      </c>
      <c r="N50" s="15" t="str">
        <f>'2021'!N20</f>
        <v>Szo</v>
      </c>
      <c r="O50" s="15" t="str">
        <f>'2021'!O20</f>
        <v>V</v>
      </c>
      <c r="P50" s="15" t="str">
        <f>'2021'!P20</f>
        <v>H</v>
      </c>
      <c r="Q50" s="15" t="str">
        <f>'2021'!Q20</f>
        <v>K</v>
      </c>
      <c r="R50" s="15" t="str">
        <f>'2021'!R20</f>
        <v>Sze</v>
      </c>
      <c r="S50" s="15" t="str">
        <f>'2021'!S20</f>
        <v>Cs</v>
      </c>
      <c r="T50" s="15" t="str">
        <f>'2021'!T20</f>
        <v>P</v>
      </c>
      <c r="U50" s="15" t="str">
        <f>'2021'!U20</f>
        <v>Szo</v>
      </c>
      <c r="V50" s="15" t="str">
        <f>'2021'!V20</f>
        <v>V</v>
      </c>
      <c r="W50" s="15" t="str">
        <f>'2021'!W20</f>
        <v>H</v>
      </c>
      <c r="X50" s="15" t="str">
        <f>'2021'!X20</f>
        <v>K</v>
      </c>
      <c r="Y50" s="15" t="str">
        <f>'2021'!Y20</f>
        <v>Sze</v>
      </c>
      <c r="Z50" s="15" t="str">
        <f>'2021'!Z20</f>
        <v>Cs</v>
      </c>
      <c r="AA50" s="15" t="str">
        <f>'2021'!AA20</f>
        <v>P</v>
      </c>
      <c r="AB50" s="15" t="str">
        <f>'2021'!AB20</f>
        <v>Szo</v>
      </c>
      <c r="AC50" s="15" t="str">
        <f>'2021'!AC20</f>
        <v>V</v>
      </c>
      <c r="AD50" s="15" t="str">
        <f>'2021'!AD20</f>
        <v>H</v>
      </c>
      <c r="AE50" s="15" t="str">
        <f>'2021'!AE20</f>
        <v>K</v>
      </c>
      <c r="AF50" s="15" t="str">
        <f>'2021'!AF20</f>
        <v>Sze</v>
      </c>
      <c r="AH50" s="60"/>
      <c r="AI50" s="60"/>
    </row>
    <row r="51" spans="1:35" ht="20.100000000000001" customHeight="1">
      <c r="A51" s="58"/>
      <c r="B51" s="15" t="str">
        <f>'2021'!B22</f>
        <v>X</v>
      </c>
      <c r="C51" s="15">
        <f>'2021'!C22</f>
        <v>1</v>
      </c>
      <c r="D51" s="15">
        <f>'2021'!D22</f>
        <v>1</v>
      </c>
      <c r="E51" s="15">
        <f>'2021'!E22</f>
        <v>1</v>
      </c>
      <c r="F51" s="15">
        <f>'2021'!F22</f>
        <v>1</v>
      </c>
      <c r="G51" s="15">
        <f>'2021'!G22</f>
        <v>1</v>
      </c>
      <c r="H51" s="15">
        <f>'2021'!H22</f>
        <v>1</v>
      </c>
      <c r="I51" s="15" t="str">
        <f>'2021'!I22</f>
        <v>X</v>
      </c>
      <c r="J51" s="15" t="str">
        <f>'2021'!J22</f>
        <v>X</v>
      </c>
      <c r="K51" s="15">
        <f>'2021'!K22</f>
        <v>3</v>
      </c>
      <c r="L51" s="15">
        <f>'2021'!L22</f>
        <v>3</v>
      </c>
      <c r="M51" s="15">
        <f>'2021'!M22</f>
        <v>3</v>
      </c>
      <c r="N51" s="15">
        <f>'2021'!N22</f>
        <v>3</v>
      </c>
      <c r="O51" s="15">
        <f>'2021'!O22</f>
        <v>3</v>
      </c>
      <c r="P51" s="15">
        <f>'2021'!P22</f>
        <v>3</v>
      </c>
      <c r="Q51" s="15" t="str">
        <f>'2021'!Q22</f>
        <v>X</v>
      </c>
      <c r="R51" s="15" t="str">
        <f>'2021'!R22</f>
        <v>X</v>
      </c>
      <c r="S51" s="15">
        <f>'2021'!S22</f>
        <v>2</v>
      </c>
      <c r="T51" s="15">
        <f>'2021'!T22</f>
        <v>2</v>
      </c>
      <c r="U51" s="15">
        <f>'2021'!U22</f>
        <v>2</v>
      </c>
      <c r="V51" s="15">
        <f>'2021'!V22</f>
        <v>2</v>
      </c>
      <c r="W51" s="15">
        <f>'2021'!W22</f>
        <v>2</v>
      </c>
      <c r="X51" s="15">
        <f>'2021'!X22</f>
        <v>2</v>
      </c>
      <c r="Y51" s="15" t="str">
        <f>'2021'!Y22</f>
        <v>X</v>
      </c>
      <c r="Z51" s="15" t="str">
        <f>'2021'!Z22</f>
        <v>X</v>
      </c>
      <c r="AA51" s="15">
        <f>'2021'!AA22</f>
        <v>1</v>
      </c>
      <c r="AB51" s="15">
        <f>'2021'!AB22</f>
        <v>1</v>
      </c>
      <c r="AC51" s="15">
        <f>'2021'!AC22</f>
        <v>1</v>
      </c>
      <c r="AD51" s="15">
        <f>'2021'!AD22</f>
        <v>1</v>
      </c>
      <c r="AE51" s="15">
        <f>'2021'!AE22</f>
        <v>1</v>
      </c>
      <c r="AF51" s="15">
        <f>'2021'!AF22</f>
        <v>1</v>
      </c>
      <c r="AH51" s="60"/>
      <c r="AI51" s="60"/>
    </row>
    <row r="52" spans="1:35" ht="20.100000000000001" customHeight="1">
      <c r="A52" s="24" t="str">
        <f>ÖSSZES!$A$26</f>
        <v>Katona László</v>
      </c>
      <c r="B52" s="39" t="s">
        <v>2</v>
      </c>
      <c r="C52" s="39"/>
      <c r="D52" s="39"/>
      <c r="E52" s="39"/>
      <c r="F52" s="39"/>
      <c r="G52" s="39"/>
      <c r="H52" s="39"/>
      <c r="I52" s="39" t="s">
        <v>2</v>
      </c>
      <c r="J52" s="39" t="s">
        <v>2</v>
      </c>
      <c r="K52" s="39"/>
      <c r="L52" s="39"/>
      <c r="M52" s="39"/>
      <c r="N52" s="39"/>
      <c r="O52" s="39"/>
      <c r="P52" s="39"/>
      <c r="Q52" s="39" t="s">
        <v>2</v>
      </c>
      <c r="R52" s="39" t="s">
        <v>2</v>
      </c>
      <c r="S52" s="39"/>
      <c r="T52" s="39"/>
      <c r="U52" s="39"/>
      <c r="V52" s="39"/>
      <c r="W52" s="39"/>
      <c r="X52" s="39"/>
      <c r="Y52" s="39" t="s">
        <v>2</v>
      </c>
      <c r="Z52" s="39" t="s">
        <v>2</v>
      </c>
      <c r="AA52" s="39"/>
      <c r="AB52" s="39"/>
      <c r="AC52" s="39"/>
      <c r="AD52" s="39"/>
      <c r="AE52" s="39"/>
      <c r="AF52" s="39"/>
      <c r="AH52" s="20">
        <f>1*COUNTIF(A52:AF52,"+")</f>
        <v>0</v>
      </c>
      <c r="AI52" s="20">
        <f t="shared" ref="AI52" si="5">1*COUNTIF(B52:AF52,"szf")</f>
        <v>0</v>
      </c>
    </row>
    <row r="53" spans="1:35" ht="20.100000000000001" customHeight="1">
      <c r="A53" s="24" t="str">
        <f>ÖSSZES!$A$27</f>
        <v>Fényi László</v>
      </c>
      <c r="B53" s="39" t="s">
        <v>2</v>
      </c>
      <c r="C53" s="39"/>
      <c r="D53" s="39"/>
      <c r="E53" s="39"/>
      <c r="F53" s="39"/>
      <c r="G53" s="39"/>
      <c r="H53" s="39"/>
      <c r="I53" s="39" t="s">
        <v>2</v>
      </c>
      <c r="J53" s="39" t="s">
        <v>2</v>
      </c>
      <c r="K53" s="39"/>
      <c r="L53" s="39"/>
      <c r="M53" s="39"/>
      <c r="N53" s="39"/>
      <c r="O53" s="39"/>
      <c r="P53" s="39"/>
      <c r="Q53" s="39" t="s">
        <v>2</v>
      </c>
      <c r="R53" s="39" t="s">
        <v>2</v>
      </c>
      <c r="S53" s="39"/>
      <c r="T53" s="39"/>
      <c r="U53" s="39"/>
      <c r="V53" s="39"/>
      <c r="W53" s="39"/>
      <c r="X53" s="39"/>
      <c r="Y53" s="39" t="s">
        <v>2</v>
      </c>
      <c r="Z53" s="39" t="s">
        <v>2</v>
      </c>
      <c r="AA53" s="39"/>
      <c r="AB53" s="39"/>
      <c r="AC53" s="39"/>
      <c r="AD53" s="39"/>
      <c r="AE53" s="39"/>
      <c r="AF53" s="39"/>
      <c r="AH53" s="20">
        <f t="shared" ref="AH53:AH71" si="6">1*COUNTIF(A53:AF53,"+")</f>
        <v>0</v>
      </c>
      <c r="AI53" s="20">
        <f t="shared" ref="AI53:AI71" si="7">1*COUNTIF(B53:AF53,"szf")</f>
        <v>0</v>
      </c>
    </row>
    <row r="54" spans="1:35" ht="20.100000000000001" customHeight="1">
      <c r="A54" s="24" t="str">
        <f>ÖSSZES!$A$28</f>
        <v>Habara Gábor</v>
      </c>
      <c r="B54" s="39" t="s">
        <v>2</v>
      </c>
      <c r="C54" s="39"/>
      <c r="D54" s="39"/>
      <c r="E54" s="39"/>
      <c r="F54" s="39"/>
      <c r="G54" s="39"/>
      <c r="H54" s="39"/>
      <c r="I54" s="39" t="s">
        <v>2</v>
      </c>
      <c r="J54" s="39" t="s">
        <v>2</v>
      </c>
      <c r="K54" s="39"/>
      <c r="L54" s="39"/>
      <c r="M54" s="39"/>
      <c r="N54" s="39"/>
      <c r="O54" s="39"/>
      <c r="P54" s="39"/>
      <c r="Q54" s="39" t="s">
        <v>2</v>
      </c>
      <c r="R54" s="39" t="s">
        <v>2</v>
      </c>
      <c r="S54" s="39"/>
      <c r="T54" s="39"/>
      <c r="U54" s="39"/>
      <c r="V54" s="39"/>
      <c r="W54" s="39"/>
      <c r="X54" s="39"/>
      <c r="Y54" s="39" t="s">
        <v>2</v>
      </c>
      <c r="Z54" s="39" t="s">
        <v>2</v>
      </c>
      <c r="AA54" s="39"/>
      <c r="AB54" s="39"/>
      <c r="AC54" s="39"/>
      <c r="AD54" s="39"/>
      <c r="AE54" s="39"/>
      <c r="AF54" s="39"/>
      <c r="AH54" s="20">
        <f t="shared" si="6"/>
        <v>0</v>
      </c>
      <c r="AI54" s="20">
        <f t="shared" si="7"/>
        <v>0</v>
      </c>
    </row>
    <row r="55" spans="1:35" ht="20.100000000000001" customHeight="1">
      <c r="A55" s="24" t="str">
        <f>ÖSSZES!$A$29</f>
        <v>Holba Imre</v>
      </c>
      <c r="B55" s="39" t="s">
        <v>2</v>
      </c>
      <c r="C55" s="39"/>
      <c r="D55" s="39"/>
      <c r="E55" s="39"/>
      <c r="F55" s="39"/>
      <c r="G55" s="39"/>
      <c r="H55" s="39"/>
      <c r="I55" s="39" t="s">
        <v>2</v>
      </c>
      <c r="J55" s="39" t="s">
        <v>2</v>
      </c>
      <c r="K55" s="39"/>
      <c r="L55" s="39"/>
      <c r="M55" s="39"/>
      <c r="N55" s="39"/>
      <c r="O55" s="39"/>
      <c r="P55" s="39"/>
      <c r="Q55" s="39" t="s">
        <v>2</v>
      </c>
      <c r="R55" s="39" t="s">
        <v>2</v>
      </c>
      <c r="S55" s="39"/>
      <c r="T55" s="39"/>
      <c r="U55" s="39"/>
      <c r="V55" s="39"/>
      <c r="W55" s="39"/>
      <c r="X55" s="39"/>
      <c r="Y55" s="39" t="s">
        <v>2</v>
      </c>
      <c r="Z55" s="39" t="s">
        <v>2</v>
      </c>
      <c r="AA55" s="39"/>
      <c r="AB55" s="39"/>
      <c r="AC55" s="39"/>
      <c r="AD55" s="39"/>
      <c r="AE55" s="39"/>
      <c r="AF55" s="39"/>
      <c r="AH55" s="20">
        <f t="shared" si="6"/>
        <v>0</v>
      </c>
      <c r="AI55" s="20">
        <f t="shared" si="7"/>
        <v>0</v>
      </c>
    </row>
    <row r="56" spans="1:35" ht="20.100000000000001" customHeight="1">
      <c r="A56" s="24" t="str">
        <f>ÖSSZES!$A$30</f>
        <v>Király Bálint Donát</v>
      </c>
      <c r="B56" s="39" t="s">
        <v>2</v>
      </c>
      <c r="C56" s="39"/>
      <c r="D56" s="39"/>
      <c r="E56" s="39"/>
      <c r="F56" s="39"/>
      <c r="G56" s="39"/>
      <c r="H56" s="39"/>
      <c r="I56" s="39" t="s">
        <v>2</v>
      </c>
      <c r="J56" s="39" t="s">
        <v>2</v>
      </c>
      <c r="K56" s="39"/>
      <c r="L56" s="39"/>
      <c r="M56" s="39"/>
      <c r="N56" s="39"/>
      <c r="O56" s="39"/>
      <c r="P56" s="39"/>
      <c r="Q56" s="39" t="s">
        <v>2</v>
      </c>
      <c r="R56" s="39" t="s">
        <v>2</v>
      </c>
      <c r="S56" s="39"/>
      <c r="T56" s="39"/>
      <c r="U56" s="39"/>
      <c r="V56" s="39"/>
      <c r="W56" s="39"/>
      <c r="X56" s="39"/>
      <c r="Y56" s="39" t="s">
        <v>2</v>
      </c>
      <c r="Z56" s="39" t="s">
        <v>2</v>
      </c>
      <c r="AA56" s="39"/>
      <c r="AB56" s="39"/>
      <c r="AC56" s="39"/>
      <c r="AD56" s="39"/>
      <c r="AE56" s="39"/>
      <c r="AF56" s="39"/>
      <c r="AH56" s="20">
        <f t="shared" si="6"/>
        <v>0</v>
      </c>
      <c r="AI56" s="20">
        <f t="shared" si="7"/>
        <v>0</v>
      </c>
    </row>
    <row r="57" spans="1:35" ht="20.100000000000001" customHeight="1">
      <c r="A57" s="24" t="str">
        <f>ÖSSZES!$A$31</f>
        <v>Kiss János Tamás</v>
      </c>
      <c r="B57" s="39" t="s">
        <v>2</v>
      </c>
      <c r="C57" s="39"/>
      <c r="D57" s="39"/>
      <c r="E57" s="39"/>
      <c r="F57" s="39"/>
      <c r="G57" s="39"/>
      <c r="H57" s="39"/>
      <c r="I57" s="39" t="s">
        <v>2</v>
      </c>
      <c r="J57" s="39" t="s">
        <v>2</v>
      </c>
      <c r="K57" s="39"/>
      <c r="L57" s="39"/>
      <c r="M57" s="39"/>
      <c r="N57" s="39"/>
      <c r="O57" s="39"/>
      <c r="P57" s="39"/>
      <c r="Q57" s="39" t="s">
        <v>2</v>
      </c>
      <c r="R57" s="39" t="s">
        <v>2</v>
      </c>
      <c r="S57" s="39"/>
      <c r="T57" s="39"/>
      <c r="U57" s="39"/>
      <c r="V57" s="39"/>
      <c r="W57" s="39"/>
      <c r="X57" s="39"/>
      <c r="Y57" s="39" t="s">
        <v>2</v>
      </c>
      <c r="Z57" s="39" t="s">
        <v>2</v>
      </c>
      <c r="AA57" s="39"/>
      <c r="AB57" s="39"/>
      <c r="AC57" s="39"/>
      <c r="AD57" s="39"/>
      <c r="AE57" s="39"/>
      <c r="AF57" s="39"/>
      <c r="AH57" s="20">
        <f t="shared" si="6"/>
        <v>0</v>
      </c>
      <c r="AI57" s="20">
        <f t="shared" si="7"/>
        <v>0</v>
      </c>
    </row>
    <row r="58" spans="1:35" ht="20.100000000000001" customHeight="1">
      <c r="A58" s="24" t="str">
        <f>ÖSSZES!$A$32</f>
        <v>Mezei Lajos</v>
      </c>
      <c r="B58" s="39" t="s">
        <v>2</v>
      </c>
      <c r="C58" s="39"/>
      <c r="D58" s="39"/>
      <c r="E58" s="39"/>
      <c r="F58" s="39"/>
      <c r="G58" s="39"/>
      <c r="H58" s="39"/>
      <c r="I58" s="39" t="s">
        <v>2</v>
      </c>
      <c r="J58" s="39" t="s">
        <v>2</v>
      </c>
      <c r="K58" s="39"/>
      <c r="L58" s="39"/>
      <c r="M58" s="39"/>
      <c r="N58" s="39"/>
      <c r="O58" s="39"/>
      <c r="P58" s="39"/>
      <c r="Q58" s="39" t="s">
        <v>2</v>
      </c>
      <c r="R58" s="39" t="s">
        <v>2</v>
      </c>
      <c r="S58" s="39"/>
      <c r="T58" s="39"/>
      <c r="U58" s="39"/>
      <c r="V58" s="39"/>
      <c r="W58" s="39"/>
      <c r="X58" s="39"/>
      <c r="Y58" s="39" t="s">
        <v>2</v>
      </c>
      <c r="Z58" s="39" t="s">
        <v>2</v>
      </c>
      <c r="AA58" s="39"/>
      <c r="AB58" s="39"/>
      <c r="AC58" s="39"/>
      <c r="AD58" s="39"/>
      <c r="AE58" s="39"/>
      <c r="AF58" s="39"/>
      <c r="AH58" s="20">
        <f t="shared" si="6"/>
        <v>0</v>
      </c>
      <c r="AI58" s="20">
        <f t="shared" si="7"/>
        <v>0</v>
      </c>
    </row>
    <row r="59" spans="1:35" ht="20.100000000000001" hidden="1" customHeight="1">
      <c r="A59" s="24" t="str">
        <f>ÖSSZES!$A$33</f>
        <v>Név8</v>
      </c>
      <c r="B59" s="39" t="s">
        <v>2</v>
      </c>
      <c r="C59" s="39"/>
      <c r="D59" s="39"/>
      <c r="E59" s="39"/>
      <c r="F59" s="39"/>
      <c r="G59" s="39"/>
      <c r="H59" s="39"/>
      <c r="I59" s="39" t="s">
        <v>2</v>
      </c>
      <c r="J59" s="39" t="s">
        <v>2</v>
      </c>
      <c r="K59" s="39"/>
      <c r="L59" s="39"/>
      <c r="M59" s="39"/>
      <c r="N59" s="39"/>
      <c r="O59" s="39"/>
      <c r="P59" s="39"/>
      <c r="Q59" s="39" t="s">
        <v>2</v>
      </c>
      <c r="R59" s="39" t="s">
        <v>2</v>
      </c>
      <c r="S59" s="39"/>
      <c r="T59" s="39"/>
      <c r="U59" s="39"/>
      <c r="V59" s="39"/>
      <c r="W59" s="39"/>
      <c r="X59" s="39"/>
      <c r="Y59" s="39" t="s">
        <v>2</v>
      </c>
      <c r="Z59" s="39" t="s">
        <v>2</v>
      </c>
      <c r="AA59" s="39"/>
      <c r="AB59" s="39"/>
      <c r="AC59" s="39"/>
      <c r="AD59" s="39"/>
      <c r="AE59" s="39"/>
      <c r="AF59" s="39"/>
      <c r="AH59" s="20">
        <f t="shared" si="6"/>
        <v>0</v>
      </c>
      <c r="AI59" s="20">
        <f t="shared" si="7"/>
        <v>0</v>
      </c>
    </row>
    <row r="60" spans="1:35" ht="20.100000000000001" hidden="1" customHeight="1">
      <c r="A60" s="24" t="str">
        <f>ÖSSZES!$A$34</f>
        <v>Név9</v>
      </c>
      <c r="B60" s="39" t="s">
        <v>2</v>
      </c>
      <c r="C60" s="39"/>
      <c r="D60" s="39"/>
      <c r="E60" s="39"/>
      <c r="F60" s="39"/>
      <c r="G60" s="39"/>
      <c r="H60" s="39"/>
      <c r="I60" s="39" t="s">
        <v>2</v>
      </c>
      <c r="J60" s="39" t="s">
        <v>2</v>
      </c>
      <c r="K60" s="39"/>
      <c r="L60" s="39"/>
      <c r="M60" s="39"/>
      <c r="N60" s="39"/>
      <c r="O60" s="39"/>
      <c r="P60" s="39"/>
      <c r="Q60" s="39" t="s">
        <v>2</v>
      </c>
      <c r="R60" s="39" t="s">
        <v>2</v>
      </c>
      <c r="S60" s="39"/>
      <c r="T60" s="39"/>
      <c r="U60" s="39"/>
      <c r="V60" s="39"/>
      <c r="W60" s="39"/>
      <c r="X60" s="39"/>
      <c r="Y60" s="39" t="s">
        <v>2</v>
      </c>
      <c r="Z60" s="39" t="s">
        <v>2</v>
      </c>
      <c r="AA60" s="39"/>
      <c r="AB60" s="39"/>
      <c r="AC60" s="39"/>
      <c r="AD60" s="39"/>
      <c r="AE60" s="39"/>
      <c r="AF60" s="39"/>
      <c r="AH60" s="20">
        <f t="shared" si="6"/>
        <v>0</v>
      </c>
      <c r="AI60" s="20">
        <f t="shared" si="7"/>
        <v>0</v>
      </c>
    </row>
    <row r="61" spans="1:35" ht="20.100000000000001" hidden="1" customHeight="1">
      <c r="A61" s="24" t="str">
        <f>ÖSSZES!$A$35</f>
        <v>Név10</v>
      </c>
      <c r="B61" s="39" t="s">
        <v>2</v>
      </c>
      <c r="C61" s="39"/>
      <c r="D61" s="39"/>
      <c r="E61" s="39"/>
      <c r="F61" s="39"/>
      <c r="G61" s="39"/>
      <c r="H61" s="39"/>
      <c r="I61" s="39" t="s">
        <v>2</v>
      </c>
      <c r="J61" s="39" t="s">
        <v>2</v>
      </c>
      <c r="K61" s="39"/>
      <c r="L61" s="39"/>
      <c r="M61" s="39"/>
      <c r="N61" s="39"/>
      <c r="O61" s="39"/>
      <c r="P61" s="39"/>
      <c r="Q61" s="39" t="s">
        <v>2</v>
      </c>
      <c r="R61" s="39" t="s">
        <v>2</v>
      </c>
      <c r="S61" s="39"/>
      <c r="T61" s="39"/>
      <c r="U61" s="39"/>
      <c r="V61" s="39"/>
      <c r="W61" s="39"/>
      <c r="X61" s="39"/>
      <c r="Y61" s="39" t="s">
        <v>2</v>
      </c>
      <c r="Z61" s="39" t="s">
        <v>2</v>
      </c>
      <c r="AA61" s="39"/>
      <c r="AB61" s="39"/>
      <c r="AC61" s="39"/>
      <c r="AD61" s="39"/>
      <c r="AE61" s="39"/>
      <c r="AF61" s="39"/>
      <c r="AH61" s="20">
        <f t="shared" si="6"/>
        <v>0</v>
      </c>
      <c r="AI61" s="20">
        <f t="shared" si="7"/>
        <v>0</v>
      </c>
    </row>
    <row r="62" spans="1:35" ht="20.100000000000001" hidden="1" customHeight="1">
      <c r="A62" s="24" t="str">
        <f>ÖSSZES!$A$36</f>
        <v>Név11</v>
      </c>
      <c r="B62" s="39" t="s">
        <v>2</v>
      </c>
      <c r="C62" s="39"/>
      <c r="D62" s="39"/>
      <c r="E62" s="39"/>
      <c r="F62" s="39"/>
      <c r="G62" s="39"/>
      <c r="H62" s="39"/>
      <c r="I62" s="39" t="s">
        <v>2</v>
      </c>
      <c r="J62" s="39" t="s">
        <v>2</v>
      </c>
      <c r="K62" s="39"/>
      <c r="L62" s="39"/>
      <c r="M62" s="39"/>
      <c r="N62" s="39"/>
      <c r="O62" s="39"/>
      <c r="P62" s="39"/>
      <c r="Q62" s="39" t="s">
        <v>2</v>
      </c>
      <c r="R62" s="39" t="s">
        <v>2</v>
      </c>
      <c r="S62" s="39"/>
      <c r="T62" s="39"/>
      <c r="U62" s="39"/>
      <c r="V62" s="39"/>
      <c r="W62" s="39"/>
      <c r="X62" s="39"/>
      <c r="Y62" s="39" t="s">
        <v>2</v>
      </c>
      <c r="Z62" s="39" t="s">
        <v>2</v>
      </c>
      <c r="AA62" s="39"/>
      <c r="AB62" s="39"/>
      <c r="AC62" s="39"/>
      <c r="AD62" s="39"/>
      <c r="AE62" s="39"/>
      <c r="AF62" s="39"/>
      <c r="AH62" s="20">
        <f t="shared" si="6"/>
        <v>0</v>
      </c>
      <c r="AI62" s="20">
        <f t="shared" si="7"/>
        <v>0</v>
      </c>
    </row>
    <row r="63" spans="1:35" ht="20.100000000000001" hidden="1" customHeight="1">
      <c r="A63" s="24" t="str">
        <f>ÖSSZES!$A$37</f>
        <v>Név12</v>
      </c>
      <c r="B63" s="39" t="s">
        <v>2</v>
      </c>
      <c r="C63" s="39"/>
      <c r="D63" s="39"/>
      <c r="E63" s="39"/>
      <c r="F63" s="39"/>
      <c r="G63" s="39"/>
      <c r="H63" s="39"/>
      <c r="I63" s="39" t="s">
        <v>2</v>
      </c>
      <c r="J63" s="39" t="s">
        <v>2</v>
      </c>
      <c r="K63" s="39"/>
      <c r="L63" s="39"/>
      <c r="M63" s="39"/>
      <c r="N63" s="39"/>
      <c r="O63" s="39"/>
      <c r="P63" s="39"/>
      <c r="Q63" s="39" t="s">
        <v>2</v>
      </c>
      <c r="R63" s="39" t="s">
        <v>2</v>
      </c>
      <c r="S63" s="39"/>
      <c r="T63" s="39"/>
      <c r="U63" s="39"/>
      <c r="V63" s="39"/>
      <c r="W63" s="39"/>
      <c r="X63" s="39"/>
      <c r="Y63" s="39" t="s">
        <v>2</v>
      </c>
      <c r="Z63" s="39" t="s">
        <v>2</v>
      </c>
      <c r="AA63" s="39"/>
      <c r="AB63" s="39"/>
      <c r="AC63" s="39"/>
      <c r="AD63" s="39"/>
      <c r="AE63" s="39"/>
      <c r="AF63" s="39"/>
      <c r="AH63" s="20">
        <f t="shared" si="6"/>
        <v>0</v>
      </c>
      <c r="AI63" s="20">
        <f t="shared" si="7"/>
        <v>0</v>
      </c>
    </row>
    <row r="64" spans="1:35" ht="20.100000000000001" hidden="1" customHeight="1">
      <c r="A64" s="24" t="str">
        <f>ÖSSZES!$A$38</f>
        <v>Név13</v>
      </c>
      <c r="B64" s="39" t="s">
        <v>2</v>
      </c>
      <c r="C64" s="39"/>
      <c r="D64" s="39"/>
      <c r="E64" s="39"/>
      <c r="F64" s="39"/>
      <c r="G64" s="39"/>
      <c r="H64" s="39"/>
      <c r="I64" s="39" t="s">
        <v>2</v>
      </c>
      <c r="J64" s="39" t="s">
        <v>2</v>
      </c>
      <c r="K64" s="39"/>
      <c r="L64" s="39"/>
      <c r="M64" s="39"/>
      <c r="N64" s="39"/>
      <c r="O64" s="39"/>
      <c r="P64" s="39"/>
      <c r="Q64" s="39" t="s">
        <v>2</v>
      </c>
      <c r="R64" s="39" t="s">
        <v>2</v>
      </c>
      <c r="S64" s="39"/>
      <c r="T64" s="39"/>
      <c r="U64" s="39"/>
      <c r="V64" s="39"/>
      <c r="W64" s="39"/>
      <c r="X64" s="39"/>
      <c r="Y64" s="39" t="s">
        <v>2</v>
      </c>
      <c r="Z64" s="39" t="s">
        <v>2</v>
      </c>
      <c r="AA64" s="39"/>
      <c r="AB64" s="39"/>
      <c r="AC64" s="39"/>
      <c r="AD64" s="39"/>
      <c r="AE64" s="39"/>
      <c r="AF64" s="39"/>
      <c r="AH64" s="20">
        <f t="shared" si="6"/>
        <v>0</v>
      </c>
      <c r="AI64" s="20">
        <f t="shared" si="7"/>
        <v>0</v>
      </c>
    </row>
    <row r="65" spans="1:35" ht="20.100000000000001" hidden="1" customHeight="1">
      <c r="A65" s="24" t="str">
        <f>ÖSSZES!$A$39</f>
        <v>Név14</v>
      </c>
      <c r="B65" s="39" t="s">
        <v>2</v>
      </c>
      <c r="C65" s="39"/>
      <c r="D65" s="39"/>
      <c r="E65" s="39"/>
      <c r="F65" s="39"/>
      <c r="G65" s="39"/>
      <c r="H65" s="39"/>
      <c r="I65" s="39" t="s">
        <v>2</v>
      </c>
      <c r="J65" s="39" t="s">
        <v>2</v>
      </c>
      <c r="K65" s="39"/>
      <c r="L65" s="39"/>
      <c r="M65" s="39"/>
      <c r="N65" s="39"/>
      <c r="O65" s="39"/>
      <c r="P65" s="39"/>
      <c r="Q65" s="39" t="s">
        <v>2</v>
      </c>
      <c r="R65" s="39" t="s">
        <v>2</v>
      </c>
      <c r="S65" s="39"/>
      <c r="T65" s="39"/>
      <c r="U65" s="39"/>
      <c r="V65" s="39"/>
      <c r="W65" s="39"/>
      <c r="X65" s="39"/>
      <c r="Y65" s="39" t="s">
        <v>2</v>
      </c>
      <c r="Z65" s="39" t="s">
        <v>2</v>
      </c>
      <c r="AA65" s="39"/>
      <c r="AB65" s="39"/>
      <c r="AC65" s="39"/>
      <c r="AD65" s="39"/>
      <c r="AE65" s="39"/>
      <c r="AF65" s="39"/>
      <c r="AH65" s="20">
        <f t="shared" si="6"/>
        <v>0</v>
      </c>
      <c r="AI65" s="20">
        <f t="shared" si="7"/>
        <v>0</v>
      </c>
    </row>
    <row r="66" spans="1:35" ht="20.100000000000001" hidden="1" customHeight="1">
      <c r="A66" s="24" t="str">
        <f>ÖSSZES!$A$40</f>
        <v>Név15</v>
      </c>
      <c r="B66" s="39" t="s">
        <v>2</v>
      </c>
      <c r="C66" s="39"/>
      <c r="D66" s="39"/>
      <c r="E66" s="39"/>
      <c r="F66" s="39"/>
      <c r="G66" s="39"/>
      <c r="H66" s="39"/>
      <c r="I66" s="39" t="s">
        <v>2</v>
      </c>
      <c r="J66" s="39" t="s">
        <v>2</v>
      </c>
      <c r="K66" s="39"/>
      <c r="L66" s="39"/>
      <c r="M66" s="39"/>
      <c r="N66" s="39"/>
      <c r="O66" s="39"/>
      <c r="P66" s="39"/>
      <c r="Q66" s="39" t="s">
        <v>2</v>
      </c>
      <c r="R66" s="39" t="s">
        <v>2</v>
      </c>
      <c r="S66" s="39"/>
      <c r="T66" s="39"/>
      <c r="U66" s="39"/>
      <c r="V66" s="39"/>
      <c r="W66" s="39"/>
      <c r="X66" s="39"/>
      <c r="Y66" s="39" t="s">
        <v>2</v>
      </c>
      <c r="Z66" s="39" t="s">
        <v>2</v>
      </c>
      <c r="AA66" s="39"/>
      <c r="AB66" s="39"/>
      <c r="AC66" s="39"/>
      <c r="AD66" s="39"/>
      <c r="AE66" s="39"/>
      <c r="AF66" s="39"/>
      <c r="AH66" s="20">
        <f t="shared" si="6"/>
        <v>0</v>
      </c>
      <c r="AI66" s="20">
        <f t="shared" si="7"/>
        <v>0</v>
      </c>
    </row>
    <row r="67" spans="1:35" ht="20.100000000000001" hidden="1" customHeight="1">
      <c r="A67" s="24" t="str">
        <f>ÖSSZES!$A$41</f>
        <v>Név16</v>
      </c>
      <c r="B67" s="39" t="s">
        <v>2</v>
      </c>
      <c r="C67" s="39"/>
      <c r="D67" s="39"/>
      <c r="E67" s="39"/>
      <c r="F67" s="39"/>
      <c r="G67" s="39"/>
      <c r="H67" s="39"/>
      <c r="I67" s="39" t="s">
        <v>2</v>
      </c>
      <c r="J67" s="39" t="s">
        <v>2</v>
      </c>
      <c r="K67" s="39"/>
      <c r="L67" s="39"/>
      <c r="M67" s="39"/>
      <c r="N67" s="39"/>
      <c r="O67" s="39"/>
      <c r="P67" s="39"/>
      <c r="Q67" s="39" t="s">
        <v>2</v>
      </c>
      <c r="R67" s="39" t="s">
        <v>2</v>
      </c>
      <c r="S67" s="39"/>
      <c r="T67" s="39"/>
      <c r="U67" s="39"/>
      <c r="V67" s="39"/>
      <c r="W67" s="39"/>
      <c r="X67" s="39"/>
      <c r="Y67" s="39" t="s">
        <v>2</v>
      </c>
      <c r="Z67" s="39" t="s">
        <v>2</v>
      </c>
      <c r="AA67" s="39"/>
      <c r="AB67" s="39"/>
      <c r="AC67" s="39"/>
      <c r="AD67" s="39"/>
      <c r="AE67" s="39"/>
      <c r="AF67" s="39"/>
      <c r="AH67" s="20">
        <f t="shared" si="6"/>
        <v>0</v>
      </c>
      <c r="AI67" s="20">
        <f t="shared" si="7"/>
        <v>0</v>
      </c>
    </row>
    <row r="68" spans="1:35" ht="20.100000000000001" hidden="1" customHeight="1">
      <c r="A68" s="24" t="str">
        <f>ÖSSZES!$A$42</f>
        <v>Név17</v>
      </c>
      <c r="B68" s="39" t="s">
        <v>2</v>
      </c>
      <c r="C68" s="39"/>
      <c r="D68" s="39"/>
      <c r="E68" s="39"/>
      <c r="F68" s="39"/>
      <c r="G68" s="39"/>
      <c r="H68" s="39"/>
      <c r="I68" s="39" t="s">
        <v>2</v>
      </c>
      <c r="J68" s="39" t="s">
        <v>2</v>
      </c>
      <c r="K68" s="39"/>
      <c r="L68" s="39"/>
      <c r="M68" s="39"/>
      <c r="N68" s="39"/>
      <c r="O68" s="39"/>
      <c r="P68" s="39"/>
      <c r="Q68" s="39" t="s">
        <v>2</v>
      </c>
      <c r="R68" s="39" t="s">
        <v>2</v>
      </c>
      <c r="S68" s="39"/>
      <c r="T68" s="39"/>
      <c r="U68" s="39"/>
      <c r="V68" s="39"/>
      <c r="W68" s="39"/>
      <c r="X68" s="39"/>
      <c r="Y68" s="39" t="s">
        <v>2</v>
      </c>
      <c r="Z68" s="39" t="s">
        <v>2</v>
      </c>
      <c r="AA68" s="39"/>
      <c r="AB68" s="39"/>
      <c r="AC68" s="39"/>
      <c r="AD68" s="39"/>
      <c r="AE68" s="39"/>
      <c r="AF68" s="39"/>
      <c r="AH68" s="20">
        <f t="shared" si="6"/>
        <v>0</v>
      </c>
      <c r="AI68" s="20">
        <f t="shared" si="7"/>
        <v>0</v>
      </c>
    </row>
    <row r="69" spans="1:35" ht="20.100000000000001" hidden="1" customHeight="1">
      <c r="A69" s="24" t="str">
        <f>ÖSSZES!$A$43</f>
        <v>Név18</v>
      </c>
      <c r="B69" s="39" t="s">
        <v>2</v>
      </c>
      <c r="C69" s="39"/>
      <c r="D69" s="39"/>
      <c r="E69" s="39"/>
      <c r="F69" s="39"/>
      <c r="G69" s="39"/>
      <c r="H69" s="39"/>
      <c r="I69" s="39" t="s">
        <v>2</v>
      </c>
      <c r="J69" s="39" t="s">
        <v>2</v>
      </c>
      <c r="K69" s="39"/>
      <c r="L69" s="39"/>
      <c r="M69" s="39"/>
      <c r="N69" s="39"/>
      <c r="O69" s="39"/>
      <c r="P69" s="39"/>
      <c r="Q69" s="39" t="s">
        <v>2</v>
      </c>
      <c r="R69" s="39" t="s">
        <v>2</v>
      </c>
      <c r="S69" s="39"/>
      <c r="T69" s="39"/>
      <c r="U69" s="39"/>
      <c r="V69" s="39"/>
      <c r="W69" s="39"/>
      <c r="X69" s="39"/>
      <c r="Y69" s="39" t="s">
        <v>2</v>
      </c>
      <c r="Z69" s="39" t="s">
        <v>2</v>
      </c>
      <c r="AA69" s="39"/>
      <c r="AB69" s="39"/>
      <c r="AC69" s="39"/>
      <c r="AD69" s="39"/>
      <c r="AE69" s="39"/>
      <c r="AF69" s="39"/>
      <c r="AH69" s="20">
        <f t="shared" si="6"/>
        <v>0</v>
      </c>
      <c r="AI69" s="20">
        <f t="shared" si="7"/>
        <v>0</v>
      </c>
    </row>
    <row r="70" spans="1:35" ht="20.100000000000001" hidden="1" customHeight="1">
      <c r="A70" s="24" t="str">
        <f>ÖSSZES!$A$44</f>
        <v>Név19</v>
      </c>
      <c r="B70" s="39" t="s">
        <v>2</v>
      </c>
      <c r="C70" s="39"/>
      <c r="D70" s="39"/>
      <c r="E70" s="39"/>
      <c r="F70" s="39"/>
      <c r="G70" s="39"/>
      <c r="H70" s="39"/>
      <c r="I70" s="39" t="s">
        <v>2</v>
      </c>
      <c r="J70" s="39" t="s">
        <v>2</v>
      </c>
      <c r="K70" s="39"/>
      <c r="L70" s="39"/>
      <c r="M70" s="39"/>
      <c r="N70" s="39"/>
      <c r="O70" s="39"/>
      <c r="P70" s="39"/>
      <c r="Q70" s="39" t="s">
        <v>2</v>
      </c>
      <c r="R70" s="39" t="s">
        <v>2</v>
      </c>
      <c r="S70" s="39"/>
      <c r="T70" s="39"/>
      <c r="U70" s="39"/>
      <c r="V70" s="39"/>
      <c r="W70" s="39"/>
      <c r="X70" s="39"/>
      <c r="Y70" s="39" t="s">
        <v>2</v>
      </c>
      <c r="Z70" s="39" t="s">
        <v>2</v>
      </c>
      <c r="AA70" s="39"/>
      <c r="AB70" s="39"/>
      <c r="AC70" s="39"/>
      <c r="AD70" s="39"/>
      <c r="AE70" s="39"/>
      <c r="AF70" s="39"/>
      <c r="AH70" s="20">
        <f t="shared" si="6"/>
        <v>0</v>
      </c>
      <c r="AI70" s="20">
        <f t="shared" si="7"/>
        <v>0</v>
      </c>
    </row>
    <row r="71" spans="1:35" ht="20.100000000000001" hidden="1" customHeight="1">
      <c r="A71" s="24" t="str">
        <f>ÖSSZES!$A$45</f>
        <v>Név20</v>
      </c>
      <c r="B71" s="39" t="s">
        <v>2</v>
      </c>
      <c r="C71" s="39"/>
      <c r="D71" s="39"/>
      <c r="E71" s="39"/>
      <c r="F71" s="39"/>
      <c r="G71" s="39"/>
      <c r="H71" s="39"/>
      <c r="I71" s="39" t="s">
        <v>2</v>
      </c>
      <c r="J71" s="39" t="s">
        <v>2</v>
      </c>
      <c r="K71" s="39"/>
      <c r="L71" s="39"/>
      <c r="M71" s="39"/>
      <c r="N71" s="39"/>
      <c r="O71" s="39"/>
      <c r="P71" s="39"/>
      <c r="Q71" s="39" t="s">
        <v>2</v>
      </c>
      <c r="R71" s="39" t="s">
        <v>2</v>
      </c>
      <c r="S71" s="39"/>
      <c r="T71" s="39"/>
      <c r="U71" s="39"/>
      <c r="V71" s="39"/>
      <c r="W71" s="39"/>
      <c r="X71" s="39"/>
      <c r="Y71" s="39" t="s">
        <v>2</v>
      </c>
      <c r="Z71" s="39" t="s">
        <v>2</v>
      </c>
      <c r="AA71" s="39"/>
      <c r="AB71" s="39"/>
      <c r="AC71" s="39"/>
      <c r="AD71" s="39"/>
      <c r="AE71" s="39"/>
      <c r="AF71" s="39"/>
      <c r="AH71" s="20">
        <f t="shared" si="6"/>
        <v>0</v>
      </c>
      <c r="AI71" s="20">
        <f t="shared" si="7"/>
        <v>0</v>
      </c>
    </row>
    <row r="72" spans="1:35" ht="20.100000000000001" customHeight="1"/>
    <row r="73" spans="1:35" s="11" customFormat="1" ht="20.100000000000001" customHeight="1">
      <c r="A73" s="54" t="s">
        <v>17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23">
        <v>7</v>
      </c>
      <c r="I73" s="23">
        <v>8</v>
      </c>
      <c r="J73" s="23">
        <v>9</v>
      </c>
      <c r="K73" s="23">
        <v>10</v>
      </c>
      <c r="L73" s="23">
        <v>11</v>
      </c>
      <c r="M73" s="23">
        <v>12</v>
      </c>
      <c r="N73" s="23">
        <v>13</v>
      </c>
      <c r="O73" s="23">
        <v>14</v>
      </c>
      <c r="P73" s="23">
        <v>15</v>
      </c>
      <c r="Q73" s="23">
        <v>16</v>
      </c>
      <c r="R73" s="23">
        <v>17</v>
      </c>
      <c r="S73" s="23">
        <v>18</v>
      </c>
      <c r="T73" s="23">
        <v>19</v>
      </c>
      <c r="U73" s="23">
        <v>20</v>
      </c>
      <c r="V73" s="23">
        <v>21</v>
      </c>
      <c r="W73" s="23">
        <v>22</v>
      </c>
      <c r="X73" s="23">
        <v>23</v>
      </c>
      <c r="Y73" s="23">
        <v>24</v>
      </c>
      <c r="Z73" s="23">
        <v>25</v>
      </c>
      <c r="AA73" s="23">
        <v>26</v>
      </c>
      <c r="AB73" s="23">
        <v>27</v>
      </c>
      <c r="AC73" s="23">
        <v>28</v>
      </c>
      <c r="AD73" s="23">
        <v>29</v>
      </c>
      <c r="AE73" s="23">
        <v>30</v>
      </c>
      <c r="AH73" s="59" t="s">
        <v>18</v>
      </c>
      <c r="AI73" s="59" t="s">
        <v>19</v>
      </c>
    </row>
    <row r="74" spans="1:35" ht="20.100000000000001" customHeight="1">
      <c r="A74" s="56"/>
      <c r="B74" s="15" t="str">
        <f>'2021'!B28</f>
        <v>Cs</v>
      </c>
      <c r="C74" s="15" t="str">
        <f>'2021'!C28</f>
        <v>P</v>
      </c>
      <c r="D74" s="15" t="str">
        <f>'2021'!D28</f>
        <v>Szo</v>
      </c>
      <c r="E74" s="15" t="str">
        <f>'2021'!E28</f>
        <v>V</v>
      </c>
      <c r="F74" s="15" t="str">
        <f>'2021'!F28</f>
        <v>H</v>
      </c>
      <c r="G74" s="15" t="str">
        <f>'2021'!G28</f>
        <v>K</v>
      </c>
      <c r="H74" s="15" t="str">
        <f>'2021'!H28</f>
        <v>Sze</v>
      </c>
      <c r="I74" s="15" t="str">
        <f>'2021'!I28</f>
        <v>Cs</v>
      </c>
      <c r="J74" s="15" t="str">
        <f>'2021'!J28</f>
        <v>P</v>
      </c>
      <c r="K74" s="15" t="str">
        <f>'2021'!K28</f>
        <v>Szo</v>
      </c>
      <c r="L74" s="15" t="str">
        <f>'2021'!L28</f>
        <v>V</v>
      </c>
      <c r="M74" s="15" t="str">
        <f>'2021'!M28</f>
        <v>H</v>
      </c>
      <c r="N74" s="15" t="str">
        <f>'2021'!N28</f>
        <v>K</v>
      </c>
      <c r="O74" s="15" t="str">
        <f>'2021'!O28</f>
        <v>Sze</v>
      </c>
      <c r="P74" s="15" t="str">
        <f>'2021'!P28</f>
        <v>Cs</v>
      </c>
      <c r="Q74" s="15" t="str">
        <f>'2021'!Q28</f>
        <v>P</v>
      </c>
      <c r="R74" s="15" t="str">
        <f>'2021'!R28</f>
        <v>Szo</v>
      </c>
      <c r="S74" s="15" t="str">
        <f>'2021'!S28</f>
        <v>V</v>
      </c>
      <c r="T74" s="15" t="str">
        <f>'2021'!T28</f>
        <v>H</v>
      </c>
      <c r="U74" s="15" t="str">
        <f>'2021'!U28</f>
        <v>K</v>
      </c>
      <c r="V74" s="15" t="str">
        <f>'2021'!V28</f>
        <v>Sze</v>
      </c>
      <c r="W74" s="15" t="str">
        <f>'2021'!W28</f>
        <v>Cs</v>
      </c>
      <c r="X74" s="15" t="str">
        <f>'2021'!X28</f>
        <v>P</v>
      </c>
      <c r="Y74" s="15" t="str">
        <f>'2021'!Y28</f>
        <v>Szo</v>
      </c>
      <c r="Z74" s="15" t="str">
        <f>'2021'!Z28</f>
        <v>V</v>
      </c>
      <c r="AA74" s="15" t="str">
        <f>'2021'!AA28</f>
        <v>H</v>
      </c>
      <c r="AB74" s="15" t="str">
        <f>'2021'!AB28</f>
        <v>K</v>
      </c>
      <c r="AC74" s="15" t="str">
        <f>'2021'!AC28</f>
        <v>Sze</v>
      </c>
      <c r="AD74" s="15" t="str">
        <f>'2021'!AD28</f>
        <v>Cs</v>
      </c>
      <c r="AE74" s="15" t="str">
        <f>'2021'!AE28</f>
        <v>P</v>
      </c>
      <c r="AF74" s="6"/>
      <c r="AH74" s="60"/>
      <c r="AI74" s="60"/>
    </row>
    <row r="75" spans="1:35" ht="20.100000000000001" customHeight="1">
      <c r="A75" s="56"/>
      <c r="B75" s="15" t="str">
        <f>'2021'!B30</f>
        <v>X</v>
      </c>
      <c r="C75" s="15" t="str">
        <f>'2021'!C30</f>
        <v>X</v>
      </c>
      <c r="D75" s="15">
        <f>'2021'!D30</f>
        <v>3</v>
      </c>
      <c r="E75" s="15">
        <f>'2021'!E30</f>
        <v>3</v>
      </c>
      <c r="F75" s="15">
        <f>'2021'!F30</f>
        <v>3</v>
      </c>
      <c r="G75" s="15">
        <f>'2021'!G30</f>
        <v>3</v>
      </c>
      <c r="H75" s="15">
        <f>'2021'!H30</f>
        <v>3</v>
      </c>
      <c r="I75" s="15">
        <f>'2021'!I30</f>
        <v>3</v>
      </c>
      <c r="J75" s="15" t="str">
        <f>'2021'!J30</f>
        <v>X</v>
      </c>
      <c r="K75" s="15" t="str">
        <f>'2021'!K30</f>
        <v>X</v>
      </c>
      <c r="L75" s="15">
        <f>'2021'!L30</f>
        <v>2</v>
      </c>
      <c r="M75" s="15">
        <f>'2021'!M30</f>
        <v>2</v>
      </c>
      <c r="N75" s="15">
        <f>'2021'!N30</f>
        <v>2</v>
      </c>
      <c r="O75" s="15">
        <f>'2021'!O30</f>
        <v>2</v>
      </c>
      <c r="P75" s="15">
        <f>'2021'!P30</f>
        <v>2</v>
      </c>
      <c r="Q75" s="15">
        <f>'2021'!Q30</f>
        <v>2</v>
      </c>
      <c r="R75" s="15" t="str">
        <f>'2021'!R30</f>
        <v>X</v>
      </c>
      <c r="S75" s="15" t="str">
        <f>'2021'!S30</f>
        <v>X</v>
      </c>
      <c r="T75" s="15">
        <f>'2021'!T30</f>
        <v>1</v>
      </c>
      <c r="U75" s="15">
        <f>'2021'!U30</f>
        <v>1</v>
      </c>
      <c r="V75" s="15">
        <f>'2021'!V30</f>
        <v>1</v>
      </c>
      <c r="W75" s="15">
        <f>'2021'!W30</f>
        <v>1</v>
      </c>
      <c r="X75" s="15">
        <f>'2021'!X30</f>
        <v>1</v>
      </c>
      <c r="Y75" s="15">
        <f>'2021'!Y30</f>
        <v>1</v>
      </c>
      <c r="Z75" s="15" t="str">
        <f>'2021'!Z30</f>
        <v>X</v>
      </c>
      <c r="AA75" s="15" t="str">
        <f>'2021'!AA30</f>
        <v>X</v>
      </c>
      <c r="AB75" s="15">
        <f>'2021'!AB30</f>
        <v>3</v>
      </c>
      <c r="AC75" s="15">
        <f>'2021'!AC30</f>
        <v>3</v>
      </c>
      <c r="AD75" s="15">
        <f>'2021'!AD30</f>
        <v>3</v>
      </c>
      <c r="AE75" s="15">
        <f>'2021'!AE30</f>
        <v>3</v>
      </c>
      <c r="AF75" s="6"/>
      <c r="AH75" s="60"/>
      <c r="AI75" s="60"/>
    </row>
    <row r="76" spans="1:35" ht="20.100000000000001" customHeight="1">
      <c r="A76" s="24" t="str">
        <f>ÖSSZES!$A$26</f>
        <v>Katona László</v>
      </c>
      <c r="B76" s="39" t="s">
        <v>2</v>
      </c>
      <c r="C76" s="39" t="s">
        <v>2</v>
      </c>
      <c r="D76" s="39"/>
      <c r="E76" s="39"/>
      <c r="F76" s="39"/>
      <c r="G76" s="39"/>
      <c r="H76" s="39"/>
      <c r="I76" s="39"/>
      <c r="J76" s="39" t="s">
        <v>2</v>
      </c>
      <c r="K76" s="39" t="s">
        <v>2</v>
      </c>
      <c r="L76" s="39"/>
      <c r="M76" s="39"/>
      <c r="N76" s="39"/>
      <c r="O76" s="39"/>
      <c r="P76" s="39"/>
      <c r="Q76" s="39"/>
      <c r="R76" s="39" t="s">
        <v>2</v>
      </c>
      <c r="S76" s="39" t="s">
        <v>2</v>
      </c>
      <c r="T76" s="39"/>
      <c r="U76" s="39"/>
      <c r="V76" s="39"/>
      <c r="W76" s="39"/>
      <c r="X76" s="39"/>
      <c r="Y76" s="39"/>
      <c r="Z76" s="39" t="s">
        <v>2</v>
      </c>
      <c r="AA76" s="39" t="s">
        <v>2</v>
      </c>
      <c r="AB76" s="39"/>
      <c r="AC76" s="39"/>
      <c r="AD76" s="39"/>
      <c r="AE76" s="39"/>
      <c r="AF76" s="6"/>
      <c r="AH76" s="20">
        <f>1*COUNTIF(A76:AF76,"+")</f>
        <v>0</v>
      </c>
      <c r="AI76" s="20">
        <f t="shared" ref="AI76" si="8">1*COUNTIF(B76:AF76,"szf")</f>
        <v>0</v>
      </c>
    </row>
    <row r="77" spans="1:35" ht="20.100000000000001" customHeight="1">
      <c r="A77" s="24" t="str">
        <f>ÖSSZES!$A$27</f>
        <v>Fényi László</v>
      </c>
      <c r="B77" s="39" t="s">
        <v>2</v>
      </c>
      <c r="C77" s="39" t="s">
        <v>2</v>
      </c>
      <c r="D77" s="39"/>
      <c r="E77" s="39"/>
      <c r="F77" s="39"/>
      <c r="G77" s="39"/>
      <c r="H77" s="39"/>
      <c r="I77" s="39"/>
      <c r="J77" s="39" t="s">
        <v>2</v>
      </c>
      <c r="K77" s="39" t="s">
        <v>2</v>
      </c>
      <c r="L77" s="39"/>
      <c r="M77" s="39"/>
      <c r="N77" s="39"/>
      <c r="O77" s="39"/>
      <c r="P77" s="39"/>
      <c r="Q77" s="39"/>
      <c r="R77" s="39" t="s">
        <v>2</v>
      </c>
      <c r="S77" s="39" t="s">
        <v>2</v>
      </c>
      <c r="T77" s="39"/>
      <c r="U77" s="39"/>
      <c r="V77" s="39"/>
      <c r="W77" s="39"/>
      <c r="X77" s="39"/>
      <c r="Y77" s="39"/>
      <c r="Z77" s="39" t="s">
        <v>2</v>
      </c>
      <c r="AA77" s="39" t="s">
        <v>2</v>
      </c>
      <c r="AB77" s="39"/>
      <c r="AC77" s="39"/>
      <c r="AD77" s="39"/>
      <c r="AE77" s="39"/>
      <c r="AF77" s="6"/>
      <c r="AH77" s="20">
        <f t="shared" ref="AH77:AH95" si="9">1*COUNTIF(A77:AF77,"+")</f>
        <v>0</v>
      </c>
      <c r="AI77" s="20">
        <f t="shared" ref="AI77:AI95" si="10">1*COUNTIF(B77:AF77,"szf")</f>
        <v>0</v>
      </c>
    </row>
    <row r="78" spans="1:35" ht="20.100000000000001" customHeight="1">
      <c r="A78" s="24" t="str">
        <f>ÖSSZES!$A$28</f>
        <v>Habara Gábor</v>
      </c>
      <c r="B78" s="39" t="s">
        <v>2</v>
      </c>
      <c r="C78" s="39" t="s">
        <v>2</v>
      </c>
      <c r="D78" s="39"/>
      <c r="E78" s="39"/>
      <c r="F78" s="39"/>
      <c r="G78" s="39"/>
      <c r="H78" s="39"/>
      <c r="I78" s="39"/>
      <c r="J78" s="39" t="s">
        <v>2</v>
      </c>
      <c r="K78" s="39" t="s">
        <v>2</v>
      </c>
      <c r="L78" s="39"/>
      <c r="M78" s="39"/>
      <c r="N78" s="39"/>
      <c r="O78" s="39"/>
      <c r="P78" s="39"/>
      <c r="Q78" s="39"/>
      <c r="R78" s="39" t="s">
        <v>2</v>
      </c>
      <c r="S78" s="39" t="s">
        <v>2</v>
      </c>
      <c r="T78" s="39"/>
      <c r="U78" s="39"/>
      <c r="V78" s="39"/>
      <c r="W78" s="39"/>
      <c r="X78" s="39"/>
      <c r="Y78" s="39"/>
      <c r="Z78" s="39" t="s">
        <v>2</v>
      </c>
      <c r="AA78" s="39" t="s">
        <v>2</v>
      </c>
      <c r="AB78" s="39"/>
      <c r="AC78" s="39"/>
      <c r="AD78" s="39"/>
      <c r="AE78" s="39"/>
      <c r="AF78" s="6"/>
      <c r="AH78" s="20">
        <f t="shared" si="9"/>
        <v>0</v>
      </c>
      <c r="AI78" s="20">
        <f t="shared" si="10"/>
        <v>0</v>
      </c>
    </row>
    <row r="79" spans="1:35" ht="20.100000000000001" customHeight="1">
      <c r="A79" s="24" t="str">
        <f>ÖSSZES!$A$29</f>
        <v>Holba Imre</v>
      </c>
      <c r="B79" s="39" t="s">
        <v>2</v>
      </c>
      <c r="C79" s="39" t="s">
        <v>2</v>
      </c>
      <c r="D79" s="39"/>
      <c r="E79" s="39"/>
      <c r="F79" s="39"/>
      <c r="G79" s="39"/>
      <c r="H79" s="39"/>
      <c r="I79" s="39"/>
      <c r="J79" s="39" t="s">
        <v>2</v>
      </c>
      <c r="K79" s="39" t="s">
        <v>2</v>
      </c>
      <c r="L79" s="39"/>
      <c r="M79" s="39"/>
      <c r="N79" s="39"/>
      <c r="O79" s="39"/>
      <c r="P79" s="39"/>
      <c r="Q79" s="39"/>
      <c r="R79" s="39" t="s">
        <v>2</v>
      </c>
      <c r="S79" s="39" t="s">
        <v>2</v>
      </c>
      <c r="T79" s="39"/>
      <c r="U79" s="39"/>
      <c r="V79" s="39"/>
      <c r="W79" s="39"/>
      <c r="X79" s="39"/>
      <c r="Y79" s="39"/>
      <c r="Z79" s="39" t="s">
        <v>2</v>
      </c>
      <c r="AA79" s="39" t="s">
        <v>2</v>
      </c>
      <c r="AB79" s="39"/>
      <c r="AC79" s="39"/>
      <c r="AD79" s="39"/>
      <c r="AE79" s="39"/>
      <c r="AF79" s="6"/>
      <c r="AH79" s="20">
        <f t="shared" si="9"/>
        <v>0</v>
      </c>
      <c r="AI79" s="20">
        <f t="shared" si="10"/>
        <v>0</v>
      </c>
    </row>
    <row r="80" spans="1:35" ht="20.100000000000001" customHeight="1">
      <c r="A80" s="24" t="str">
        <f>ÖSSZES!$A$30</f>
        <v>Király Bálint Donát</v>
      </c>
      <c r="B80" s="39" t="s">
        <v>2</v>
      </c>
      <c r="C80" s="39" t="s">
        <v>2</v>
      </c>
      <c r="D80" s="39"/>
      <c r="E80" s="39"/>
      <c r="F80" s="39"/>
      <c r="G80" s="39"/>
      <c r="H80" s="39"/>
      <c r="I80" s="39"/>
      <c r="J80" s="39" t="s">
        <v>2</v>
      </c>
      <c r="K80" s="39" t="s">
        <v>2</v>
      </c>
      <c r="L80" s="39"/>
      <c r="M80" s="39"/>
      <c r="N80" s="39"/>
      <c r="O80" s="39"/>
      <c r="P80" s="39"/>
      <c r="Q80" s="39"/>
      <c r="R80" s="39" t="s">
        <v>2</v>
      </c>
      <c r="S80" s="39" t="s">
        <v>2</v>
      </c>
      <c r="T80" s="39"/>
      <c r="U80" s="39"/>
      <c r="V80" s="39"/>
      <c r="W80" s="39"/>
      <c r="X80" s="39"/>
      <c r="Y80" s="39"/>
      <c r="Z80" s="39" t="s">
        <v>2</v>
      </c>
      <c r="AA80" s="39" t="s">
        <v>2</v>
      </c>
      <c r="AB80" s="39"/>
      <c r="AC80" s="39"/>
      <c r="AD80" s="39"/>
      <c r="AE80" s="39"/>
      <c r="AF80" s="6"/>
      <c r="AH80" s="20">
        <f t="shared" si="9"/>
        <v>0</v>
      </c>
      <c r="AI80" s="20">
        <f t="shared" si="10"/>
        <v>0</v>
      </c>
    </row>
    <row r="81" spans="1:35" ht="20.100000000000001" customHeight="1">
      <c r="A81" s="24" t="str">
        <f>ÖSSZES!$A$31</f>
        <v>Kiss János Tamás</v>
      </c>
      <c r="B81" s="39" t="s">
        <v>2</v>
      </c>
      <c r="C81" s="39" t="s">
        <v>2</v>
      </c>
      <c r="D81" s="39"/>
      <c r="E81" s="39"/>
      <c r="F81" s="39"/>
      <c r="G81" s="39"/>
      <c r="H81" s="39"/>
      <c r="I81" s="39"/>
      <c r="J81" s="39" t="s">
        <v>2</v>
      </c>
      <c r="K81" s="39" t="s">
        <v>2</v>
      </c>
      <c r="L81" s="39"/>
      <c r="M81" s="39"/>
      <c r="N81" s="39"/>
      <c r="O81" s="39"/>
      <c r="P81" s="39"/>
      <c r="Q81" s="39"/>
      <c r="R81" s="39" t="s">
        <v>2</v>
      </c>
      <c r="S81" s="39" t="s">
        <v>2</v>
      </c>
      <c r="T81" s="39"/>
      <c r="U81" s="39"/>
      <c r="V81" s="39"/>
      <c r="W81" s="39"/>
      <c r="X81" s="39"/>
      <c r="Y81" s="39"/>
      <c r="Z81" s="39" t="s">
        <v>2</v>
      </c>
      <c r="AA81" s="39" t="s">
        <v>2</v>
      </c>
      <c r="AB81" s="39"/>
      <c r="AC81" s="39"/>
      <c r="AD81" s="39"/>
      <c r="AE81" s="39"/>
      <c r="AF81" s="6"/>
      <c r="AH81" s="20">
        <f t="shared" si="9"/>
        <v>0</v>
      </c>
      <c r="AI81" s="20">
        <f t="shared" si="10"/>
        <v>0</v>
      </c>
    </row>
    <row r="82" spans="1:35" ht="20.100000000000001" customHeight="1">
      <c r="A82" s="24" t="str">
        <f>ÖSSZES!$A$32</f>
        <v>Mezei Lajos</v>
      </c>
      <c r="B82" s="39" t="s">
        <v>2</v>
      </c>
      <c r="C82" s="39" t="s">
        <v>2</v>
      </c>
      <c r="D82" s="39"/>
      <c r="E82" s="39"/>
      <c r="F82" s="39"/>
      <c r="G82" s="39"/>
      <c r="H82" s="39"/>
      <c r="I82" s="39"/>
      <c r="J82" s="39" t="s">
        <v>2</v>
      </c>
      <c r="K82" s="39" t="s">
        <v>2</v>
      </c>
      <c r="L82" s="39"/>
      <c r="M82" s="39"/>
      <c r="N82" s="39"/>
      <c r="O82" s="39"/>
      <c r="P82" s="39"/>
      <c r="Q82" s="39"/>
      <c r="R82" s="39" t="s">
        <v>2</v>
      </c>
      <c r="S82" s="39" t="s">
        <v>2</v>
      </c>
      <c r="T82" s="39"/>
      <c r="U82" s="39"/>
      <c r="V82" s="39"/>
      <c r="W82" s="39"/>
      <c r="X82" s="39"/>
      <c r="Y82" s="39"/>
      <c r="Z82" s="39" t="s">
        <v>2</v>
      </c>
      <c r="AA82" s="39" t="s">
        <v>2</v>
      </c>
      <c r="AB82" s="39"/>
      <c r="AC82" s="39"/>
      <c r="AD82" s="39"/>
      <c r="AE82" s="39"/>
      <c r="AF82" s="6"/>
      <c r="AH82" s="20">
        <f t="shared" si="9"/>
        <v>0</v>
      </c>
      <c r="AI82" s="20">
        <f t="shared" si="10"/>
        <v>0</v>
      </c>
    </row>
    <row r="83" spans="1:35" ht="20.100000000000001" hidden="1" customHeight="1">
      <c r="A83" s="24" t="str">
        <f>ÖSSZES!$A$33</f>
        <v>Név8</v>
      </c>
      <c r="B83" s="39" t="s">
        <v>2</v>
      </c>
      <c r="C83" s="39" t="s">
        <v>2</v>
      </c>
      <c r="D83" s="39"/>
      <c r="E83" s="39"/>
      <c r="F83" s="39"/>
      <c r="G83" s="39"/>
      <c r="H83" s="39"/>
      <c r="I83" s="39"/>
      <c r="J83" s="39" t="s">
        <v>2</v>
      </c>
      <c r="K83" s="39" t="s">
        <v>2</v>
      </c>
      <c r="L83" s="39"/>
      <c r="M83" s="39"/>
      <c r="N83" s="39"/>
      <c r="O83" s="39"/>
      <c r="P83" s="39"/>
      <c r="Q83" s="39"/>
      <c r="R83" s="39" t="s">
        <v>2</v>
      </c>
      <c r="S83" s="39" t="s">
        <v>2</v>
      </c>
      <c r="T83" s="39"/>
      <c r="U83" s="39"/>
      <c r="V83" s="39"/>
      <c r="W83" s="39"/>
      <c r="X83" s="39"/>
      <c r="Y83" s="39"/>
      <c r="Z83" s="39" t="s">
        <v>2</v>
      </c>
      <c r="AA83" s="39" t="s">
        <v>2</v>
      </c>
      <c r="AB83" s="39"/>
      <c r="AC83" s="39"/>
      <c r="AD83" s="39"/>
      <c r="AE83" s="39"/>
      <c r="AF83" s="6"/>
      <c r="AH83" s="20">
        <f t="shared" si="9"/>
        <v>0</v>
      </c>
      <c r="AI83" s="20">
        <f t="shared" si="10"/>
        <v>0</v>
      </c>
    </row>
    <row r="84" spans="1:35" ht="20.100000000000001" hidden="1" customHeight="1">
      <c r="A84" s="24" t="str">
        <f>ÖSSZES!$A$34</f>
        <v>Név9</v>
      </c>
      <c r="B84" s="39" t="s">
        <v>2</v>
      </c>
      <c r="C84" s="39" t="s">
        <v>2</v>
      </c>
      <c r="D84" s="39"/>
      <c r="E84" s="39"/>
      <c r="F84" s="39"/>
      <c r="G84" s="39"/>
      <c r="H84" s="39"/>
      <c r="I84" s="39"/>
      <c r="J84" s="39" t="s">
        <v>2</v>
      </c>
      <c r="K84" s="39" t="s">
        <v>2</v>
      </c>
      <c r="L84" s="39"/>
      <c r="M84" s="39"/>
      <c r="N84" s="39"/>
      <c r="O84" s="39"/>
      <c r="P84" s="39"/>
      <c r="Q84" s="39"/>
      <c r="R84" s="39" t="s">
        <v>2</v>
      </c>
      <c r="S84" s="39" t="s">
        <v>2</v>
      </c>
      <c r="T84" s="39"/>
      <c r="U84" s="39"/>
      <c r="V84" s="39"/>
      <c r="W84" s="39"/>
      <c r="X84" s="39"/>
      <c r="Y84" s="39"/>
      <c r="Z84" s="39" t="s">
        <v>2</v>
      </c>
      <c r="AA84" s="39" t="s">
        <v>2</v>
      </c>
      <c r="AB84" s="39"/>
      <c r="AC84" s="39"/>
      <c r="AD84" s="39"/>
      <c r="AE84" s="39"/>
      <c r="AF84" s="6"/>
      <c r="AH84" s="20">
        <f t="shared" si="9"/>
        <v>0</v>
      </c>
      <c r="AI84" s="20">
        <f t="shared" si="10"/>
        <v>0</v>
      </c>
    </row>
    <row r="85" spans="1:35" ht="20.100000000000001" hidden="1" customHeight="1">
      <c r="A85" s="24" t="str">
        <f>ÖSSZES!$A$35</f>
        <v>Név10</v>
      </c>
      <c r="B85" s="39" t="s">
        <v>2</v>
      </c>
      <c r="C85" s="39" t="s">
        <v>2</v>
      </c>
      <c r="D85" s="39"/>
      <c r="E85" s="39"/>
      <c r="F85" s="39"/>
      <c r="G85" s="39"/>
      <c r="H85" s="39"/>
      <c r="I85" s="39"/>
      <c r="J85" s="39" t="s">
        <v>2</v>
      </c>
      <c r="K85" s="39" t="s">
        <v>2</v>
      </c>
      <c r="L85" s="39"/>
      <c r="M85" s="39"/>
      <c r="N85" s="39"/>
      <c r="O85" s="39"/>
      <c r="P85" s="39"/>
      <c r="Q85" s="39"/>
      <c r="R85" s="39" t="s">
        <v>2</v>
      </c>
      <c r="S85" s="39" t="s">
        <v>2</v>
      </c>
      <c r="T85" s="39"/>
      <c r="U85" s="39"/>
      <c r="V85" s="39"/>
      <c r="W85" s="39"/>
      <c r="X85" s="39"/>
      <c r="Y85" s="39"/>
      <c r="Z85" s="39" t="s">
        <v>2</v>
      </c>
      <c r="AA85" s="39" t="s">
        <v>2</v>
      </c>
      <c r="AB85" s="39"/>
      <c r="AC85" s="39"/>
      <c r="AD85" s="39"/>
      <c r="AE85" s="39"/>
      <c r="AF85" s="6"/>
      <c r="AH85" s="20">
        <f t="shared" si="9"/>
        <v>0</v>
      </c>
      <c r="AI85" s="20">
        <f t="shared" si="10"/>
        <v>0</v>
      </c>
    </row>
    <row r="86" spans="1:35" ht="20.100000000000001" hidden="1" customHeight="1">
      <c r="A86" s="24" t="str">
        <f>ÖSSZES!$A$36</f>
        <v>Név11</v>
      </c>
      <c r="B86" s="39" t="s">
        <v>2</v>
      </c>
      <c r="C86" s="39" t="s">
        <v>2</v>
      </c>
      <c r="D86" s="39"/>
      <c r="E86" s="39"/>
      <c r="F86" s="39"/>
      <c r="G86" s="39"/>
      <c r="H86" s="39"/>
      <c r="I86" s="39"/>
      <c r="J86" s="39" t="s">
        <v>2</v>
      </c>
      <c r="K86" s="39" t="s">
        <v>2</v>
      </c>
      <c r="L86" s="39"/>
      <c r="M86" s="39"/>
      <c r="N86" s="39"/>
      <c r="O86" s="39"/>
      <c r="P86" s="39"/>
      <c r="Q86" s="39"/>
      <c r="R86" s="39" t="s">
        <v>2</v>
      </c>
      <c r="S86" s="39" t="s">
        <v>2</v>
      </c>
      <c r="T86" s="39"/>
      <c r="U86" s="39"/>
      <c r="V86" s="39"/>
      <c r="W86" s="39"/>
      <c r="X86" s="39"/>
      <c r="Y86" s="39"/>
      <c r="Z86" s="39" t="s">
        <v>2</v>
      </c>
      <c r="AA86" s="39" t="s">
        <v>2</v>
      </c>
      <c r="AB86" s="39"/>
      <c r="AC86" s="39"/>
      <c r="AD86" s="39"/>
      <c r="AE86" s="39"/>
      <c r="AF86" s="6"/>
      <c r="AH86" s="20">
        <f t="shared" si="9"/>
        <v>0</v>
      </c>
      <c r="AI86" s="20">
        <f t="shared" si="10"/>
        <v>0</v>
      </c>
    </row>
    <row r="87" spans="1:35" ht="20.100000000000001" hidden="1" customHeight="1">
      <c r="A87" s="24" t="str">
        <f>ÖSSZES!$A$37</f>
        <v>Név12</v>
      </c>
      <c r="B87" s="39" t="s">
        <v>2</v>
      </c>
      <c r="C87" s="39" t="s">
        <v>2</v>
      </c>
      <c r="D87" s="39"/>
      <c r="E87" s="39"/>
      <c r="F87" s="39"/>
      <c r="G87" s="39"/>
      <c r="H87" s="39"/>
      <c r="I87" s="39"/>
      <c r="J87" s="39" t="s">
        <v>2</v>
      </c>
      <c r="K87" s="39" t="s">
        <v>2</v>
      </c>
      <c r="L87" s="39"/>
      <c r="M87" s="39"/>
      <c r="N87" s="39"/>
      <c r="O87" s="39"/>
      <c r="P87" s="39"/>
      <c r="Q87" s="39"/>
      <c r="R87" s="39" t="s">
        <v>2</v>
      </c>
      <c r="S87" s="39" t="s">
        <v>2</v>
      </c>
      <c r="T87" s="39"/>
      <c r="U87" s="39"/>
      <c r="V87" s="39"/>
      <c r="W87" s="39"/>
      <c r="X87" s="39"/>
      <c r="Y87" s="39"/>
      <c r="Z87" s="39" t="s">
        <v>2</v>
      </c>
      <c r="AA87" s="39" t="s">
        <v>2</v>
      </c>
      <c r="AB87" s="39"/>
      <c r="AC87" s="39"/>
      <c r="AD87" s="39"/>
      <c r="AE87" s="39"/>
      <c r="AF87" s="6"/>
      <c r="AH87" s="20">
        <f t="shared" si="9"/>
        <v>0</v>
      </c>
      <c r="AI87" s="20">
        <f t="shared" si="10"/>
        <v>0</v>
      </c>
    </row>
    <row r="88" spans="1:35" ht="20.100000000000001" hidden="1" customHeight="1">
      <c r="A88" s="24" t="str">
        <f>ÖSSZES!$A$38</f>
        <v>Név13</v>
      </c>
      <c r="B88" s="39" t="s">
        <v>2</v>
      </c>
      <c r="C88" s="39" t="s">
        <v>2</v>
      </c>
      <c r="D88" s="39"/>
      <c r="E88" s="39"/>
      <c r="F88" s="39"/>
      <c r="G88" s="39"/>
      <c r="H88" s="39"/>
      <c r="I88" s="39"/>
      <c r="J88" s="39" t="s">
        <v>2</v>
      </c>
      <c r="K88" s="39" t="s">
        <v>2</v>
      </c>
      <c r="L88" s="39"/>
      <c r="M88" s="39"/>
      <c r="N88" s="39"/>
      <c r="O88" s="39"/>
      <c r="P88" s="39"/>
      <c r="Q88" s="39"/>
      <c r="R88" s="39" t="s">
        <v>2</v>
      </c>
      <c r="S88" s="39" t="s">
        <v>2</v>
      </c>
      <c r="T88" s="39"/>
      <c r="U88" s="39"/>
      <c r="V88" s="39"/>
      <c r="W88" s="39"/>
      <c r="X88" s="39"/>
      <c r="Y88" s="39"/>
      <c r="Z88" s="39" t="s">
        <v>2</v>
      </c>
      <c r="AA88" s="39" t="s">
        <v>2</v>
      </c>
      <c r="AB88" s="39"/>
      <c r="AC88" s="39"/>
      <c r="AD88" s="39"/>
      <c r="AE88" s="39"/>
      <c r="AF88" s="6"/>
      <c r="AH88" s="20">
        <f t="shared" si="9"/>
        <v>0</v>
      </c>
      <c r="AI88" s="20">
        <f t="shared" si="10"/>
        <v>0</v>
      </c>
    </row>
    <row r="89" spans="1:35" ht="20.100000000000001" hidden="1" customHeight="1">
      <c r="A89" s="24" t="str">
        <f>ÖSSZES!$A$39</f>
        <v>Név14</v>
      </c>
      <c r="B89" s="39" t="s">
        <v>2</v>
      </c>
      <c r="C89" s="39" t="s">
        <v>2</v>
      </c>
      <c r="D89" s="39"/>
      <c r="E89" s="39"/>
      <c r="F89" s="39"/>
      <c r="G89" s="39"/>
      <c r="H89" s="39"/>
      <c r="I89" s="39"/>
      <c r="J89" s="39" t="s">
        <v>2</v>
      </c>
      <c r="K89" s="39" t="s">
        <v>2</v>
      </c>
      <c r="L89" s="39"/>
      <c r="M89" s="39"/>
      <c r="N89" s="39"/>
      <c r="O89" s="39"/>
      <c r="P89" s="39"/>
      <c r="Q89" s="39"/>
      <c r="R89" s="39" t="s">
        <v>2</v>
      </c>
      <c r="S89" s="39" t="s">
        <v>2</v>
      </c>
      <c r="T89" s="39"/>
      <c r="U89" s="39"/>
      <c r="V89" s="39"/>
      <c r="W89" s="39"/>
      <c r="X89" s="39"/>
      <c r="Y89" s="39"/>
      <c r="Z89" s="39" t="s">
        <v>2</v>
      </c>
      <c r="AA89" s="39" t="s">
        <v>2</v>
      </c>
      <c r="AB89" s="39"/>
      <c r="AC89" s="39"/>
      <c r="AD89" s="39"/>
      <c r="AE89" s="39"/>
      <c r="AF89" s="6"/>
      <c r="AH89" s="20">
        <f t="shared" si="9"/>
        <v>0</v>
      </c>
      <c r="AI89" s="20">
        <f t="shared" si="10"/>
        <v>0</v>
      </c>
    </row>
    <row r="90" spans="1:35" ht="20.100000000000001" hidden="1" customHeight="1">
      <c r="A90" s="24" t="str">
        <f>ÖSSZES!$A$40</f>
        <v>Név15</v>
      </c>
      <c r="B90" s="39" t="s">
        <v>2</v>
      </c>
      <c r="C90" s="39" t="s">
        <v>2</v>
      </c>
      <c r="D90" s="39"/>
      <c r="E90" s="39"/>
      <c r="F90" s="39"/>
      <c r="G90" s="39"/>
      <c r="H90" s="39"/>
      <c r="I90" s="39"/>
      <c r="J90" s="39" t="s">
        <v>2</v>
      </c>
      <c r="K90" s="39" t="s">
        <v>2</v>
      </c>
      <c r="L90" s="39"/>
      <c r="M90" s="39"/>
      <c r="N90" s="39"/>
      <c r="O90" s="39"/>
      <c r="P90" s="39"/>
      <c r="Q90" s="39"/>
      <c r="R90" s="39" t="s">
        <v>2</v>
      </c>
      <c r="S90" s="39" t="s">
        <v>2</v>
      </c>
      <c r="T90" s="39"/>
      <c r="U90" s="39"/>
      <c r="V90" s="39"/>
      <c r="W90" s="39"/>
      <c r="X90" s="39"/>
      <c r="Y90" s="39"/>
      <c r="Z90" s="39" t="s">
        <v>2</v>
      </c>
      <c r="AA90" s="39" t="s">
        <v>2</v>
      </c>
      <c r="AB90" s="39"/>
      <c r="AC90" s="39"/>
      <c r="AD90" s="39"/>
      <c r="AE90" s="39"/>
      <c r="AF90" s="6"/>
      <c r="AH90" s="20">
        <f t="shared" si="9"/>
        <v>0</v>
      </c>
      <c r="AI90" s="20">
        <f t="shared" si="10"/>
        <v>0</v>
      </c>
    </row>
    <row r="91" spans="1:35" ht="20.100000000000001" hidden="1" customHeight="1">
      <c r="A91" s="24" t="str">
        <f>ÖSSZES!$A$41</f>
        <v>Név16</v>
      </c>
      <c r="B91" s="39" t="s">
        <v>2</v>
      </c>
      <c r="C91" s="39" t="s">
        <v>2</v>
      </c>
      <c r="D91" s="39"/>
      <c r="E91" s="39"/>
      <c r="F91" s="39"/>
      <c r="G91" s="39"/>
      <c r="H91" s="39"/>
      <c r="I91" s="39"/>
      <c r="J91" s="39" t="s">
        <v>2</v>
      </c>
      <c r="K91" s="39" t="s">
        <v>2</v>
      </c>
      <c r="L91" s="39"/>
      <c r="M91" s="39"/>
      <c r="N91" s="39"/>
      <c r="O91" s="39"/>
      <c r="P91" s="39"/>
      <c r="Q91" s="39"/>
      <c r="R91" s="39" t="s">
        <v>2</v>
      </c>
      <c r="S91" s="39" t="s">
        <v>2</v>
      </c>
      <c r="T91" s="39"/>
      <c r="U91" s="39"/>
      <c r="V91" s="39"/>
      <c r="W91" s="39"/>
      <c r="X91" s="39"/>
      <c r="Y91" s="39"/>
      <c r="Z91" s="39" t="s">
        <v>2</v>
      </c>
      <c r="AA91" s="39" t="s">
        <v>2</v>
      </c>
      <c r="AB91" s="39"/>
      <c r="AC91" s="39"/>
      <c r="AD91" s="39"/>
      <c r="AE91" s="39"/>
      <c r="AF91" s="6"/>
      <c r="AH91" s="20">
        <f t="shared" si="9"/>
        <v>0</v>
      </c>
      <c r="AI91" s="20">
        <f t="shared" si="10"/>
        <v>0</v>
      </c>
    </row>
    <row r="92" spans="1:35" ht="20.100000000000001" hidden="1" customHeight="1">
      <c r="A92" s="24" t="str">
        <f>ÖSSZES!$A$42</f>
        <v>Név17</v>
      </c>
      <c r="B92" s="39" t="s">
        <v>2</v>
      </c>
      <c r="C92" s="39" t="s">
        <v>2</v>
      </c>
      <c r="D92" s="39"/>
      <c r="E92" s="39"/>
      <c r="F92" s="39"/>
      <c r="G92" s="39"/>
      <c r="H92" s="39"/>
      <c r="I92" s="39"/>
      <c r="J92" s="39" t="s">
        <v>2</v>
      </c>
      <c r="K92" s="39" t="s">
        <v>2</v>
      </c>
      <c r="L92" s="39"/>
      <c r="M92" s="39"/>
      <c r="N92" s="39"/>
      <c r="O92" s="39"/>
      <c r="P92" s="39"/>
      <c r="Q92" s="39"/>
      <c r="R92" s="39" t="s">
        <v>2</v>
      </c>
      <c r="S92" s="39" t="s">
        <v>2</v>
      </c>
      <c r="T92" s="39"/>
      <c r="U92" s="39"/>
      <c r="V92" s="39"/>
      <c r="W92" s="39"/>
      <c r="X92" s="39"/>
      <c r="Y92" s="39"/>
      <c r="Z92" s="39" t="s">
        <v>2</v>
      </c>
      <c r="AA92" s="39" t="s">
        <v>2</v>
      </c>
      <c r="AB92" s="39"/>
      <c r="AC92" s="39"/>
      <c r="AD92" s="39"/>
      <c r="AE92" s="39"/>
      <c r="AF92" s="6"/>
      <c r="AH92" s="20">
        <f t="shared" si="9"/>
        <v>0</v>
      </c>
      <c r="AI92" s="20">
        <f t="shared" si="10"/>
        <v>0</v>
      </c>
    </row>
    <row r="93" spans="1:35" ht="20.100000000000001" hidden="1" customHeight="1">
      <c r="A93" s="24" t="str">
        <f>ÖSSZES!$A$43</f>
        <v>Név18</v>
      </c>
      <c r="B93" s="39" t="s">
        <v>2</v>
      </c>
      <c r="C93" s="39" t="s">
        <v>2</v>
      </c>
      <c r="D93" s="39"/>
      <c r="E93" s="39"/>
      <c r="F93" s="39"/>
      <c r="G93" s="39"/>
      <c r="H93" s="39"/>
      <c r="I93" s="39"/>
      <c r="J93" s="39" t="s">
        <v>2</v>
      </c>
      <c r="K93" s="39" t="s">
        <v>2</v>
      </c>
      <c r="L93" s="39"/>
      <c r="M93" s="39"/>
      <c r="N93" s="39"/>
      <c r="O93" s="39"/>
      <c r="P93" s="39"/>
      <c r="Q93" s="39"/>
      <c r="R93" s="39" t="s">
        <v>2</v>
      </c>
      <c r="S93" s="39" t="s">
        <v>2</v>
      </c>
      <c r="T93" s="39"/>
      <c r="U93" s="39"/>
      <c r="V93" s="39"/>
      <c r="W93" s="39"/>
      <c r="X93" s="39"/>
      <c r="Y93" s="39"/>
      <c r="Z93" s="39" t="s">
        <v>2</v>
      </c>
      <c r="AA93" s="39" t="s">
        <v>2</v>
      </c>
      <c r="AB93" s="39"/>
      <c r="AC93" s="39"/>
      <c r="AD93" s="39"/>
      <c r="AE93" s="39"/>
      <c r="AF93" s="6"/>
      <c r="AH93" s="20">
        <f t="shared" si="9"/>
        <v>0</v>
      </c>
      <c r="AI93" s="20">
        <f t="shared" si="10"/>
        <v>0</v>
      </c>
    </row>
    <row r="94" spans="1:35" ht="20.100000000000001" hidden="1" customHeight="1">
      <c r="A94" s="24" t="str">
        <f>ÖSSZES!$A$44</f>
        <v>Név19</v>
      </c>
      <c r="B94" s="39" t="s">
        <v>2</v>
      </c>
      <c r="C94" s="39" t="s">
        <v>2</v>
      </c>
      <c r="D94" s="39"/>
      <c r="E94" s="39"/>
      <c r="F94" s="39"/>
      <c r="G94" s="39"/>
      <c r="H94" s="39"/>
      <c r="I94" s="39"/>
      <c r="J94" s="39" t="s">
        <v>2</v>
      </c>
      <c r="K94" s="39" t="s">
        <v>2</v>
      </c>
      <c r="L94" s="39"/>
      <c r="M94" s="39"/>
      <c r="N94" s="39"/>
      <c r="O94" s="39"/>
      <c r="P94" s="39"/>
      <c r="Q94" s="39"/>
      <c r="R94" s="39" t="s">
        <v>2</v>
      </c>
      <c r="S94" s="39" t="s">
        <v>2</v>
      </c>
      <c r="T94" s="39"/>
      <c r="U94" s="39"/>
      <c r="V94" s="39"/>
      <c r="W94" s="39"/>
      <c r="X94" s="39"/>
      <c r="Y94" s="39"/>
      <c r="Z94" s="39" t="s">
        <v>2</v>
      </c>
      <c r="AA94" s="39" t="s">
        <v>2</v>
      </c>
      <c r="AB94" s="39"/>
      <c r="AC94" s="39"/>
      <c r="AD94" s="39"/>
      <c r="AE94" s="39"/>
      <c r="AF94" s="6"/>
      <c r="AH94" s="20">
        <f t="shared" si="9"/>
        <v>0</v>
      </c>
      <c r="AI94" s="20">
        <f t="shared" si="10"/>
        <v>0</v>
      </c>
    </row>
    <row r="95" spans="1:35" ht="20.100000000000001" hidden="1" customHeight="1">
      <c r="A95" s="24" t="str">
        <f>ÖSSZES!$A$45</f>
        <v>Név20</v>
      </c>
      <c r="B95" s="39" t="s">
        <v>2</v>
      </c>
      <c r="C95" s="39" t="s">
        <v>2</v>
      </c>
      <c r="D95" s="39"/>
      <c r="E95" s="39"/>
      <c r="F95" s="39"/>
      <c r="G95" s="39"/>
      <c r="H95" s="39"/>
      <c r="I95" s="39"/>
      <c r="J95" s="39" t="s">
        <v>2</v>
      </c>
      <c r="K95" s="39" t="s">
        <v>2</v>
      </c>
      <c r="L95" s="39"/>
      <c r="M95" s="39"/>
      <c r="N95" s="39"/>
      <c r="O95" s="39"/>
      <c r="P95" s="39"/>
      <c r="Q95" s="39"/>
      <c r="R95" s="39" t="s">
        <v>2</v>
      </c>
      <c r="S95" s="39" t="s">
        <v>2</v>
      </c>
      <c r="T95" s="39"/>
      <c r="U95" s="39"/>
      <c r="V95" s="39"/>
      <c r="W95" s="39"/>
      <c r="X95" s="39"/>
      <c r="Y95" s="39"/>
      <c r="Z95" s="39" t="s">
        <v>2</v>
      </c>
      <c r="AA95" s="39" t="s">
        <v>2</v>
      </c>
      <c r="AB95" s="39"/>
      <c r="AC95" s="39"/>
      <c r="AD95" s="39"/>
      <c r="AE95" s="39"/>
      <c r="AF95" s="6"/>
      <c r="AH95" s="20">
        <f t="shared" si="9"/>
        <v>0</v>
      </c>
      <c r="AI95" s="20">
        <f t="shared" si="10"/>
        <v>0</v>
      </c>
    </row>
    <row r="96" spans="1:35" ht="20.100000000000001" customHeight="1"/>
    <row r="97" spans="1:35" s="11" customFormat="1" ht="20.100000000000001" customHeight="1">
      <c r="A97" s="57" t="s">
        <v>9</v>
      </c>
      <c r="B97" s="25">
        <v>1</v>
      </c>
      <c r="C97" s="23">
        <v>2</v>
      </c>
      <c r="D97" s="23">
        <v>3</v>
      </c>
      <c r="E97" s="23">
        <v>4</v>
      </c>
      <c r="F97" s="23">
        <v>5</v>
      </c>
      <c r="G97" s="23">
        <v>6</v>
      </c>
      <c r="H97" s="23">
        <v>7</v>
      </c>
      <c r="I97" s="23">
        <v>8</v>
      </c>
      <c r="J97" s="23">
        <v>9</v>
      </c>
      <c r="K97" s="23">
        <v>10</v>
      </c>
      <c r="L97" s="23">
        <v>11</v>
      </c>
      <c r="M97" s="23">
        <v>12</v>
      </c>
      <c r="N97" s="23">
        <v>13</v>
      </c>
      <c r="O97" s="23">
        <v>14</v>
      </c>
      <c r="P97" s="23">
        <v>15</v>
      </c>
      <c r="Q97" s="23">
        <v>16</v>
      </c>
      <c r="R97" s="23">
        <v>17</v>
      </c>
      <c r="S97" s="23">
        <v>18</v>
      </c>
      <c r="T97" s="23">
        <v>19</v>
      </c>
      <c r="U97" s="23">
        <v>20</v>
      </c>
      <c r="V97" s="23">
        <v>21</v>
      </c>
      <c r="W97" s="23">
        <v>22</v>
      </c>
      <c r="X97" s="23">
        <v>23</v>
      </c>
      <c r="Y97" s="23">
        <v>24</v>
      </c>
      <c r="Z97" s="23">
        <v>25</v>
      </c>
      <c r="AA97" s="23">
        <v>26</v>
      </c>
      <c r="AB97" s="23">
        <v>27</v>
      </c>
      <c r="AC97" s="23">
        <v>28</v>
      </c>
      <c r="AD97" s="23">
        <v>29</v>
      </c>
      <c r="AE97" s="23">
        <v>30</v>
      </c>
      <c r="AF97" s="23">
        <v>31</v>
      </c>
      <c r="AH97" s="59" t="s">
        <v>18</v>
      </c>
      <c r="AI97" s="59" t="s">
        <v>19</v>
      </c>
    </row>
    <row r="98" spans="1:35" ht="20.100000000000001" customHeight="1">
      <c r="A98" s="58"/>
      <c r="B98" s="16" t="str">
        <f>'2021'!B36</f>
        <v>Szo</v>
      </c>
      <c r="C98" s="16" t="str">
        <f>'2021'!C36</f>
        <v>V</v>
      </c>
      <c r="D98" s="16" t="str">
        <f>'2021'!D36</f>
        <v>H</v>
      </c>
      <c r="E98" s="16" t="str">
        <f>'2021'!E36</f>
        <v>K</v>
      </c>
      <c r="F98" s="16" t="str">
        <f>'2021'!F36</f>
        <v>Sze</v>
      </c>
      <c r="G98" s="16" t="str">
        <f>'2021'!G36</f>
        <v>Cs</v>
      </c>
      <c r="H98" s="16" t="str">
        <f>'2021'!H36</f>
        <v>P</v>
      </c>
      <c r="I98" s="16" t="str">
        <f>'2021'!I36</f>
        <v>Szo</v>
      </c>
      <c r="J98" s="16" t="str">
        <f>'2021'!J36</f>
        <v>V</v>
      </c>
      <c r="K98" s="16" t="str">
        <f>'2021'!K36</f>
        <v>H</v>
      </c>
      <c r="L98" s="16" t="str">
        <f>'2021'!L36</f>
        <v>K</v>
      </c>
      <c r="M98" s="16" t="str">
        <f>'2021'!M36</f>
        <v>Sze</v>
      </c>
      <c r="N98" s="16" t="str">
        <f>'2021'!N36</f>
        <v>Cs</v>
      </c>
      <c r="O98" s="16" t="str">
        <f>'2021'!O36</f>
        <v>P</v>
      </c>
      <c r="P98" s="16" t="str">
        <f>'2021'!P36</f>
        <v>Szo</v>
      </c>
      <c r="Q98" s="16" t="str">
        <f>'2021'!Q36</f>
        <v>V</v>
      </c>
      <c r="R98" s="16" t="str">
        <f>'2021'!R36</f>
        <v>H</v>
      </c>
      <c r="S98" s="16" t="str">
        <f>'2021'!S36</f>
        <v>K</v>
      </c>
      <c r="T98" s="16" t="str">
        <f>'2021'!T36</f>
        <v>Sze</v>
      </c>
      <c r="U98" s="16" t="str">
        <f>'2021'!U36</f>
        <v>Cs</v>
      </c>
      <c r="V98" s="16" t="str">
        <f>'2021'!V36</f>
        <v>P</v>
      </c>
      <c r="W98" s="16" t="str">
        <f>'2021'!W36</f>
        <v>Szo</v>
      </c>
      <c r="X98" s="16" t="str">
        <f>'2021'!X36</f>
        <v>V</v>
      </c>
      <c r="Y98" s="16" t="str">
        <f>'2021'!Y36</f>
        <v>H</v>
      </c>
      <c r="Z98" s="16" t="str">
        <f>'2021'!Z36</f>
        <v>K</v>
      </c>
      <c r="AA98" s="16" t="str">
        <f>'2021'!AA36</f>
        <v>Sze</v>
      </c>
      <c r="AB98" s="16" t="str">
        <f>'2021'!AB36</f>
        <v>Cs</v>
      </c>
      <c r="AC98" s="16" t="str">
        <f>'2021'!AC36</f>
        <v>P</v>
      </c>
      <c r="AD98" s="16" t="str">
        <f>'2021'!AD36</f>
        <v>Szo</v>
      </c>
      <c r="AE98" s="16" t="str">
        <f>'2021'!AE36</f>
        <v>V</v>
      </c>
      <c r="AF98" s="16" t="str">
        <f>'2021'!AF36</f>
        <v>H</v>
      </c>
      <c r="AH98" s="60"/>
      <c r="AI98" s="60"/>
    </row>
    <row r="99" spans="1:35" ht="20.100000000000001" customHeight="1">
      <c r="A99" s="58"/>
      <c r="B99" s="15">
        <f>'2021'!B38</f>
        <v>3</v>
      </c>
      <c r="C99" s="15">
        <f>'2021'!C38</f>
        <v>3</v>
      </c>
      <c r="D99" s="15" t="str">
        <f>'2021'!D38</f>
        <v>X</v>
      </c>
      <c r="E99" s="15" t="str">
        <f>'2021'!E38</f>
        <v>X</v>
      </c>
      <c r="F99" s="15">
        <f>'2021'!F38</f>
        <v>2</v>
      </c>
      <c r="G99" s="15">
        <f>'2021'!G38</f>
        <v>2</v>
      </c>
      <c r="H99" s="15">
        <f>'2021'!H38</f>
        <v>2</v>
      </c>
      <c r="I99" s="15">
        <f>'2021'!I38</f>
        <v>2</v>
      </c>
      <c r="J99" s="15">
        <f>'2021'!J38</f>
        <v>2</v>
      </c>
      <c r="K99" s="15">
        <f>'2021'!K38</f>
        <v>2</v>
      </c>
      <c r="L99" s="15" t="str">
        <f>'2021'!L38</f>
        <v>X</v>
      </c>
      <c r="M99" s="15" t="str">
        <f>'2021'!M38</f>
        <v>X</v>
      </c>
      <c r="N99" s="15">
        <f>'2021'!N38</f>
        <v>1</v>
      </c>
      <c r="O99" s="15">
        <f>'2021'!O38</f>
        <v>1</v>
      </c>
      <c r="P99" s="15">
        <f>'2021'!P38</f>
        <v>1</v>
      </c>
      <c r="Q99" s="15">
        <f>'2021'!Q38</f>
        <v>1</v>
      </c>
      <c r="R99" s="15">
        <f>'2021'!R38</f>
        <v>1</v>
      </c>
      <c r="S99" s="15">
        <f>'2021'!S38</f>
        <v>1</v>
      </c>
      <c r="T99" s="15" t="str">
        <f>'2021'!T38</f>
        <v>X</v>
      </c>
      <c r="U99" s="15" t="str">
        <f>'2021'!U38</f>
        <v>X</v>
      </c>
      <c r="V99" s="15">
        <f>'2021'!V38</f>
        <v>3</v>
      </c>
      <c r="W99" s="15">
        <f>'2021'!W38</f>
        <v>3</v>
      </c>
      <c r="X99" s="15">
        <f>'2021'!X38</f>
        <v>3</v>
      </c>
      <c r="Y99" s="15">
        <f>'2021'!Y38</f>
        <v>3</v>
      </c>
      <c r="Z99" s="15">
        <f>'2021'!Z38</f>
        <v>3</v>
      </c>
      <c r="AA99" s="15">
        <f>'2021'!AA38</f>
        <v>3</v>
      </c>
      <c r="AB99" s="15" t="str">
        <f>'2021'!AB38</f>
        <v>X</v>
      </c>
      <c r="AC99" s="15" t="str">
        <f>'2021'!AC38</f>
        <v>X</v>
      </c>
      <c r="AD99" s="15">
        <f>'2021'!AD38</f>
        <v>2</v>
      </c>
      <c r="AE99" s="15">
        <f>'2021'!AE38</f>
        <v>2</v>
      </c>
      <c r="AF99" s="15">
        <f>'2021'!AF38</f>
        <v>2</v>
      </c>
      <c r="AH99" s="60"/>
      <c r="AI99" s="60"/>
    </row>
    <row r="100" spans="1:35" ht="20.100000000000001" customHeight="1">
      <c r="A100" s="24" t="str">
        <f>ÖSSZES!$A$26</f>
        <v>Katona László</v>
      </c>
      <c r="B100" s="19"/>
      <c r="C100" s="19"/>
      <c r="D100" s="39" t="s">
        <v>2</v>
      </c>
      <c r="E100" s="39" t="s">
        <v>2</v>
      </c>
      <c r="F100" s="19"/>
      <c r="G100" s="19"/>
      <c r="H100" s="19"/>
      <c r="I100" s="19"/>
      <c r="J100" s="19"/>
      <c r="K100" s="19"/>
      <c r="L100" s="39" t="s">
        <v>2</v>
      </c>
      <c r="M100" s="39" t="s">
        <v>2</v>
      </c>
      <c r="N100" s="19"/>
      <c r="O100" s="19"/>
      <c r="P100" s="19"/>
      <c r="Q100" s="19"/>
      <c r="R100" s="19"/>
      <c r="S100" s="19"/>
      <c r="T100" s="39" t="s">
        <v>2</v>
      </c>
      <c r="U100" s="39" t="s">
        <v>2</v>
      </c>
      <c r="V100" s="19"/>
      <c r="W100" s="19"/>
      <c r="X100" s="19"/>
      <c r="Y100" s="19"/>
      <c r="Z100" s="19"/>
      <c r="AA100" s="19"/>
      <c r="AB100" s="39" t="s">
        <v>2</v>
      </c>
      <c r="AC100" s="39" t="s">
        <v>2</v>
      </c>
      <c r="AD100" s="19"/>
      <c r="AE100" s="19"/>
      <c r="AF100" s="19"/>
      <c r="AH100" s="20">
        <f>1*COUNTIF(A100:AF100,"+")</f>
        <v>0</v>
      </c>
      <c r="AI100" s="20">
        <f t="shared" ref="AI100" si="11">1*COUNTIF(B100:AF100,"szf")</f>
        <v>0</v>
      </c>
    </row>
    <row r="101" spans="1:35" ht="20.100000000000001" customHeight="1">
      <c r="A101" s="24" t="str">
        <f>ÖSSZES!$A$27</f>
        <v>Fényi László</v>
      </c>
      <c r="B101" s="19"/>
      <c r="C101" s="19"/>
      <c r="D101" s="39" t="s">
        <v>2</v>
      </c>
      <c r="E101" s="39" t="s">
        <v>2</v>
      </c>
      <c r="F101" s="19"/>
      <c r="G101" s="19"/>
      <c r="H101" s="19"/>
      <c r="I101" s="19"/>
      <c r="J101" s="19"/>
      <c r="K101" s="19"/>
      <c r="L101" s="39" t="s">
        <v>2</v>
      </c>
      <c r="M101" s="39" t="s">
        <v>2</v>
      </c>
      <c r="N101" s="19"/>
      <c r="O101" s="19"/>
      <c r="P101" s="19"/>
      <c r="Q101" s="19"/>
      <c r="R101" s="19"/>
      <c r="S101" s="19"/>
      <c r="T101" s="39" t="s">
        <v>2</v>
      </c>
      <c r="U101" s="39" t="s">
        <v>2</v>
      </c>
      <c r="V101" s="19"/>
      <c r="W101" s="19"/>
      <c r="X101" s="19"/>
      <c r="Y101" s="19"/>
      <c r="Z101" s="19"/>
      <c r="AA101" s="19"/>
      <c r="AB101" s="39" t="s">
        <v>2</v>
      </c>
      <c r="AC101" s="39" t="s">
        <v>2</v>
      </c>
      <c r="AD101" s="19"/>
      <c r="AE101" s="19"/>
      <c r="AF101" s="19"/>
      <c r="AH101" s="20">
        <f t="shared" ref="AH101:AH119" si="12">1*COUNTIF(A101:AF101,"+")</f>
        <v>0</v>
      </c>
      <c r="AI101" s="20">
        <f t="shared" ref="AI101:AI119" si="13">1*COUNTIF(B101:AF101,"szf")</f>
        <v>0</v>
      </c>
    </row>
    <row r="102" spans="1:35" ht="20.100000000000001" customHeight="1">
      <c r="A102" s="24" t="str">
        <f>ÖSSZES!$A$28</f>
        <v>Habara Gábor</v>
      </c>
      <c r="B102" s="19"/>
      <c r="C102" s="19"/>
      <c r="D102" s="39" t="s">
        <v>2</v>
      </c>
      <c r="E102" s="39" t="s">
        <v>2</v>
      </c>
      <c r="F102" s="19"/>
      <c r="G102" s="19"/>
      <c r="H102" s="19"/>
      <c r="I102" s="19"/>
      <c r="J102" s="19"/>
      <c r="K102" s="19"/>
      <c r="L102" s="39" t="s">
        <v>2</v>
      </c>
      <c r="M102" s="39" t="s">
        <v>2</v>
      </c>
      <c r="N102" s="19"/>
      <c r="O102" s="19"/>
      <c r="P102" s="19"/>
      <c r="Q102" s="19"/>
      <c r="R102" s="19"/>
      <c r="S102" s="19"/>
      <c r="T102" s="39" t="s">
        <v>2</v>
      </c>
      <c r="U102" s="39" t="s">
        <v>2</v>
      </c>
      <c r="V102" s="19"/>
      <c r="W102" s="19"/>
      <c r="X102" s="19"/>
      <c r="Y102" s="19"/>
      <c r="Z102" s="19"/>
      <c r="AA102" s="19"/>
      <c r="AB102" s="39" t="s">
        <v>2</v>
      </c>
      <c r="AC102" s="39" t="s">
        <v>2</v>
      </c>
      <c r="AD102" s="19"/>
      <c r="AE102" s="19"/>
      <c r="AF102" s="19"/>
      <c r="AH102" s="20">
        <f t="shared" si="12"/>
        <v>0</v>
      </c>
      <c r="AI102" s="20">
        <f t="shared" si="13"/>
        <v>0</v>
      </c>
    </row>
    <row r="103" spans="1:35" ht="20.100000000000001" customHeight="1">
      <c r="A103" s="24" t="str">
        <f>ÖSSZES!$A$29</f>
        <v>Holba Imre</v>
      </c>
      <c r="B103" s="19"/>
      <c r="C103" s="19"/>
      <c r="D103" s="39" t="s">
        <v>2</v>
      </c>
      <c r="E103" s="39" t="s">
        <v>2</v>
      </c>
      <c r="F103" s="19"/>
      <c r="G103" s="19"/>
      <c r="H103" s="19"/>
      <c r="I103" s="19"/>
      <c r="J103" s="19"/>
      <c r="K103" s="19"/>
      <c r="L103" s="39" t="s">
        <v>2</v>
      </c>
      <c r="M103" s="39" t="s">
        <v>2</v>
      </c>
      <c r="N103" s="19"/>
      <c r="O103" s="19"/>
      <c r="P103" s="19"/>
      <c r="Q103" s="19"/>
      <c r="R103" s="19"/>
      <c r="S103" s="19"/>
      <c r="T103" s="39" t="s">
        <v>2</v>
      </c>
      <c r="U103" s="39" t="s">
        <v>2</v>
      </c>
      <c r="V103" s="19"/>
      <c r="W103" s="19"/>
      <c r="X103" s="19"/>
      <c r="Y103" s="19"/>
      <c r="Z103" s="19"/>
      <c r="AA103" s="19"/>
      <c r="AB103" s="39" t="s">
        <v>2</v>
      </c>
      <c r="AC103" s="39" t="s">
        <v>2</v>
      </c>
      <c r="AD103" s="19"/>
      <c r="AE103" s="19"/>
      <c r="AF103" s="19"/>
      <c r="AH103" s="20">
        <f t="shared" si="12"/>
        <v>0</v>
      </c>
      <c r="AI103" s="20">
        <f t="shared" si="13"/>
        <v>0</v>
      </c>
    </row>
    <row r="104" spans="1:35" ht="20.100000000000001" customHeight="1">
      <c r="A104" s="24" t="str">
        <f>ÖSSZES!$A$30</f>
        <v>Király Bálint Donát</v>
      </c>
      <c r="B104" s="19"/>
      <c r="C104" s="19"/>
      <c r="D104" s="39" t="s">
        <v>2</v>
      </c>
      <c r="E104" s="39" t="s">
        <v>2</v>
      </c>
      <c r="F104" s="19"/>
      <c r="G104" s="19"/>
      <c r="H104" s="19"/>
      <c r="I104" s="19"/>
      <c r="J104" s="19"/>
      <c r="K104" s="19"/>
      <c r="L104" s="39" t="s">
        <v>2</v>
      </c>
      <c r="M104" s="39" t="s">
        <v>2</v>
      </c>
      <c r="N104" s="19"/>
      <c r="O104" s="19"/>
      <c r="P104" s="19"/>
      <c r="Q104" s="19"/>
      <c r="R104" s="19"/>
      <c r="S104" s="19"/>
      <c r="T104" s="39" t="s">
        <v>2</v>
      </c>
      <c r="U104" s="39" t="s">
        <v>2</v>
      </c>
      <c r="V104" s="19"/>
      <c r="W104" s="19"/>
      <c r="X104" s="19"/>
      <c r="Y104" s="19"/>
      <c r="Z104" s="19"/>
      <c r="AA104" s="19"/>
      <c r="AB104" s="39" t="s">
        <v>2</v>
      </c>
      <c r="AC104" s="39" t="s">
        <v>2</v>
      </c>
      <c r="AD104" s="19"/>
      <c r="AE104" s="19"/>
      <c r="AF104" s="19"/>
      <c r="AH104" s="20">
        <f t="shared" si="12"/>
        <v>0</v>
      </c>
      <c r="AI104" s="20">
        <f t="shared" si="13"/>
        <v>0</v>
      </c>
    </row>
    <row r="105" spans="1:35" ht="20.100000000000001" customHeight="1">
      <c r="A105" s="24" t="str">
        <f>ÖSSZES!$A$31</f>
        <v>Kiss János Tamás</v>
      </c>
      <c r="B105" s="19"/>
      <c r="C105" s="19"/>
      <c r="D105" s="39" t="s">
        <v>2</v>
      </c>
      <c r="E105" s="39" t="s">
        <v>2</v>
      </c>
      <c r="F105" s="19"/>
      <c r="G105" s="19"/>
      <c r="H105" s="19"/>
      <c r="I105" s="19"/>
      <c r="J105" s="19"/>
      <c r="K105" s="19"/>
      <c r="L105" s="39" t="s">
        <v>2</v>
      </c>
      <c r="M105" s="39" t="s">
        <v>2</v>
      </c>
      <c r="N105" s="19"/>
      <c r="O105" s="19"/>
      <c r="P105" s="19"/>
      <c r="Q105" s="19"/>
      <c r="R105" s="19"/>
      <c r="S105" s="19"/>
      <c r="T105" s="39" t="s">
        <v>2</v>
      </c>
      <c r="U105" s="39" t="s">
        <v>2</v>
      </c>
      <c r="V105" s="19"/>
      <c r="W105" s="19"/>
      <c r="X105" s="19"/>
      <c r="Y105" s="19"/>
      <c r="Z105" s="19"/>
      <c r="AA105" s="19"/>
      <c r="AB105" s="39" t="s">
        <v>2</v>
      </c>
      <c r="AC105" s="39" t="s">
        <v>2</v>
      </c>
      <c r="AD105" s="19"/>
      <c r="AE105" s="19"/>
      <c r="AF105" s="19"/>
      <c r="AH105" s="20">
        <f t="shared" si="12"/>
        <v>0</v>
      </c>
      <c r="AI105" s="20">
        <f t="shared" si="13"/>
        <v>0</v>
      </c>
    </row>
    <row r="106" spans="1:35" ht="20.100000000000001" customHeight="1">
      <c r="A106" s="24" t="str">
        <f>ÖSSZES!$A$32</f>
        <v>Mezei Lajos</v>
      </c>
      <c r="B106" s="19"/>
      <c r="C106" s="19"/>
      <c r="D106" s="39" t="s">
        <v>2</v>
      </c>
      <c r="E106" s="39" t="s">
        <v>2</v>
      </c>
      <c r="F106" s="19"/>
      <c r="G106" s="19"/>
      <c r="H106" s="19"/>
      <c r="I106" s="19"/>
      <c r="J106" s="19"/>
      <c r="K106" s="19"/>
      <c r="L106" s="39" t="s">
        <v>2</v>
      </c>
      <c r="M106" s="39" t="s">
        <v>2</v>
      </c>
      <c r="N106" s="19"/>
      <c r="O106" s="19"/>
      <c r="P106" s="19"/>
      <c r="Q106" s="19"/>
      <c r="R106" s="19"/>
      <c r="S106" s="19"/>
      <c r="T106" s="39" t="s">
        <v>2</v>
      </c>
      <c r="U106" s="39" t="s">
        <v>2</v>
      </c>
      <c r="V106" s="19"/>
      <c r="W106" s="19"/>
      <c r="X106" s="19"/>
      <c r="Y106" s="19"/>
      <c r="Z106" s="19"/>
      <c r="AA106" s="19"/>
      <c r="AB106" s="39" t="s">
        <v>2</v>
      </c>
      <c r="AC106" s="39" t="s">
        <v>2</v>
      </c>
      <c r="AD106" s="19"/>
      <c r="AE106" s="19"/>
      <c r="AF106" s="19"/>
      <c r="AH106" s="20">
        <f t="shared" si="12"/>
        <v>0</v>
      </c>
      <c r="AI106" s="20">
        <f t="shared" si="13"/>
        <v>0</v>
      </c>
    </row>
    <row r="107" spans="1:35" ht="20.100000000000001" hidden="1" customHeight="1">
      <c r="A107" s="24" t="str">
        <f>ÖSSZES!$A$33</f>
        <v>Név8</v>
      </c>
      <c r="B107" s="19"/>
      <c r="C107" s="19"/>
      <c r="D107" s="39" t="s">
        <v>2</v>
      </c>
      <c r="E107" s="39" t="s">
        <v>2</v>
      </c>
      <c r="F107" s="19"/>
      <c r="G107" s="19"/>
      <c r="H107" s="19"/>
      <c r="I107" s="19"/>
      <c r="J107" s="19"/>
      <c r="K107" s="19"/>
      <c r="L107" s="39" t="s">
        <v>2</v>
      </c>
      <c r="M107" s="39" t="s">
        <v>2</v>
      </c>
      <c r="N107" s="19"/>
      <c r="O107" s="19"/>
      <c r="P107" s="19"/>
      <c r="Q107" s="19"/>
      <c r="R107" s="19"/>
      <c r="S107" s="19"/>
      <c r="T107" s="39" t="s">
        <v>2</v>
      </c>
      <c r="U107" s="39" t="s">
        <v>2</v>
      </c>
      <c r="V107" s="19"/>
      <c r="W107" s="19"/>
      <c r="X107" s="19"/>
      <c r="Y107" s="19"/>
      <c r="Z107" s="19"/>
      <c r="AA107" s="19"/>
      <c r="AB107" s="39" t="s">
        <v>2</v>
      </c>
      <c r="AC107" s="39" t="s">
        <v>2</v>
      </c>
      <c r="AD107" s="19"/>
      <c r="AE107" s="19"/>
      <c r="AF107" s="19"/>
      <c r="AH107" s="20">
        <f t="shared" si="12"/>
        <v>0</v>
      </c>
      <c r="AI107" s="20">
        <f t="shared" si="13"/>
        <v>0</v>
      </c>
    </row>
    <row r="108" spans="1:35" ht="20.100000000000001" hidden="1" customHeight="1">
      <c r="A108" s="24" t="str">
        <f>ÖSSZES!$A$34</f>
        <v>Név9</v>
      </c>
      <c r="B108" s="19"/>
      <c r="C108" s="19"/>
      <c r="D108" s="39" t="s">
        <v>2</v>
      </c>
      <c r="E108" s="39" t="s">
        <v>2</v>
      </c>
      <c r="F108" s="19"/>
      <c r="G108" s="19"/>
      <c r="H108" s="19"/>
      <c r="I108" s="19"/>
      <c r="J108" s="19"/>
      <c r="K108" s="19"/>
      <c r="L108" s="39" t="s">
        <v>2</v>
      </c>
      <c r="M108" s="39" t="s">
        <v>2</v>
      </c>
      <c r="N108" s="19"/>
      <c r="O108" s="19"/>
      <c r="P108" s="19"/>
      <c r="Q108" s="19"/>
      <c r="R108" s="19"/>
      <c r="S108" s="19"/>
      <c r="T108" s="39" t="s">
        <v>2</v>
      </c>
      <c r="U108" s="39" t="s">
        <v>2</v>
      </c>
      <c r="V108" s="19"/>
      <c r="W108" s="19"/>
      <c r="X108" s="19"/>
      <c r="Y108" s="19"/>
      <c r="Z108" s="19"/>
      <c r="AA108" s="19"/>
      <c r="AB108" s="39" t="s">
        <v>2</v>
      </c>
      <c r="AC108" s="39" t="s">
        <v>2</v>
      </c>
      <c r="AD108" s="19"/>
      <c r="AE108" s="19"/>
      <c r="AF108" s="19"/>
      <c r="AH108" s="20">
        <f t="shared" si="12"/>
        <v>0</v>
      </c>
      <c r="AI108" s="20">
        <f t="shared" si="13"/>
        <v>0</v>
      </c>
    </row>
    <row r="109" spans="1:35" ht="20.100000000000001" hidden="1" customHeight="1">
      <c r="A109" s="24" t="str">
        <f>ÖSSZES!$A$35</f>
        <v>Név10</v>
      </c>
      <c r="B109" s="19"/>
      <c r="C109" s="19"/>
      <c r="D109" s="39" t="s">
        <v>2</v>
      </c>
      <c r="E109" s="39" t="s">
        <v>2</v>
      </c>
      <c r="F109" s="19"/>
      <c r="G109" s="19"/>
      <c r="H109" s="19"/>
      <c r="I109" s="19"/>
      <c r="J109" s="19"/>
      <c r="K109" s="19"/>
      <c r="L109" s="39" t="s">
        <v>2</v>
      </c>
      <c r="M109" s="39" t="s">
        <v>2</v>
      </c>
      <c r="N109" s="19"/>
      <c r="O109" s="19"/>
      <c r="P109" s="19"/>
      <c r="Q109" s="19"/>
      <c r="R109" s="19"/>
      <c r="S109" s="19"/>
      <c r="T109" s="39" t="s">
        <v>2</v>
      </c>
      <c r="U109" s="39" t="s">
        <v>2</v>
      </c>
      <c r="V109" s="19"/>
      <c r="W109" s="19"/>
      <c r="X109" s="19"/>
      <c r="Y109" s="19"/>
      <c r="Z109" s="19"/>
      <c r="AA109" s="19"/>
      <c r="AB109" s="39" t="s">
        <v>2</v>
      </c>
      <c r="AC109" s="39" t="s">
        <v>2</v>
      </c>
      <c r="AD109" s="19"/>
      <c r="AE109" s="19"/>
      <c r="AF109" s="19"/>
      <c r="AH109" s="20">
        <f t="shared" si="12"/>
        <v>0</v>
      </c>
      <c r="AI109" s="20">
        <f t="shared" si="13"/>
        <v>0</v>
      </c>
    </row>
    <row r="110" spans="1:35" ht="20.100000000000001" hidden="1" customHeight="1">
      <c r="A110" s="24" t="str">
        <f>ÖSSZES!$A$36</f>
        <v>Név11</v>
      </c>
      <c r="B110" s="19"/>
      <c r="C110" s="19"/>
      <c r="D110" s="39" t="s">
        <v>2</v>
      </c>
      <c r="E110" s="39" t="s">
        <v>2</v>
      </c>
      <c r="F110" s="19"/>
      <c r="G110" s="19"/>
      <c r="H110" s="19"/>
      <c r="I110" s="19"/>
      <c r="J110" s="19"/>
      <c r="K110" s="19"/>
      <c r="L110" s="39" t="s">
        <v>2</v>
      </c>
      <c r="M110" s="39" t="s">
        <v>2</v>
      </c>
      <c r="N110" s="19"/>
      <c r="O110" s="19"/>
      <c r="P110" s="19"/>
      <c r="Q110" s="19"/>
      <c r="R110" s="19"/>
      <c r="S110" s="19"/>
      <c r="T110" s="39" t="s">
        <v>2</v>
      </c>
      <c r="U110" s="39" t="s">
        <v>2</v>
      </c>
      <c r="V110" s="19"/>
      <c r="W110" s="19"/>
      <c r="X110" s="19"/>
      <c r="Y110" s="19"/>
      <c r="Z110" s="19"/>
      <c r="AA110" s="19"/>
      <c r="AB110" s="39" t="s">
        <v>2</v>
      </c>
      <c r="AC110" s="39" t="s">
        <v>2</v>
      </c>
      <c r="AD110" s="19"/>
      <c r="AE110" s="19"/>
      <c r="AF110" s="19"/>
      <c r="AH110" s="20">
        <f t="shared" si="12"/>
        <v>0</v>
      </c>
      <c r="AI110" s="20">
        <f t="shared" si="13"/>
        <v>0</v>
      </c>
    </row>
    <row r="111" spans="1:35" ht="20.100000000000001" hidden="1" customHeight="1">
      <c r="A111" s="24" t="str">
        <f>ÖSSZES!$A$37</f>
        <v>Név12</v>
      </c>
      <c r="B111" s="19"/>
      <c r="C111" s="19"/>
      <c r="D111" s="39" t="s">
        <v>2</v>
      </c>
      <c r="E111" s="39" t="s">
        <v>2</v>
      </c>
      <c r="F111" s="19"/>
      <c r="G111" s="19"/>
      <c r="H111" s="19"/>
      <c r="I111" s="19"/>
      <c r="J111" s="19"/>
      <c r="K111" s="19"/>
      <c r="L111" s="39" t="s">
        <v>2</v>
      </c>
      <c r="M111" s="39" t="s">
        <v>2</v>
      </c>
      <c r="N111" s="19"/>
      <c r="O111" s="19"/>
      <c r="P111" s="19"/>
      <c r="Q111" s="19"/>
      <c r="R111" s="19"/>
      <c r="S111" s="19"/>
      <c r="T111" s="39" t="s">
        <v>2</v>
      </c>
      <c r="U111" s="39" t="s">
        <v>2</v>
      </c>
      <c r="V111" s="19"/>
      <c r="W111" s="19"/>
      <c r="X111" s="19"/>
      <c r="Y111" s="19"/>
      <c r="Z111" s="19"/>
      <c r="AA111" s="19"/>
      <c r="AB111" s="39" t="s">
        <v>2</v>
      </c>
      <c r="AC111" s="39" t="s">
        <v>2</v>
      </c>
      <c r="AD111" s="19"/>
      <c r="AE111" s="19"/>
      <c r="AF111" s="19"/>
      <c r="AH111" s="20">
        <f t="shared" si="12"/>
        <v>0</v>
      </c>
      <c r="AI111" s="20">
        <f t="shared" si="13"/>
        <v>0</v>
      </c>
    </row>
    <row r="112" spans="1:35" ht="20.100000000000001" hidden="1" customHeight="1">
      <c r="A112" s="24" t="str">
        <f>ÖSSZES!$A$38</f>
        <v>Név13</v>
      </c>
      <c r="B112" s="19"/>
      <c r="C112" s="19"/>
      <c r="D112" s="39" t="s">
        <v>2</v>
      </c>
      <c r="E112" s="39" t="s">
        <v>2</v>
      </c>
      <c r="F112" s="19"/>
      <c r="G112" s="19"/>
      <c r="H112" s="19"/>
      <c r="I112" s="19"/>
      <c r="J112" s="19"/>
      <c r="K112" s="19"/>
      <c r="L112" s="39" t="s">
        <v>2</v>
      </c>
      <c r="M112" s="39" t="s">
        <v>2</v>
      </c>
      <c r="N112" s="19"/>
      <c r="O112" s="19"/>
      <c r="P112" s="19"/>
      <c r="Q112" s="19"/>
      <c r="R112" s="19"/>
      <c r="S112" s="19"/>
      <c r="T112" s="39" t="s">
        <v>2</v>
      </c>
      <c r="U112" s="39" t="s">
        <v>2</v>
      </c>
      <c r="V112" s="19"/>
      <c r="W112" s="19"/>
      <c r="X112" s="19"/>
      <c r="Y112" s="19"/>
      <c r="Z112" s="19"/>
      <c r="AA112" s="19"/>
      <c r="AB112" s="39" t="s">
        <v>2</v>
      </c>
      <c r="AC112" s="39" t="s">
        <v>2</v>
      </c>
      <c r="AD112" s="19"/>
      <c r="AE112" s="19"/>
      <c r="AF112" s="19"/>
      <c r="AH112" s="20">
        <f t="shared" si="12"/>
        <v>0</v>
      </c>
      <c r="AI112" s="20">
        <f t="shared" si="13"/>
        <v>0</v>
      </c>
    </row>
    <row r="113" spans="1:35" ht="20.100000000000001" hidden="1" customHeight="1">
      <c r="A113" s="24" t="str">
        <f>ÖSSZES!$A$39</f>
        <v>Név14</v>
      </c>
      <c r="B113" s="19"/>
      <c r="C113" s="19"/>
      <c r="D113" s="39" t="s">
        <v>2</v>
      </c>
      <c r="E113" s="39" t="s">
        <v>2</v>
      </c>
      <c r="F113" s="19"/>
      <c r="G113" s="19"/>
      <c r="H113" s="19"/>
      <c r="I113" s="19"/>
      <c r="J113" s="19"/>
      <c r="K113" s="19"/>
      <c r="L113" s="39" t="s">
        <v>2</v>
      </c>
      <c r="M113" s="39" t="s">
        <v>2</v>
      </c>
      <c r="N113" s="19"/>
      <c r="O113" s="19"/>
      <c r="P113" s="19"/>
      <c r="Q113" s="19"/>
      <c r="R113" s="19"/>
      <c r="S113" s="19"/>
      <c r="T113" s="39" t="s">
        <v>2</v>
      </c>
      <c r="U113" s="39" t="s">
        <v>2</v>
      </c>
      <c r="V113" s="19"/>
      <c r="W113" s="19"/>
      <c r="X113" s="19"/>
      <c r="Y113" s="19"/>
      <c r="Z113" s="19"/>
      <c r="AA113" s="19"/>
      <c r="AB113" s="39" t="s">
        <v>2</v>
      </c>
      <c r="AC113" s="39" t="s">
        <v>2</v>
      </c>
      <c r="AD113" s="19"/>
      <c r="AE113" s="19"/>
      <c r="AF113" s="19"/>
      <c r="AH113" s="20">
        <f t="shared" si="12"/>
        <v>0</v>
      </c>
      <c r="AI113" s="20">
        <f t="shared" si="13"/>
        <v>0</v>
      </c>
    </row>
    <row r="114" spans="1:35" ht="20.100000000000001" hidden="1" customHeight="1">
      <c r="A114" s="24" t="str">
        <f>ÖSSZES!$A$40</f>
        <v>Név15</v>
      </c>
      <c r="B114" s="19"/>
      <c r="C114" s="19"/>
      <c r="D114" s="39" t="s">
        <v>2</v>
      </c>
      <c r="E114" s="39" t="s">
        <v>2</v>
      </c>
      <c r="F114" s="19"/>
      <c r="G114" s="19"/>
      <c r="H114" s="19"/>
      <c r="I114" s="19"/>
      <c r="J114" s="19"/>
      <c r="K114" s="19"/>
      <c r="L114" s="39" t="s">
        <v>2</v>
      </c>
      <c r="M114" s="39" t="s">
        <v>2</v>
      </c>
      <c r="N114" s="19"/>
      <c r="O114" s="19"/>
      <c r="P114" s="19"/>
      <c r="Q114" s="19"/>
      <c r="R114" s="19"/>
      <c r="S114" s="19"/>
      <c r="T114" s="39" t="s">
        <v>2</v>
      </c>
      <c r="U114" s="39" t="s">
        <v>2</v>
      </c>
      <c r="V114" s="19"/>
      <c r="W114" s="19"/>
      <c r="X114" s="19"/>
      <c r="Y114" s="19"/>
      <c r="Z114" s="19"/>
      <c r="AA114" s="19"/>
      <c r="AB114" s="39" t="s">
        <v>2</v>
      </c>
      <c r="AC114" s="39" t="s">
        <v>2</v>
      </c>
      <c r="AD114" s="19"/>
      <c r="AE114" s="19"/>
      <c r="AF114" s="19"/>
      <c r="AH114" s="20">
        <f t="shared" si="12"/>
        <v>0</v>
      </c>
      <c r="AI114" s="20">
        <f t="shared" si="13"/>
        <v>0</v>
      </c>
    </row>
    <row r="115" spans="1:35" ht="20.100000000000001" hidden="1" customHeight="1">
      <c r="A115" s="24" t="str">
        <f>ÖSSZES!$A$41</f>
        <v>Név16</v>
      </c>
      <c r="B115" s="19"/>
      <c r="C115" s="19"/>
      <c r="D115" s="39" t="s">
        <v>2</v>
      </c>
      <c r="E115" s="39" t="s">
        <v>2</v>
      </c>
      <c r="F115" s="19"/>
      <c r="G115" s="19"/>
      <c r="H115" s="19"/>
      <c r="I115" s="19"/>
      <c r="J115" s="19"/>
      <c r="K115" s="19"/>
      <c r="L115" s="39" t="s">
        <v>2</v>
      </c>
      <c r="M115" s="39" t="s">
        <v>2</v>
      </c>
      <c r="N115" s="19"/>
      <c r="O115" s="19"/>
      <c r="P115" s="19"/>
      <c r="Q115" s="19"/>
      <c r="R115" s="19"/>
      <c r="S115" s="19"/>
      <c r="T115" s="39" t="s">
        <v>2</v>
      </c>
      <c r="U115" s="39" t="s">
        <v>2</v>
      </c>
      <c r="V115" s="19"/>
      <c r="W115" s="19"/>
      <c r="X115" s="19"/>
      <c r="Y115" s="19"/>
      <c r="Z115" s="19"/>
      <c r="AA115" s="19"/>
      <c r="AB115" s="39" t="s">
        <v>2</v>
      </c>
      <c r="AC115" s="39" t="s">
        <v>2</v>
      </c>
      <c r="AD115" s="19"/>
      <c r="AE115" s="19"/>
      <c r="AF115" s="19"/>
      <c r="AH115" s="20">
        <f t="shared" si="12"/>
        <v>0</v>
      </c>
      <c r="AI115" s="20">
        <f t="shared" si="13"/>
        <v>0</v>
      </c>
    </row>
    <row r="116" spans="1:35" ht="20.100000000000001" hidden="1" customHeight="1">
      <c r="A116" s="24" t="str">
        <f>ÖSSZES!$A$42</f>
        <v>Név17</v>
      </c>
      <c r="B116" s="19"/>
      <c r="C116" s="19"/>
      <c r="D116" s="39" t="s">
        <v>2</v>
      </c>
      <c r="E116" s="39" t="s">
        <v>2</v>
      </c>
      <c r="F116" s="19"/>
      <c r="G116" s="19"/>
      <c r="H116" s="19"/>
      <c r="I116" s="19"/>
      <c r="J116" s="19"/>
      <c r="K116" s="19"/>
      <c r="L116" s="39" t="s">
        <v>2</v>
      </c>
      <c r="M116" s="39" t="s">
        <v>2</v>
      </c>
      <c r="N116" s="19"/>
      <c r="O116" s="19"/>
      <c r="P116" s="19"/>
      <c r="Q116" s="19"/>
      <c r="R116" s="19"/>
      <c r="S116" s="19"/>
      <c r="T116" s="39" t="s">
        <v>2</v>
      </c>
      <c r="U116" s="39" t="s">
        <v>2</v>
      </c>
      <c r="V116" s="19"/>
      <c r="W116" s="19"/>
      <c r="X116" s="19"/>
      <c r="Y116" s="19"/>
      <c r="Z116" s="19"/>
      <c r="AA116" s="19"/>
      <c r="AB116" s="39" t="s">
        <v>2</v>
      </c>
      <c r="AC116" s="39" t="s">
        <v>2</v>
      </c>
      <c r="AD116" s="19"/>
      <c r="AE116" s="19"/>
      <c r="AF116" s="19"/>
      <c r="AH116" s="20">
        <f t="shared" si="12"/>
        <v>0</v>
      </c>
      <c r="AI116" s="20">
        <f t="shared" si="13"/>
        <v>0</v>
      </c>
    </row>
    <row r="117" spans="1:35" ht="20.100000000000001" hidden="1" customHeight="1">
      <c r="A117" s="24" t="str">
        <f>ÖSSZES!$A$43</f>
        <v>Név18</v>
      </c>
      <c r="B117" s="19"/>
      <c r="C117" s="19"/>
      <c r="D117" s="39" t="s">
        <v>2</v>
      </c>
      <c r="E117" s="39" t="s">
        <v>2</v>
      </c>
      <c r="F117" s="19"/>
      <c r="G117" s="19"/>
      <c r="H117" s="19"/>
      <c r="I117" s="19"/>
      <c r="J117" s="19"/>
      <c r="K117" s="19"/>
      <c r="L117" s="39" t="s">
        <v>2</v>
      </c>
      <c r="M117" s="39" t="s">
        <v>2</v>
      </c>
      <c r="N117" s="19"/>
      <c r="O117" s="19"/>
      <c r="P117" s="19"/>
      <c r="Q117" s="19"/>
      <c r="R117" s="19"/>
      <c r="S117" s="19"/>
      <c r="T117" s="39" t="s">
        <v>2</v>
      </c>
      <c r="U117" s="39" t="s">
        <v>2</v>
      </c>
      <c r="V117" s="19"/>
      <c r="W117" s="19"/>
      <c r="X117" s="19"/>
      <c r="Y117" s="19"/>
      <c r="Z117" s="19"/>
      <c r="AA117" s="19"/>
      <c r="AB117" s="39" t="s">
        <v>2</v>
      </c>
      <c r="AC117" s="39" t="s">
        <v>2</v>
      </c>
      <c r="AD117" s="19"/>
      <c r="AE117" s="19"/>
      <c r="AF117" s="19"/>
      <c r="AH117" s="20">
        <f t="shared" si="12"/>
        <v>0</v>
      </c>
      <c r="AI117" s="20">
        <f t="shared" si="13"/>
        <v>0</v>
      </c>
    </row>
    <row r="118" spans="1:35" ht="20.100000000000001" hidden="1" customHeight="1">
      <c r="A118" s="24" t="str">
        <f>ÖSSZES!$A$44</f>
        <v>Név19</v>
      </c>
      <c r="B118" s="19"/>
      <c r="C118" s="19"/>
      <c r="D118" s="39" t="s">
        <v>2</v>
      </c>
      <c r="E118" s="39" t="s">
        <v>2</v>
      </c>
      <c r="F118" s="19"/>
      <c r="G118" s="19"/>
      <c r="H118" s="19"/>
      <c r="I118" s="19"/>
      <c r="J118" s="19"/>
      <c r="K118" s="19"/>
      <c r="L118" s="39" t="s">
        <v>2</v>
      </c>
      <c r="M118" s="39" t="s">
        <v>2</v>
      </c>
      <c r="N118" s="19"/>
      <c r="O118" s="19"/>
      <c r="P118" s="19"/>
      <c r="Q118" s="19"/>
      <c r="R118" s="19"/>
      <c r="S118" s="19"/>
      <c r="T118" s="39" t="s">
        <v>2</v>
      </c>
      <c r="U118" s="39" t="s">
        <v>2</v>
      </c>
      <c r="V118" s="19"/>
      <c r="W118" s="19"/>
      <c r="X118" s="19"/>
      <c r="Y118" s="19"/>
      <c r="Z118" s="19"/>
      <c r="AA118" s="19"/>
      <c r="AB118" s="39" t="s">
        <v>2</v>
      </c>
      <c r="AC118" s="39" t="s">
        <v>2</v>
      </c>
      <c r="AD118" s="19"/>
      <c r="AE118" s="19"/>
      <c r="AF118" s="19"/>
      <c r="AH118" s="20">
        <f t="shared" si="12"/>
        <v>0</v>
      </c>
      <c r="AI118" s="20">
        <f t="shared" si="13"/>
        <v>0</v>
      </c>
    </row>
    <row r="119" spans="1:35" ht="20.100000000000001" hidden="1" customHeight="1">
      <c r="A119" s="24" t="str">
        <f>ÖSSZES!$A$45</f>
        <v>Név20</v>
      </c>
      <c r="B119" s="19"/>
      <c r="C119" s="19"/>
      <c r="D119" s="39" t="s">
        <v>2</v>
      </c>
      <c r="E119" s="39" t="s">
        <v>2</v>
      </c>
      <c r="F119" s="19"/>
      <c r="G119" s="19"/>
      <c r="H119" s="19"/>
      <c r="I119" s="19"/>
      <c r="J119" s="19"/>
      <c r="K119" s="19"/>
      <c r="L119" s="39" t="s">
        <v>2</v>
      </c>
      <c r="M119" s="39" t="s">
        <v>2</v>
      </c>
      <c r="N119" s="19"/>
      <c r="O119" s="19"/>
      <c r="P119" s="19"/>
      <c r="Q119" s="19"/>
      <c r="R119" s="19"/>
      <c r="S119" s="19"/>
      <c r="T119" s="39" t="s">
        <v>2</v>
      </c>
      <c r="U119" s="39" t="s">
        <v>2</v>
      </c>
      <c r="V119" s="19"/>
      <c r="W119" s="19"/>
      <c r="X119" s="19"/>
      <c r="Y119" s="19"/>
      <c r="Z119" s="19"/>
      <c r="AA119" s="19"/>
      <c r="AB119" s="39" t="s">
        <v>2</v>
      </c>
      <c r="AC119" s="39" t="s">
        <v>2</v>
      </c>
      <c r="AD119" s="19"/>
      <c r="AE119" s="19"/>
      <c r="AF119" s="19"/>
      <c r="AH119" s="20">
        <f t="shared" si="12"/>
        <v>0</v>
      </c>
      <c r="AI119" s="20">
        <f t="shared" si="13"/>
        <v>0</v>
      </c>
    </row>
    <row r="120" spans="1:35" ht="20.100000000000001" customHeight="1"/>
    <row r="121" spans="1:35" s="11" customFormat="1" ht="20.100000000000001" customHeight="1">
      <c r="A121" s="57" t="s">
        <v>10</v>
      </c>
      <c r="B121" s="23">
        <v>1</v>
      </c>
      <c r="C121" s="23">
        <v>2</v>
      </c>
      <c r="D121" s="23">
        <v>3</v>
      </c>
      <c r="E121" s="23">
        <v>4</v>
      </c>
      <c r="F121" s="23">
        <v>5</v>
      </c>
      <c r="G121" s="23">
        <v>6</v>
      </c>
      <c r="H121" s="23">
        <v>7</v>
      </c>
      <c r="I121" s="23">
        <v>8</v>
      </c>
      <c r="J121" s="23">
        <v>9</v>
      </c>
      <c r="K121" s="23">
        <v>10</v>
      </c>
      <c r="L121" s="23">
        <v>11</v>
      </c>
      <c r="M121" s="23">
        <v>12</v>
      </c>
      <c r="N121" s="23">
        <v>13</v>
      </c>
      <c r="O121" s="23">
        <v>14</v>
      </c>
      <c r="P121" s="23">
        <v>15</v>
      </c>
      <c r="Q121" s="23">
        <v>16</v>
      </c>
      <c r="R121" s="23">
        <v>17</v>
      </c>
      <c r="S121" s="23">
        <v>18</v>
      </c>
      <c r="T121" s="23">
        <v>19</v>
      </c>
      <c r="U121" s="23">
        <v>20</v>
      </c>
      <c r="V121" s="23">
        <v>21</v>
      </c>
      <c r="W121" s="23">
        <v>22</v>
      </c>
      <c r="X121" s="23">
        <v>23</v>
      </c>
      <c r="Y121" s="23">
        <v>24</v>
      </c>
      <c r="Z121" s="23">
        <v>25</v>
      </c>
      <c r="AA121" s="23">
        <v>26</v>
      </c>
      <c r="AB121" s="23">
        <v>27</v>
      </c>
      <c r="AC121" s="23">
        <v>28</v>
      </c>
      <c r="AD121" s="23">
        <v>29</v>
      </c>
      <c r="AE121" s="23">
        <v>30</v>
      </c>
      <c r="AH121" s="59" t="s">
        <v>18</v>
      </c>
      <c r="AI121" s="59" t="s">
        <v>19</v>
      </c>
    </row>
    <row r="122" spans="1:35" ht="20.100000000000001" customHeight="1">
      <c r="A122" s="58"/>
      <c r="B122" s="15" t="str">
        <f>'2021'!B44</f>
        <v>K</v>
      </c>
      <c r="C122" s="15" t="str">
        <f>'2021'!C44</f>
        <v>Sze</v>
      </c>
      <c r="D122" s="15" t="str">
        <f>'2021'!D44</f>
        <v>Cs</v>
      </c>
      <c r="E122" s="15" t="str">
        <f>'2021'!E44</f>
        <v>P</v>
      </c>
      <c r="F122" s="15" t="str">
        <f>'2021'!F44</f>
        <v>Szo</v>
      </c>
      <c r="G122" s="15" t="str">
        <f>'2021'!G44</f>
        <v>V</v>
      </c>
      <c r="H122" s="15" t="str">
        <f>'2021'!H44</f>
        <v>H</v>
      </c>
      <c r="I122" s="15" t="str">
        <f>'2021'!I44</f>
        <v>K</v>
      </c>
      <c r="J122" s="15" t="str">
        <f>'2021'!J44</f>
        <v>Sze</v>
      </c>
      <c r="K122" s="15" t="str">
        <f>'2021'!K44</f>
        <v>Cs</v>
      </c>
      <c r="L122" s="15" t="str">
        <f>'2021'!L44</f>
        <v>P</v>
      </c>
      <c r="M122" s="15" t="str">
        <f>'2021'!M44</f>
        <v>Szo</v>
      </c>
      <c r="N122" s="15" t="str">
        <f>'2021'!N44</f>
        <v>V</v>
      </c>
      <c r="O122" s="15" t="str">
        <f>'2021'!O44</f>
        <v>H</v>
      </c>
      <c r="P122" s="15" t="str">
        <f>'2021'!P44</f>
        <v>K</v>
      </c>
      <c r="Q122" s="15" t="str">
        <f>'2021'!Q44</f>
        <v>Sze</v>
      </c>
      <c r="R122" s="15" t="str">
        <f>'2021'!R44</f>
        <v>Cs</v>
      </c>
      <c r="S122" s="15" t="str">
        <f>'2021'!S44</f>
        <v>P</v>
      </c>
      <c r="T122" s="15" t="str">
        <f>'2021'!T44</f>
        <v>Szo</v>
      </c>
      <c r="U122" s="15" t="str">
        <f>'2021'!U44</f>
        <v>V</v>
      </c>
      <c r="V122" s="15" t="str">
        <f>'2021'!V44</f>
        <v>H</v>
      </c>
      <c r="W122" s="15" t="str">
        <f>'2021'!W44</f>
        <v>K</v>
      </c>
      <c r="X122" s="15" t="str">
        <f>'2021'!X44</f>
        <v>Sze</v>
      </c>
      <c r="Y122" s="15" t="str">
        <f>'2021'!Y44</f>
        <v>Cs</v>
      </c>
      <c r="Z122" s="15" t="str">
        <f>'2021'!Z44</f>
        <v>P</v>
      </c>
      <c r="AA122" s="15" t="str">
        <f>'2021'!AA44</f>
        <v>Szo</v>
      </c>
      <c r="AB122" s="15" t="str">
        <f>'2021'!AB44</f>
        <v>V</v>
      </c>
      <c r="AC122" s="15" t="str">
        <f>'2021'!AC44</f>
        <v>H</v>
      </c>
      <c r="AD122" s="15" t="str">
        <f>'2021'!AD44</f>
        <v>K</v>
      </c>
      <c r="AE122" s="15" t="str">
        <f>'2021'!AE44</f>
        <v>Sze</v>
      </c>
      <c r="AF122" s="6"/>
      <c r="AH122" s="60"/>
      <c r="AI122" s="60"/>
    </row>
    <row r="123" spans="1:35" ht="20.100000000000001" customHeight="1">
      <c r="A123" s="58"/>
      <c r="B123" s="15">
        <f>'2021'!B46</f>
        <v>2</v>
      </c>
      <c r="C123" s="15">
        <f>'2021'!C46</f>
        <v>2</v>
      </c>
      <c r="D123" s="15">
        <f>'2021'!D46</f>
        <v>2</v>
      </c>
      <c r="E123" s="15" t="str">
        <f>'2021'!E46</f>
        <v>X</v>
      </c>
      <c r="F123" s="15" t="str">
        <f>'2021'!F46</f>
        <v>X</v>
      </c>
      <c r="G123" s="15">
        <f>'2021'!G46</f>
        <v>1</v>
      </c>
      <c r="H123" s="15">
        <f>'2021'!H46</f>
        <v>1</v>
      </c>
      <c r="I123" s="15">
        <f>'2021'!I46</f>
        <v>1</v>
      </c>
      <c r="J123" s="15">
        <f>'2021'!J46</f>
        <v>1</v>
      </c>
      <c r="K123" s="15">
        <f>'2021'!K46</f>
        <v>1</v>
      </c>
      <c r="L123" s="15">
        <f>'2021'!L46</f>
        <v>1</v>
      </c>
      <c r="M123" s="15" t="str">
        <f>'2021'!M46</f>
        <v>X</v>
      </c>
      <c r="N123" s="15" t="str">
        <f>'2021'!N46</f>
        <v>X</v>
      </c>
      <c r="O123" s="15">
        <f>'2021'!O46</f>
        <v>3</v>
      </c>
      <c r="P123" s="15">
        <f>'2021'!P46</f>
        <v>3</v>
      </c>
      <c r="Q123" s="15">
        <f>'2021'!Q46</f>
        <v>3</v>
      </c>
      <c r="R123" s="15">
        <f>'2021'!R46</f>
        <v>3</v>
      </c>
      <c r="S123" s="15">
        <f>'2021'!S46</f>
        <v>3</v>
      </c>
      <c r="T123" s="15">
        <f>'2021'!T46</f>
        <v>3</v>
      </c>
      <c r="U123" s="15" t="str">
        <f>'2021'!U46</f>
        <v>X</v>
      </c>
      <c r="V123" s="15" t="str">
        <f>'2021'!V46</f>
        <v>X</v>
      </c>
      <c r="W123" s="15">
        <f>'2021'!W46</f>
        <v>2</v>
      </c>
      <c r="X123" s="15">
        <f>'2021'!X46</f>
        <v>2</v>
      </c>
      <c r="Y123" s="15">
        <f>'2021'!Y46</f>
        <v>2</v>
      </c>
      <c r="Z123" s="15">
        <f>'2021'!Z46</f>
        <v>2</v>
      </c>
      <c r="AA123" s="15">
        <f>'2021'!AA46</f>
        <v>2</v>
      </c>
      <c r="AB123" s="15">
        <f>'2021'!AB46</f>
        <v>2</v>
      </c>
      <c r="AC123" s="15" t="str">
        <f>'2021'!AC46</f>
        <v>X</v>
      </c>
      <c r="AD123" s="15" t="str">
        <f>'2021'!AD46</f>
        <v>X</v>
      </c>
      <c r="AE123" s="15">
        <f>'2021'!AE46</f>
        <v>1</v>
      </c>
      <c r="AF123" s="6"/>
      <c r="AH123" s="60"/>
      <c r="AI123" s="60"/>
    </row>
    <row r="124" spans="1:35" ht="20.100000000000001" customHeight="1">
      <c r="A124" s="24" t="str">
        <f>ÖSSZES!$A$26</f>
        <v>Katona László</v>
      </c>
      <c r="B124" s="37"/>
      <c r="C124" s="37"/>
      <c r="D124" s="37"/>
      <c r="E124" s="39" t="s">
        <v>2</v>
      </c>
      <c r="F124" s="39" t="s">
        <v>2</v>
      </c>
      <c r="G124" s="37"/>
      <c r="H124" s="37"/>
      <c r="I124" s="37"/>
      <c r="J124" s="37"/>
      <c r="K124" s="37"/>
      <c r="L124" s="37"/>
      <c r="M124" s="39" t="s">
        <v>2</v>
      </c>
      <c r="N124" s="39" t="s">
        <v>2</v>
      </c>
      <c r="O124" s="37"/>
      <c r="P124" s="37"/>
      <c r="Q124" s="37"/>
      <c r="R124" s="37"/>
      <c r="S124" s="37"/>
      <c r="T124" s="37"/>
      <c r="U124" s="39" t="s">
        <v>2</v>
      </c>
      <c r="V124" s="39" t="s">
        <v>2</v>
      </c>
      <c r="W124" s="37"/>
      <c r="X124" s="37"/>
      <c r="Y124" s="37"/>
      <c r="Z124" s="37"/>
      <c r="AA124" s="37"/>
      <c r="AB124" s="37"/>
      <c r="AC124" s="39" t="s">
        <v>2</v>
      </c>
      <c r="AD124" s="39" t="s">
        <v>2</v>
      </c>
      <c r="AE124" s="37"/>
      <c r="AF124" s="6"/>
      <c r="AH124" s="20">
        <f>1*COUNTIF(A124:AF124,"+")</f>
        <v>0</v>
      </c>
      <c r="AI124" s="20">
        <f t="shared" ref="AI124" si="14">1*COUNTIF(B124:AF124,"szf")</f>
        <v>0</v>
      </c>
    </row>
    <row r="125" spans="1:35" ht="20.100000000000001" customHeight="1">
      <c r="A125" s="24" t="str">
        <f>ÖSSZES!$A$27</f>
        <v>Fényi László</v>
      </c>
      <c r="B125" s="37"/>
      <c r="C125" s="37"/>
      <c r="D125" s="37"/>
      <c r="E125" s="39" t="s">
        <v>2</v>
      </c>
      <c r="F125" s="39" t="s">
        <v>2</v>
      </c>
      <c r="G125" s="37"/>
      <c r="H125" s="37"/>
      <c r="I125" s="37"/>
      <c r="J125" s="37"/>
      <c r="K125" s="37"/>
      <c r="L125" s="37"/>
      <c r="M125" s="39" t="s">
        <v>2</v>
      </c>
      <c r="N125" s="39" t="s">
        <v>2</v>
      </c>
      <c r="O125" s="37"/>
      <c r="P125" s="37"/>
      <c r="Q125" s="37"/>
      <c r="R125" s="37"/>
      <c r="S125" s="37"/>
      <c r="T125" s="37"/>
      <c r="U125" s="39" t="s">
        <v>2</v>
      </c>
      <c r="V125" s="39" t="s">
        <v>2</v>
      </c>
      <c r="W125" s="37"/>
      <c r="X125" s="37"/>
      <c r="Y125" s="37"/>
      <c r="Z125" s="37"/>
      <c r="AA125" s="37"/>
      <c r="AB125" s="37"/>
      <c r="AC125" s="39" t="s">
        <v>2</v>
      </c>
      <c r="AD125" s="39" t="s">
        <v>2</v>
      </c>
      <c r="AE125" s="37"/>
      <c r="AF125" s="6"/>
      <c r="AH125" s="20">
        <f t="shared" ref="AH125:AH143" si="15">1*COUNTIF(A125:AF125,"+")</f>
        <v>0</v>
      </c>
      <c r="AI125" s="20">
        <f t="shared" ref="AI125:AI143" si="16">1*COUNTIF(B125:AF125,"szf")</f>
        <v>0</v>
      </c>
    </row>
    <row r="126" spans="1:35" ht="20.100000000000001" customHeight="1">
      <c r="A126" s="24" t="str">
        <f>ÖSSZES!$A$28</f>
        <v>Habara Gábor</v>
      </c>
      <c r="B126" s="37"/>
      <c r="C126" s="37"/>
      <c r="D126" s="37"/>
      <c r="E126" s="39" t="s">
        <v>2</v>
      </c>
      <c r="F126" s="39" t="s">
        <v>2</v>
      </c>
      <c r="G126" s="37"/>
      <c r="H126" s="37"/>
      <c r="I126" s="37"/>
      <c r="J126" s="37"/>
      <c r="K126" s="37"/>
      <c r="L126" s="37"/>
      <c r="M126" s="39" t="s">
        <v>2</v>
      </c>
      <c r="N126" s="39" t="s">
        <v>2</v>
      </c>
      <c r="O126" s="37"/>
      <c r="P126" s="37"/>
      <c r="Q126" s="37"/>
      <c r="R126" s="37"/>
      <c r="S126" s="37"/>
      <c r="T126" s="37"/>
      <c r="U126" s="39" t="s">
        <v>2</v>
      </c>
      <c r="V126" s="39" t="s">
        <v>2</v>
      </c>
      <c r="W126" s="37"/>
      <c r="X126" s="37"/>
      <c r="Y126" s="37"/>
      <c r="Z126" s="37"/>
      <c r="AA126" s="37"/>
      <c r="AB126" s="37"/>
      <c r="AC126" s="39" t="s">
        <v>2</v>
      </c>
      <c r="AD126" s="39" t="s">
        <v>2</v>
      </c>
      <c r="AE126" s="37"/>
      <c r="AF126" s="6"/>
      <c r="AH126" s="20">
        <f t="shared" si="15"/>
        <v>0</v>
      </c>
      <c r="AI126" s="20">
        <f t="shared" si="16"/>
        <v>0</v>
      </c>
    </row>
    <row r="127" spans="1:35" ht="20.100000000000001" customHeight="1">
      <c r="A127" s="24" t="str">
        <f>ÖSSZES!$A$29</f>
        <v>Holba Imre</v>
      </c>
      <c r="B127" s="37"/>
      <c r="C127" s="37"/>
      <c r="D127" s="37"/>
      <c r="E127" s="39" t="s">
        <v>2</v>
      </c>
      <c r="F127" s="39" t="s">
        <v>2</v>
      </c>
      <c r="G127" s="37"/>
      <c r="H127" s="37"/>
      <c r="I127" s="37"/>
      <c r="J127" s="37"/>
      <c r="K127" s="37"/>
      <c r="L127" s="37"/>
      <c r="M127" s="39" t="s">
        <v>2</v>
      </c>
      <c r="N127" s="39" t="s">
        <v>2</v>
      </c>
      <c r="O127" s="37"/>
      <c r="P127" s="37"/>
      <c r="Q127" s="37"/>
      <c r="R127" s="37"/>
      <c r="S127" s="37"/>
      <c r="T127" s="37"/>
      <c r="U127" s="39" t="s">
        <v>2</v>
      </c>
      <c r="V127" s="39" t="s">
        <v>2</v>
      </c>
      <c r="W127" s="37"/>
      <c r="X127" s="37"/>
      <c r="Y127" s="37"/>
      <c r="Z127" s="37"/>
      <c r="AA127" s="37"/>
      <c r="AB127" s="37"/>
      <c r="AC127" s="39" t="s">
        <v>2</v>
      </c>
      <c r="AD127" s="39" t="s">
        <v>2</v>
      </c>
      <c r="AE127" s="37"/>
      <c r="AF127" s="6"/>
      <c r="AH127" s="20">
        <f t="shared" si="15"/>
        <v>0</v>
      </c>
      <c r="AI127" s="20">
        <f t="shared" si="16"/>
        <v>0</v>
      </c>
    </row>
    <row r="128" spans="1:35" ht="20.100000000000001" customHeight="1">
      <c r="A128" s="24" t="str">
        <f>ÖSSZES!$A$30</f>
        <v>Király Bálint Donát</v>
      </c>
      <c r="B128" s="37"/>
      <c r="C128" s="37"/>
      <c r="D128" s="37"/>
      <c r="E128" s="39" t="s">
        <v>2</v>
      </c>
      <c r="F128" s="39" t="s">
        <v>2</v>
      </c>
      <c r="G128" s="37"/>
      <c r="H128" s="37"/>
      <c r="I128" s="37"/>
      <c r="J128" s="37"/>
      <c r="K128" s="37"/>
      <c r="L128" s="37"/>
      <c r="M128" s="39" t="s">
        <v>2</v>
      </c>
      <c r="N128" s="39" t="s">
        <v>2</v>
      </c>
      <c r="O128" s="37"/>
      <c r="P128" s="37"/>
      <c r="Q128" s="37"/>
      <c r="R128" s="37"/>
      <c r="S128" s="37"/>
      <c r="T128" s="37"/>
      <c r="U128" s="39" t="s">
        <v>2</v>
      </c>
      <c r="V128" s="39" t="s">
        <v>2</v>
      </c>
      <c r="W128" s="37"/>
      <c r="X128" s="37"/>
      <c r="Y128" s="37"/>
      <c r="Z128" s="37"/>
      <c r="AA128" s="37"/>
      <c r="AB128" s="37"/>
      <c r="AC128" s="39" t="s">
        <v>2</v>
      </c>
      <c r="AD128" s="39" t="s">
        <v>2</v>
      </c>
      <c r="AE128" s="37"/>
      <c r="AF128" s="6"/>
      <c r="AH128" s="20">
        <f t="shared" si="15"/>
        <v>0</v>
      </c>
      <c r="AI128" s="20">
        <f t="shared" si="16"/>
        <v>0</v>
      </c>
    </row>
    <row r="129" spans="1:35" ht="20.100000000000001" customHeight="1">
      <c r="A129" s="24" t="str">
        <f>ÖSSZES!$A$31</f>
        <v>Kiss János Tamás</v>
      </c>
      <c r="B129" s="37"/>
      <c r="C129" s="37"/>
      <c r="D129" s="37"/>
      <c r="E129" s="39" t="s">
        <v>2</v>
      </c>
      <c r="F129" s="39" t="s">
        <v>2</v>
      </c>
      <c r="G129" s="37"/>
      <c r="H129" s="37"/>
      <c r="I129" s="37"/>
      <c r="J129" s="37"/>
      <c r="K129" s="37"/>
      <c r="L129" s="37"/>
      <c r="M129" s="39" t="s">
        <v>2</v>
      </c>
      <c r="N129" s="39" t="s">
        <v>2</v>
      </c>
      <c r="O129" s="37"/>
      <c r="P129" s="37"/>
      <c r="Q129" s="37"/>
      <c r="R129" s="37"/>
      <c r="S129" s="37"/>
      <c r="T129" s="37"/>
      <c r="U129" s="39" t="s">
        <v>2</v>
      </c>
      <c r="V129" s="39" t="s">
        <v>2</v>
      </c>
      <c r="W129" s="37"/>
      <c r="X129" s="37"/>
      <c r="Y129" s="37"/>
      <c r="Z129" s="37"/>
      <c r="AA129" s="37"/>
      <c r="AB129" s="37"/>
      <c r="AC129" s="39" t="s">
        <v>2</v>
      </c>
      <c r="AD129" s="39" t="s">
        <v>2</v>
      </c>
      <c r="AE129" s="37"/>
      <c r="AF129" s="6"/>
      <c r="AH129" s="20">
        <f t="shared" si="15"/>
        <v>0</v>
      </c>
      <c r="AI129" s="20">
        <f t="shared" si="16"/>
        <v>0</v>
      </c>
    </row>
    <row r="130" spans="1:35" ht="20.100000000000001" customHeight="1">
      <c r="A130" s="24" t="str">
        <f>ÖSSZES!$A$32</f>
        <v>Mezei Lajos</v>
      </c>
      <c r="B130" s="37"/>
      <c r="C130" s="37"/>
      <c r="D130" s="37"/>
      <c r="E130" s="39" t="s">
        <v>2</v>
      </c>
      <c r="F130" s="39" t="s">
        <v>2</v>
      </c>
      <c r="G130" s="37"/>
      <c r="H130" s="37"/>
      <c r="I130" s="37"/>
      <c r="J130" s="37"/>
      <c r="K130" s="37"/>
      <c r="L130" s="37"/>
      <c r="M130" s="39" t="s">
        <v>2</v>
      </c>
      <c r="N130" s="39" t="s">
        <v>2</v>
      </c>
      <c r="O130" s="37"/>
      <c r="P130" s="37"/>
      <c r="Q130" s="37"/>
      <c r="R130" s="37"/>
      <c r="S130" s="37"/>
      <c r="T130" s="37"/>
      <c r="U130" s="39" t="s">
        <v>2</v>
      </c>
      <c r="V130" s="39" t="s">
        <v>2</v>
      </c>
      <c r="W130" s="37"/>
      <c r="X130" s="37"/>
      <c r="Y130" s="37"/>
      <c r="Z130" s="37"/>
      <c r="AA130" s="37"/>
      <c r="AB130" s="37"/>
      <c r="AC130" s="39" t="s">
        <v>2</v>
      </c>
      <c r="AD130" s="39" t="s">
        <v>2</v>
      </c>
      <c r="AE130" s="37"/>
      <c r="AF130" s="6"/>
      <c r="AH130" s="20">
        <f t="shared" si="15"/>
        <v>0</v>
      </c>
      <c r="AI130" s="20">
        <f t="shared" si="16"/>
        <v>0</v>
      </c>
    </row>
    <row r="131" spans="1:35" ht="20.100000000000001" hidden="1" customHeight="1">
      <c r="A131" s="24" t="str">
        <f>ÖSSZES!$A$33</f>
        <v>Név8</v>
      </c>
      <c r="B131" s="37"/>
      <c r="C131" s="37"/>
      <c r="D131" s="37"/>
      <c r="E131" s="39" t="s">
        <v>2</v>
      </c>
      <c r="F131" s="39" t="s">
        <v>2</v>
      </c>
      <c r="G131" s="37"/>
      <c r="H131" s="37"/>
      <c r="I131" s="37"/>
      <c r="J131" s="37"/>
      <c r="K131" s="37"/>
      <c r="L131" s="37"/>
      <c r="M131" s="39" t="s">
        <v>2</v>
      </c>
      <c r="N131" s="39" t="s">
        <v>2</v>
      </c>
      <c r="O131" s="37"/>
      <c r="P131" s="37"/>
      <c r="Q131" s="37"/>
      <c r="R131" s="37"/>
      <c r="S131" s="37"/>
      <c r="T131" s="37"/>
      <c r="U131" s="39" t="s">
        <v>2</v>
      </c>
      <c r="V131" s="39" t="s">
        <v>2</v>
      </c>
      <c r="W131" s="37"/>
      <c r="X131" s="37"/>
      <c r="Y131" s="37"/>
      <c r="Z131" s="37"/>
      <c r="AA131" s="37"/>
      <c r="AB131" s="37"/>
      <c r="AC131" s="39" t="s">
        <v>2</v>
      </c>
      <c r="AD131" s="39" t="s">
        <v>2</v>
      </c>
      <c r="AE131" s="37"/>
      <c r="AF131" s="6"/>
      <c r="AH131" s="20">
        <f t="shared" si="15"/>
        <v>0</v>
      </c>
      <c r="AI131" s="20">
        <f t="shared" si="16"/>
        <v>0</v>
      </c>
    </row>
    <row r="132" spans="1:35" ht="20.100000000000001" hidden="1" customHeight="1">
      <c r="A132" s="24" t="str">
        <f>ÖSSZES!$A$34</f>
        <v>Név9</v>
      </c>
      <c r="B132" s="37"/>
      <c r="C132" s="37"/>
      <c r="D132" s="37"/>
      <c r="E132" s="39" t="s">
        <v>2</v>
      </c>
      <c r="F132" s="39" t="s">
        <v>2</v>
      </c>
      <c r="G132" s="37"/>
      <c r="H132" s="37"/>
      <c r="I132" s="37"/>
      <c r="J132" s="37"/>
      <c r="K132" s="37"/>
      <c r="L132" s="37"/>
      <c r="M132" s="39" t="s">
        <v>2</v>
      </c>
      <c r="N132" s="39" t="s">
        <v>2</v>
      </c>
      <c r="O132" s="37"/>
      <c r="P132" s="37"/>
      <c r="Q132" s="37"/>
      <c r="R132" s="37"/>
      <c r="S132" s="37"/>
      <c r="T132" s="37"/>
      <c r="U132" s="39" t="s">
        <v>2</v>
      </c>
      <c r="V132" s="39" t="s">
        <v>2</v>
      </c>
      <c r="W132" s="37"/>
      <c r="X132" s="37"/>
      <c r="Y132" s="37"/>
      <c r="Z132" s="37"/>
      <c r="AA132" s="37"/>
      <c r="AB132" s="37"/>
      <c r="AC132" s="39" t="s">
        <v>2</v>
      </c>
      <c r="AD132" s="39" t="s">
        <v>2</v>
      </c>
      <c r="AE132" s="37"/>
      <c r="AF132" s="6"/>
      <c r="AH132" s="20">
        <f t="shared" si="15"/>
        <v>0</v>
      </c>
      <c r="AI132" s="20">
        <f t="shared" si="16"/>
        <v>0</v>
      </c>
    </row>
    <row r="133" spans="1:35" ht="20.100000000000001" hidden="1" customHeight="1">
      <c r="A133" s="24" t="str">
        <f>ÖSSZES!$A$35</f>
        <v>Név10</v>
      </c>
      <c r="B133" s="37"/>
      <c r="C133" s="37"/>
      <c r="D133" s="37"/>
      <c r="E133" s="39" t="s">
        <v>2</v>
      </c>
      <c r="F133" s="39" t="s">
        <v>2</v>
      </c>
      <c r="G133" s="37"/>
      <c r="H133" s="37"/>
      <c r="I133" s="37"/>
      <c r="J133" s="37"/>
      <c r="K133" s="37"/>
      <c r="L133" s="37"/>
      <c r="M133" s="39" t="s">
        <v>2</v>
      </c>
      <c r="N133" s="39" t="s">
        <v>2</v>
      </c>
      <c r="O133" s="37"/>
      <c r="P133" s="37"/>
      <c r="Q133" s="37"/>
      <c r="R133" s="37"/>
      <c r="S133" s="37"/>
      <c r="T133" s="37"/>
      <c r="U133" s="39" t="s">
        <v>2</v>
      </c>
      <c r="V133" s="39" t="s">
        <v>2</v>
      </c>
      <c r="W133" s="37"/>
      <c r="X133" s="37"/>
      <c r="Y133" s="37"/>
      <c r="Z133" s="37"/>
      <c r="AA133" s="37"/>
      <c r="AB133" s="37"/>
      <c r="AC133" s="39" t="s">
        <v>2</v>
      </c>
      <c r="AD133" s="39" t="s">
        <v>2</v>
      </c>
      <c r="AE133" s="37"/>
      <c r="AF133" s="6"/>
      <c r="AH133" s="20">
        <f t="shared" si="15"/>
        <v>0</v>
      </c>
      <c r="AI133" s="20">
        <f t="shared" si="16"/>
        <v>0</v>
      </c>
    </row>
    <row r="134" spans="1:35" ht="20.100000000000001" hidden="1" customHeight="1">
      <c r="A134" s="24" t="str">
        <f>ÖSSZES!$A$36</f>
        <v>Név11</v>
      </c>
      <c r="B134" s="37"/>
      <c r="C134" s="37"/>
      <c r="D134" s="37"/>
      <c r="E134" s="39" t="s">
        <v>2</v>
      </c>
      <c r="F134" s="39" t="s">
        <v>2</v>
      </c>
      <c r="G134" s="37"/>
      <c r="H134" s="37"/>
      <c r="I134" s="37"/>
      <c r="J134" s="37"/>
      <c r="K134" s="37"/>
      <c r="L134" s="37"/>
      <c r="M134" s="39" t="s">
        <v>2</v>
      </c>
      <c r="N134" s="39" t="s">
        <v>2</v>
      </c>
      <c r="O134" s="37"/>
      <c r="P134" s="37"/>
      <c r="Q134" s="37"/>
      <c r="R134" s="37"/>
      <c r="S134" s="37"/>
      <c r="T134" s="37"/>
      <c r="U134" s="39" t="s">
        <v>2</v>
      </c>
      <c r="V134" s="39" t="s">
        <v>2</v>
      </c>
      <c r="W134" s="37"/>
      <c r="X134" s="37"/>
      <c r="Y134" s="37"/>
      <c r="Z134" s="37"/>
      <c r="AA134" s="37"/>
      <c r="AB134" s="37"/>
      <c r="AC134" s="39" t="s">
        <v>2</v>
      </c>
      <c r="AD134" s="39" t="s">
        <v>2</v>
      </c>
      <c r="AE134" s="37"/>
      <c r="AF134" s="6"/>
      <c r="AH134" s="20">
        <f t="shared" si="15"/>
        <v>0</v>
      </c>
      <c r="AI134" s="20">
        <f t="shared" si="16"/>
        <v>0</v>
      </c>
    </row>
    <row r="135" spans="1:35" ht="20.100000000000001" hidden="1" customHeight="1">
      <c r="A135" s="24" t="str">
        <f>ÖSSZES!$A$37</f>
        <v>Név12</v>
      </c>
      <c r="B135" s="37"/>
      <c r="C135" s="37"/>
      <c r="D135" s="37"/>
      <c r="E135" s="39" t="s">
        <v>2</v>
      </c>
      <c r="F135" s="39" t="s">
        <v>2</v>
      </c>
      <c r="G135" s="37"/>
      <c r="H135" s="37"/>
      <c r="I135" s="37"/>
      <c r="J135" s="37"/>
      <c r="K135" s="37"/>
      <c r="L135" s="37"/>
      <c r="M135" s="39" t="s">
        <v>2</v>
      </c>
      <c r="N135" s="39" t="s">
        <v>2</v>
      </c>
      <c r="O135" s="37"/>
      <c r="P135" s="37"/>
      <c r="Q135" s="37"/>
      <c r="R135" s="37"/>
      <c r="S135" s="37"/>
      <c r="T135" s="37"/>
      <c r="U135" s="39" t="s">
        <v>2</v>
      </c>
      <c r="V135" s="39" t="s">
        <v>2</v>
      </c>
      <c r="W135" s="37"/>
      <c r="X135" s="37"/>
      <c r="Y135" s="37"/>
      <c r="Z135" s="37"/>
      <c r="AA135" s="37"/>
      <c r="AB135" s="37"/>
      <c r="AC135" s="39" t="s">
        <v>2</v>
      </c>
      <c r="AD135" s="39" t="s">
        <v>2</v>
      </c>
      <c r="AE135" s="37"/>
      <c r="AF135" s="6"/>
      <c r="AH135" s="20">
        <f t="shared" si="15"/>
        <v>0</v>
      </c>
      <c r="AI135" s="20">
        <f t="shared" si="16"/>
        <v>0</v>
      </c>
    </row>
    <row r="136" spans="1:35" ht="20.100000000000001" hidden="1" customHeight="1">
      <c r="A136" s="24" t="str">
        <f>ÖSSZES!$A$38</f>
        <v>Név13</v>
      </c>
      <c r="B136" s="37"/>
      <c r="C136" s="37"/>
      <c r="D136" s="37"/>
      <c r="E136" s="39" t="s">
        <v>2</v>
      </c>
      <c r="F136" s="39" t="s">
        <v>2</v>
      </c>
      <c r="G136" s="37"/>
      <c r="H136" s="37"/>
      <c r="I136" s="37"/>
      <c r="J136" s="37"/>
      <c r="K136" s="37"/>
      <c r="L136" s="37"/>
      <c r="M136" s="39" t="s">
        <v>2</v>
      </c>
      <c r="N136" s="39" t="s">
        <v>2</v>
      </c>
      <c r="O136" s="37"/>
      <c r="P136" s="37"/>
      <c r="Q136" s="37"/>
      <c r="R136" s="37"/>
      <c r="S136" s="37"/>
      <c r="T136" s="37"/>
      <c r="U136" s="39" t="s">
        <v>2</v>
      </c>
      <c r="V136" s="39" t="s">
        <v>2</v>
      </c>
      <c r="W136" s="37"/>
      <c r="X136" s="37"/>
      <c r="Y136" s="37"/>
      <c r="Z136" s="37"/>
      <c r="AA136" s="37"/>
      <c r="AB136" s="37"/>
      <c r="AC136" s="39" t="s">
        <v>2</v>
      </c>
      <c r="AD136" s="39" t="s">
        <v>2</v>
      </c>
      <c r="AE136" s="37"/>
      <c r="AF136" s="6"/>
      <c r="AH136" s="20">
        <f t="shared" si="15"/>
        <v>0</v>
      </c>
      <c r="AI136" s="20">
        <f t="shared" si="16"/>
        <v>0</v>
      </c>
    </row>
    <row r="137" spans="1:35" ht="20.100000000000001" hidden="1" customHeight="1">
      <c r="A137" s="24" t="str">
        <f>ÖSSZES!$A$39</f>
        <v>Név14</v>
      </c>
      <c r="B137" s="37"/>
      <c r="C137" s="37"/>
      <c r="D137" s="37"/>
      <c r="E137" s="39" t="s">
        <v>2</v>
      </c>
      <c r="F137" s="39" t="s">
        <v>2</v>
      </c>
      <c r="G137" s="37"/>
      <c r="H137" s="37"/>
      <c r="I137" s="37"/>
      <c r="J137" s="37"/>
      <c r="K137" s="37"/>
      <c r="L137" s="37"/>
      <c r="M137" s="39" t="s">
        <v>2</v>
      </c>
      <c r="N137" s="39" t="s">
        <v>2</v>
      </c>
      <c r="O137" s="37"/>
      <c r="P137" s="37"/>
      <c r="Q137" s="37"/>
      <c r="R137" s="37"/>
      <c r="S137" s="37"/>
      <c r="T137" s="37"/>
      <c r="U137" s="39" t="s">
        <v>2</v>
      </c>
      <c r="V137" s="39" t="s">
        <v>2</v>
      </c>
      <c r="W137" s="37"/>
      <c r="X137" s="37"/>
      <c r="Y137" s="37"/>
      <c r="Z137" s="37"/>
      <c r="AA137" s="37"/>
      <c r="AB137" s="37"/>
      <c r="AC137" s="39" t="s">
        <v>2</v>
      </c>
      <c r="AD137" s="39" t="s">
        <v>2</v>
      </c>
      <c r="AE137" s="37"/>
      <c r="AF137" s="6"/>
      <c r="AH137" s="20">
        <f t="shared" si="15"/>
        <v>0</v>
      </c>
      <c r="AI137" s="20">
        <f t="shared" si="16"/>
        <v>0</v>
      </c>
    </row>
    <row r="138" spans="1:35" ht="20.100000000000001" hidden="1" customHeight="1">
      <c r="A138" s="24" t="str">
        <f>ÖSSZES!$A$40</f>
        <v>Név15</v>
      </c>
      <c r="B138" s="37"/>
      <c r="C138" s="37"/>
      <c r="D138" s="37"/>
      <c r="E138" s="39" t="s">
        <v>2</v>
      </c>
      <c r="F138" s="39" t="s">
        <v>2</v>
      </c>
      <c r="G138" s="37"/>
      <c r="H138" s="37"/>
      <c r="I138" s="37"/>
      <c r="J138" s="37"/>
      <c r="K138" s="37"/>
      <c r="L138" s="37"/>
      <c r="M138" s="39" t="s">
        <v>2</v>
      </c>
      <c r="N138" s="39" t="s">
        <v>2</v>
      </c>
      <c r="O138" s="37"/>
      <c r="P138" s="37"/>
      <c r="Q138" s="37"/>
      <c r="R138" s="37"/>
      <c r="S138" s="37"/>
      <c r="T138" s="37"/>
      <c r="U138" s="39" t="s">
        <v>2</v>
      </c>
      <c r="V138" s="39" t="s">
        <v>2</v>
      </c>
      <c r="W138" s="37"/>
      <c r="X138" s="37"/>
      <c r="Y138" s="37"/>
      <c r="Z138" s="37"/>
      <c r="AA138" s="37"/>
      <c r="AB138" s="37"/>
      <c r="AC138" s="39" t="s">
        <v>2</v>
      </c>
      <c r="AD138" s="39" t="s">
        <v>2</v>
      </c>
      <c r="AE138" s="37"/>
      <c r="AF138" s="6"/>
      <c r="AH138" s="20">
        <f t="shared" si="15"/>
        <v>0</v>
      </c>
      <c r="AI138" s="20">
        <f t="shared" si="16"/>
        <v>0</v>
      </c>
    </row>
    <row r="139" spans="1:35" ht="20.100000000000001" hidden="1" customHeight="1">
      <c r="A139" s="24" t="str">
        <f>ÖSSZES!$A$41</f>
        <v>Név16</v>
      </c>
      <c r="B139" s="37"/>
      <c r="C139" s="37"/>
      <c r="D139" s="37"/>
      <c r="E139" s="39" t="s">
        <v>2</v>
      </c>
      <c r="F139" s="39" t="s">
        <v>2</v>
      </c>
      <c r="G139" s="37"/>
      <c r="H139" s="37"/>
      <c r="I139" s="37"/>
      <c r="J139" s="37"/>
      <c r="K139" s="37"/>
      <c r="L139" s="37"/>
      <c r="M139" s="39" t="s">
        <v>2</v>
      </c>
      <c r="N139" s="39" t="s">
        <v>2</v>
      </c>
      <c r="O139" s="37"/>
      <c r="P139" s="37"/>
      <c r="Q139" s="37"/>
      <c r="R139" s="37"/>
      <c r="S139" s="37"/>
      <c r="T139" s="37"/>
      <c r="U139" s="39" t="s">
        <v>2</v>
      </c>
      <c r="V139" s="39" t="s">
        <v>2</v>
      </c>
      <c r="W139" s="37"/>
      <c r="X139" s="37"/>
      <c r="Y139" s="37"/>
      <c r="Z139" s="37"/>
      <c r="AA139" s="37"/>
      <c r="AB139" s="37"/>
      <c r="AC139" s="39" t="s">
        <v>2</v>
      </c>
      <c r="AD139" s="39" t="s">
        <v>2</v>
      </c>
      <c r="AE139" s="37"/>
      <c r="AF139" s="6"/>
      <c r="AH139" s="20">
        <f t="shared" si="15"/>
        <v>0</v>
      </c>
      <c r="AI139" s="20">
        <f t="shared" si="16"/>
        <v>0</v>
      </c>
    </row>
    <row r="140" spans="1:35" ht="20.100000000000001" hidden="1" customHeight="1">
      <c r="A140" s="24" t="str">
        <f>ÖSSZES!$A$42</f>
        <v>Név17</v>
      </c>
      <c r="B140" s="37"/>
      <c r="C140" s="37"/>
      <c r="D140" s="37"/>
      <c r="E140" s="39" t="s">
        <v>2</v>
      </c>
      <c r="F140" s="39" t="s">
        <v>2</v>
      </c>
      <c r="G140" s="37"/>
      <c r="H140" s="37"/>
      <c r="I140" s="37"/>
      <c r="J140" s="37"/>
      <c r="K140" s="37"/>
      <c r="L140" s="37"/>
      <c r="M140" s="39" t="s">
        <v>2</v>
      </c>
      <c r="N140" s="39" t="s">
        <v>2</v>
      </c>
      <c r="O140" s="37"/>
      <c r="P140" s="37"/>
      <c r="Q140" s="37"/>
      <c r="R140" s="37"/>
      <c r="S140" s="37"/>
      <c r="T140" s="37"/>
      <c r="U140" s="39" t="s">
        <v>2</v>
      </c>
      <c r="V140" s="39" t="s">
        <v>2</v>
      </c>
      <c r="W140" s="37"/>
      <c r="X140" s="37"/>
      <c r="Y140" s="37"/>
      <c r="Z140" s="37"/>
      <c r="AA140" s="37"/>
      <c r="AB140" s="37"/>
      <c r="AC140" s="39" t="s">
        <v>2</v>
      </c>
      <c r="AD140" s="39" t="s">
        <v>2</v>
      </c>
      <c r="AE140" s="37"/>
      <c r="AF140" s="6"/>
      <c r="AH140" s="20">
        <f t="shared" si="15"/>
        <v>0</v>
      </c>
      <c r="AI140" s="20">
        <f t="shared" si="16"/>
        <v>0</v>
      </c>
    </row>
    <row r="141" spans="1:35" ht="20.100000000000001" hidden="1" customHeight="1">
      <c r="A141" s="24" t="str">
        <f>ÖSSZES!$A$43</f>
        <v>Név18</v>
      </c>
      <c r="B141" s="37"/>
      <c r="C141" s="37"/>
      <c r="D141" s="37"/>
      <c r="E141" s="39" t="s">
        <v>2</v>
      </c>
      <c r="F141" s="39" t="s">
        <v>2</v>
      </c>
      <c r="G141" s="37"/>
      <c r="H141" s="37"/>
      <c r="I141" s="37"/>
      <c r="J141" s="37"/>
      <c r="K141" s="37"/>
      <c r="L141" s="37"/>
      <c r="M141" s="39" t="s">
        <v>2</v>
      </c>
      <c r="N141" s="39" t="s">
        <v>2</v>
      </c>
      <c r="O141" s="37"/>
      <c r="P141" s="37"/>
      <c r="Q141" s="37"/>
      <c r="R141" s="37"/>
      <c r="S141" s="37"/>
      <c r="T141" s="37"/>
      <c r="U141" s="39" t="s">
        <v>2</v>
      </c>
      <c r="V141" s="39" t="s">
        <v>2</v>
      </c>
      <c r="W141" s="37"/>
      <c r="X141" s="37"/>
      <c r="Y141" s="37"/>
      <c r="Z141" s="37"/>
      <c r="AA141" s="37"/>
      <c r="AB141" s="37"/>
      <c r="AC141" s="39" t="s">
        <v>2</v>
      </c>
      <c r="AD141" s="39" t="s">
        <v>2</v>
      </c>
      <c r="AE141" s="37"/>
      <c r="AF141" s="6"/>
      <c r="AH141" s="20">
        <f t="shared" si="15"/>
        <v>0</v>
      </c>
      <c r="AI141" s="20">
        <f t="shared" si="16"/>
        <v>0</v>
      </c>
    </row>
    <row r="142" spans="1:35" ht="20.100000000000001" hidden="1" customHeight="1">
      <c r="A142" s="24" t="str">
        <f>ÖSSZES!$A$44</f>
        <v>Név19</v>
      </c>
      <c r="B142" s="37"/>
      <c r="C142" s="37"/>
      <c r="D142" s="37"/>
      <c r="E142" s="39" t="s">
        <v>2</v>
      </c>
      <c r="F142" s="39" t="s">
        <v>2</v>
      </c>
      <c r="G142" s="37"/>
      <c r="H142" s="37"/>
      <c r="I142" s="37"/>
      <c r="J142" s="37"/>
      <c r="K142" s="37"/>
      <c r="L142" s="37"/>
      <c r="M142" s="39" t="s">
        <v>2</v>
      </c>
      <c r="N142" s="39" t="s">
        <v>2</v>
      </c>
      <c r="O142" s="37"/>
      <c r="P142" s="37"/>
      <c r="Q142" s="37"/>
      <c r="R142" s="37"/>
      <c r="S142" s="37"/>
      <c r="T142" s="37"/>
      <c r="U142" s="39" t="s">
        <v>2</v>
      </c>
      <c r="V142" s="39" t="s">
        <v>2</v>
      </c>
      <c r="W142" s="37"/>
      <c r="X142" s="37"/>
      <c r="Y142" s="37"/>
      <c r="Z142" s="37"/>
      <c r="AA142" s="37"/>
      <c r="AB142" s="37"/>
      <c r="AC142" s="39" t="s">
        <v>2</v>
      </c>
      <c r="AD142" s="39" t="s">
        <v>2</v>
      </c>
      <c r="AE142" s="37"/>
      <c r="AF142" s="6"/>
      <c r="AH142" s="20">
        <f t="shared" si="15"/>
        <v>0</v>
      </c>
      <c r="AI142" s="20">
        <f t="shared" si="16"/>
        <v>0</v>
      </c>
    </row>
    <row r="143" spans="1:35" ht="20.100000000000001" hidden="1" customHeight="1">
      <c r="A143" s="24" t="str">
        <f>ÖSSZES!$A$45</f>
        <v>Név20</v>
      </c>
      <c r="B143" s="37"/>
      <c r="C143" s="37"/>
      <c r="D143" s="37"/>
      <c r="E143" s="39" t="s">
        <v>2</v>
      </c>
      <c r="F143" s="39" t="s">
        <v>2</v>
      </c>
      <c r="G143" s="37"/>
      <c r="H143" s="37"/>
      <c r="I143" s="37"/>
      <c r="J143" s="37"/>
      <c r="K143" s="37"/>
      <c r="L143" s="37"/>
      <c r="M143" s="39" t="s">
        <v>2</v>
      </c>
      <c r="N143" s="39" t="s">
        <v>2</v>
      </c>
      <c r="O143" s="37"/>
      <c r="P143" s="37"/>
      <c r="Q143" s="37"/>
      <c r="R143" s="37"/>
      <c r="S143" s="37"/>
      <c r="T143" s="37"/>
      <c r="U143" s="39" t="s">
        <v>2</v>
      </c>
      <c r="V143" s="39" t="s">
        <v>2</v>
      </c>
      <c r="W143" s="37"/>
      <c r="X143" s="37"/>
      <c r="Y143" s="37"/>
      <c r="Z143" s="37"/>
      <c r="AA143" s="37"/>
      <c r="AB143" s="37"/>
      <c r="AC143" s="39" t="s">
        <v>2</v>
      </c>
      <c r="AD143" s="39" t="s">
        <v>2</v>
      </c>
      <c r="AE143" s="37"/>
      <c r="AF143" s="6"/>
      <c r="AH143" s="20">
        <f t="shared" si="15"/>
        <v>0</v>
      </c>
      <c r="AI143" s="20">
        <f t="shared" si="16"/>
        <v>0</v>
      </c>
    </row>
    <row r="144" spans="1:35" ht="20.100000000000001" customHeight="1"/>
    <row r="145" spans="1:35" s="11" customFormat="1" ht="20.100000000000001" customHeight="1">
      <c r="A145" s="57" t="s">
        <v>11</v>
      </c>
      <c r="B145" s="23">
        <v>1</v>
      </c>
      <c r="C145" s="23">
        <v>2</v>
      </c>
      <c r="D145" s="23">
        <v>3</v>
      </c>
      <c r="E145" s="23">
        <v>4</v>
      </c>
      <c r="F145" s="23">
        <v>5</v>
      </c>
      <c r="G145" s="23">
        <v>6</v>
      </c>
      <c r="H145" s="23">
        <v>7</v>
      </c>
      <c r="I145" s="23">
        <v>8</v>
      </c>
      <c r="J145" s="23">
        <v>9</v>
      </c>
      <c r="K145" s="23">
        <v>10</v>
      </c>
      <c r="L145" s="23">
        <v>11</v>
      </c>
      <c r="M145" s="23">
        <v>12</v>
      </c>
      <c r="N145" s="23">
        <v>13</v>
      </c>
      <c r="O145" s="23">
        <v>14</v>
      </c>
      <c r="P145" s="23">
        <v>15</v>
      </c>
      <c r="Q145" s="23">
        <v>16</v>
      </c>
      <c r="R145" s="23">
        <v>17</v>
      </c>
      <c r="S145" s="23">
        <v>18</v>
      </c>
      <c r="T145" s="23">
        <v>19</v>
      </c>
      <c r="U145" s="23">
        <v>20</v>
      </c>
      <c r="V145" s="23">
        <v>21</v>
      </c>
      <c r="W145" s="23">
        <v>22</v>
      </c>
      <c r="X145" s="23">
        <v>23</v>
      </c>
      <c r="Y145" s="23">
        <v>24</v>
      </c>
      <c r="Z145" s="23">
        <v>25</v>
      </c>
      <c r="AA145" s="23">
        <v>26</v>
      </c>
      <c r="AB145" s="23">
        <v>27</v>
      </c>
      <c r="AC145" s="23">
        <v>28</v>
      </c>
      <c r="AD145" s="23">
        <v>29</v>
      </c>
      <c r="AE145" s="23">
        <v>30</v>
      </c>
      <c r="AF145" s="23">
        <v>31</v>
      </c>
      <c r="AH145" s="59" t="s">
        <v>18</v>
      </c>
      <c r="AI145" s="59" t="s">
        <v>19</v>
      </c>
    </row>
    <row r="146" spans="1:35" ht="20.100000000000001" customHeight="1">
      <c r="A146" s="58"/>
      <c r="B146" s="15" t="str">
        <f>'2021'!B52</f>
        <v>Cs</v>
      </c>
      <c r="C146" s="15" t="str">
        <f>'2021'!C52</f>
        <v>P</v>
      </c>
      <c r="D146" s="15" t="str">
        <f>'2021'!D52</f>
        <v>Szo</v>
      </c>
      <c r="E146" s="15" t="str">
        <f>'2021'!E52</f>
        <v>V</v>
      </c>
      <c r="F146" s="15" t="str">
        <f>'2021'!F52</f>
        <v>H</v>
      </c>
      <c r="G146" s="15" t="str">
        <f>'2021'!G52</f>
        <v>K</v>
      </c>
      <c r="H146" s="15" t="str">
        <f>'2021'!H52</f>
        <v>Sze</v>
      </c>
      <c r="I146" s="15" t="str">
        <f>'2021'!I52</f>
        <v>Cs</v>
      </c>
      <c r="J146" s="15" t="str">
        <f>'2021'!J52</f>
        <v>P</v>
      </c>
      <c r="K146" s="15" t="str">
        <f>'2021'!K52</f>
        <v>Szo</v>
      </c>
      <c r="L146" s="15" t="str">
        <f>'2021'!L52</f>
        <v>V</v>
      </c>
      <c r="M146" s="15" t="str">
        <f>'2021'!M52</f>
        <v>H</v>
      </c>
      <c r="N146" s="15" t="str">
        <f>'2021'!N52</f>
        <v>K</v>
      </c>
      <c r="O146" s="15" t="str">
        <f>'2021'!O52</f>
        <v>Sze</v>
      </c>
      <c r="P146" s="15" t="str">
        <f>'2021'!P52</f>
        <v>Cs</v>
      </c>
      <c r="Q146" s="15" t="str">
        <f>'2021'!Q52</f>
        <v>P</v>
      </c>
      <c r="R146" s="15" t="str">
        <f>'2021'!R52</f>
        <v>Szo</v>
      </c>
      <c r="S146" s="15" t="str">
        <f>'2021'!S52</f>
        <v>V</v>
      </c>
      <c r="T146" s="15" t="str">
        <f>'2021'!T52</f>
        <v>H</v>
      </c>
      <c r="U146" s="15" t="str">
        <f>'2021'!U52</f>
        <v>K</v>
      </c>
      <c r="V146" s="15" t="str">
        <f>'2021'!V52</f>
        <v>Sze</v>
      </c>
      <c r="W146" s="15" t="str">
        <f>'2021'!W52</f>
        <v>Cs</v>
      </c>
      <c r="X146" s="15" t="str">
        <f>'2021'!X52</f>
        <v>P</v>
      </c>
      <c r="Y146" s="15" t="str">
        <f>'2021'!Y52</f>
        <v>Szo</v>
      </c>
      <c r="Z146" s="15" t="str">
        <f>'2021'!Z52</f>
        <v>V</v>
      </c>
      <c r="AA146" s="15" t="str">
        <f>'2021'!AA52</f>
        <v>H</v>
      </c>
      <c r="AB146" s="15" t="str">
        <f>'2021'!AB52</f>
        <v>K</v>
      </c>
      <c r="AC146" s="15" t="str">
        <f>'2021'!AC52</f>
        <v>Sze</v>
      </c>
      <c r="AD146" s="15" t="str">
        <f>'2021'!AD52</f>
        <v>Cs</v>
      </c>
      <c r="AE146" s="15" t="str">
        <f>'2021'!AE52</f>
        <v>P</v>
      </c>
      <c r="AF146" s="15" t="str">
        <f>'2021'!AF52</f>
        <v>Szo</v>
      </c>
      <c r="AH146" s="60"/>
      <c r="AI146" s="60"/>
    </row>
    <row r="147" spans="1:35" ht="20.100000000000001" customHeight="1">
      <c r="A147" s="58"/>
      <c r="B147" s="15">
        <f>'2021'!B54</f>
        <v>1</v>
      </c>
      <c r="C147" s="15">
        <f>'2021'!C54</f>
        <v>1</v>
      </c>
      <c r="D147" s="15">
        <f>'2021'!D54</f>
        <v>1</v>
      </c>
      <c r="E147" s="15">
        <f>'2021'!E54</f>
        <v>1</v>
      </c>
      <c r="F147" s="15">
        <f>'2021'!F54</f>
        <v>1</v>
      </c>
      <c r="G147" s="15" t="str">
        <f>'2021'!G54</f>
        <v>X</v>
      </c>
      <c r="H147" s="15" t="str">
        <f>'2021'!H54</f>
        <v>X</v>
      </c>
      <c r="I147" s="15">
        <f>'2021'!I54</f>
        <v>3</v>
      </c>
      <c r="J147" s="15">
        <f>'2021'!J54</f>
        <v>3</v>
      </c>
      <c r="K147" s="15">
        <f>'2021'!K54</f>
        <v>3</v>
      </c>
      <c r="L147" s="15">
        <f>'2021'!L54</f>
        <v>3</v>
      </c>
      <c r="M147" s="15">
        <f>'2021'!M54</f>
        <v>3</v>
      </c>
      <c r="N147" s="15">
        <f>'2021'!N54</f>
        <v>3</v>
      </c>
      <c r="O147" s="15" t="str">
        <f>'2021'!O54</f>
        <v>X</v>
      </c>
      <c r="P147" s="15" t="str">
        <f>'2021'!P54</f>
        <v>X</v>
      </c>
      <c r="Q147" s="15">
        <f>'2021'!Q54</f>
        <v>2</v>
      </c>
      <c r="R147" s="15">
        <f>'2021'!R54</f>
        <v>2</v>
      </c>
      <c r="S147" s="15">
        <f>'2021'!S54</f>
        <v>2</v>
      </c>
      <c r="T147" s="15">
        <f>'2021'!T54</f>
        <v>2</v>
      </c>
      <c r="U147" s="15">
        <f>'2021'!U54</f>
        <v>2</v>
      </c>
      <c r="V147" s="15">
        <f>'2021'!V54</f>
        <v>2</v>
      </c>
      <c r="W147" s="15" t="str">
        <f>'2021'!W54</f>
        <v>X</v>
      </c>
      <c r="X147" s="15" t="str">
        <f>'2021'!X54</f>
        <v>X</v>
      </c>
      <c r="Y147" s="15">
        <f>'2021'!Y54</f>
        <v>1</v>
      </c>
      <c r="Z147" s="15">
        <f>'2021'!Z54</f>
        <v>1</v>
      </c>
      <c r="AA147" s="15">
        <f>'2021'!AA54</f>
        <v>1</v>
      </c>
      <c r="AB147" s="15">
        <f>'2021'!AB54</f>
        <v>1</v>
      </c>
      <c r="AC147" s="15">
        <f>'2021'!AC54</f>
        <v>1</v>
      </c>
      <c r="AD147" s="15">
        <f>'2021'!AD54</f>
        <v>1</v>
      </c>
      <c r="AE147" s="15" t="str">
        <f>'2021'!AE54</f>
        <v>X</v>
      </c>
      <c r="AF147" s="15" t="str">
        <f>'2021'!AF54</f>
        <v>X</v>
      </c>
      <c r="AH147" s="60"/>
      <c r="AI147" s="60"/>
    </row>
    <row r="148" spans="1:35" ht="20.100000000000001" customHeight="1">
      <c r="A148" s="24" t="str">
        <f>ÖSSZES!$A$26</f>
        <v>Katona László</v>
      </c>
      <c r="B148" s="19"/>
      <c r="C148" s="19"/>
      <c r="D148" s="19"/>
      <c r="E148" s="19"/>
      <c r="F148" s="19"/>
      <c r="G148" s="39" t="s">
        <v>2</v>
      </c>
      <c r="H148" s="39" t="s">
        <v>2</v>
      </c>
      <c r="I148" s="19"/>
      <c r="J148" s="19"/>
      <c r="K148" s="19"/>
      <c r="L148" s="19"/>
      <c r="M148" s="19"/>
      <c r="N148" s="19"/>
      <c r="O148" s="39" t="s">
        <v>2</v>
      </c>
      <c r="P148" s="39" t="s">
        <v>2</v>
      </c>
      <c r="Q148" s="19"/>
      <c r="R148" s="19"/>
      <c r="S148" s="19"/>
      <c r="T148" s="19"/>
      <c r="U148" s="19"/>
      <c r="V148" s="19"/>
      <c r="W148" s="39" t="s">
        <v>2</v>
      </c>
      <c r="X148" s="39" t="s">
        <v>2</v>
      </c>
      <c r="Y148" s="19"/>
      <c r="Z148" s="19"/>
      <c r="AA148" s="19"/>
      <c r="AB148" s="19"/>
      <c r="AC148" s="19"/>
      <c r="AD148" s="19"/>
      <c r="AE148" s="39" t="s">
        <v>2</v>
      </c>
      <c r="AF148" s="39" t="s">
        <v>2</v>
      </c>
      <c r="AH148" s="20">
        <f>1*COUNTIF(A148:AF148,"+")</f>
        <v>0</v>
      </c>
      <c r="AI148" s="20">
        <f t="shared" ref="AI148" si="17">1*COUNTIF(B148:AF148,"szf")</f>
        <v>0</v>
      </c>
    </row>
    <row r="149" spans="1:35" ht="20.100000000000001" customHeight="1">
      <c r="A149" s="24" t="str">
        <f>ÖSSZES!$A$27</f>
        <v>Fényi László</v>
      </c>
      <c r="B149" s="19"/>
      <c r="C149" s="19"/>
      <c r="D149" s="19"/>
      <c r="E149" s="19"/>
      <c r="F149" s="19"/>
      <c r="G149" s="39" t="s">
        <v>2</v>
      </c>
      <c r="H149" s="39" t="s">
        <v>2</v>
      </c>
      <c r="I149" s="19"/>
      <c r="J149" s="19"/>
      <c r="K149" s="19"/>
      <c r="L149" s="19"/>
      <c r="M149" s="19"/>
      <c r="N149" s="19"/>
      <c r="O149" s="39" t="s">
        <v>2</v>
      </c>
      <c r="P149" s="39" t="s">
        <v>2</v>
      </c>
      <c r="Q149" s="19"/>
      <c r="R149" s="19"/>
      <c r="S149" s="19"/>
      <c r="T149" s="19"/>
      <c r="U149" s="19"/>
      <c r="V149" s="19"/>
      <c r="W149" s="39" t="s">
        <v>2</v>
      </c>
      <c r="X149" s="39" t="s">
        <v>2</v>
      </c>
      <c r="Y149" s="19"/>
      <c r="Z149" s="19"/>
      <c r="AA149" s="19"/>
      <c r="AB149" s="19"/>
      <c r="AC149" s="19"/>
      <c r="AD149" s="19"/>
      <c r="AE149" s="39" t="s">
        <v>2</v>
      </c>
      <c r="AF149" s="39" t="s">
        <v>2</v>
      </c>
      <c r="AH149" s="20">
        <f t="shared" ref="AH149:AH167" si="18">1*COUNTIF(A149:AF149,"+")</f>
        <v>0</v>
      </c>
      <c r="AI149" s="20">
        <f t="shared" ref="AI149:AI167" si="19">1*COUNTIF(B149:AF149,"szf")</f>
        <v>0</v>
      </c>
    </row>
    <row r="150" spans="1:35" ht="20.100000000000001" customHeight="1">
      <c r="A150" s="24" t="str">
        <f>ÖSSZES!$A$28</f>
        <v>Habara Gábor</v>
      </c>
      <c r="B150" s="19"/>
      <c r="C150" s="19"/>
      <c r="D150" s="19"/>
      <c r="E150" s="19"/>
      <c r="F150" s="19"/>
      <c r="G150" s="39" t="s">
        <v>2</v>
      </c>
      <c r="H150" s="39" t="s">
        <v>2</v>
      </c>
      <c r="I150" s="19"/>
      <c r="J150" s="19"/>
      <c r="K150" s="19"/>
      <c r="L150" s="19"/>
      <c r="M150" s="19"/>
      <c r="N150" s="19"/>
      <c r="O150" s="39" t="s">
        <v>2</v>
      </c>
      <c r="P150" s="39" t="s">
        <v>2</v>
      </c>
      <c r="Q150" s="19"/>
      <c r="R150" s="19"/>
      <c r="S150" s="19"/>
      <c r="T150" s="19"/>
      <c r="U150" s="19"/>
      <c r="V150" s="19"/>
      <c r="W150" s="39" t="s">
        <v>2</v>
      </c>
      <c r="X150" s="39" t="s">
        <v>2</v>
      </c>
      <c r="Y150" s="19"/>
      <c r="Z150" s="19"/>
      <c r="AA150" s="19"/>
      <c r="AB150" s="19"/>
      <c r="AC150" s="19"/>
      <c r="AD150" s="19"/>
      <c r="AE150" s="39" t="s">
        <v>2</v>
      </c>
      <c r="AF150" s="39" t="s">
        <v>2</v>
      </c>
      <c r="AH150" s="20">
        <f t="shared" si="18"/>
        <v>0</v>
      </c>
      <c r="AI150" s="20">
        <f t="shared" si="19"/>
        <v>0</v>
      </c>
    </row>
    <row r="151" spans="1:35" ht="20.100000000000001" customHeight="1">
      <c r="A151" s="24" t="str">
        <f>ÖSSZES!$A$29</f>
        <v>Holba Imre</v>
      </c>
      <c r="B151" s="19"/>
      <c r="C151" s="19"/>
      <c r="D151" s="19"/>
      <c r="E151" s="19"/>
      <c r="F151" s="19"/>
      <c r="G151" s="39" t="s">
        <v>2</v>
      </c>
      <c r="H151" s="39" t="s">
        <v>2</v>
      </c>
      <c r="I151" s="19"/>
      <c r="J151" s="19"/>
      <c r="K151" s="19"/>
      <c r="L151" s="19"/>
      <c r="M151" s="19"/>
      <c r="N151" s="19"/>
      <c r="O151" s="39" t="s">
        <v>2</v>
      </c>
      <c r="P151" s="39" t="s">
        <v>2</v>
      </c>
      <c r="Q151" s="19"/>
      <c r="R151" s="19"/>
      <c r="S151" s="19"/>
      <c r="T151" s="19"/>
      <c r="U151" s="19"/>
      <c r="V151" s="19"/>
      <c r="W151" s="39" t="s">
        <v>2</v>
      </c>
      <c r="X151" s="39" t="s">
        <v>2</v>
      </c>
      <c r="Y151" s="19"/>
      <c r="Z151" s="19"/>
      <c r="AA151" s="19"/>
      <c r="AB151" s="19"/>
      <c r="AC151" s="19"/>
      <c r="AD151" s="19"/>
      <c r="AE151" s="39" t="s">
        <v>2</v>
      </c>
      <c r="AF151" s="39" t="s">
        <v>2</v>
      </c>
      <c r="AH151" s="20">
        <f t="shared" si="18"/>
        <v>0</v>
      </c>
      <c r="AI151" s="20">
        <f t="shared" si="19"/>
        <v>0</v>
      </c>
    </row>
    <row r="152" spans="1:35" ht="20.100000000000001" customHeight="1">
      <c r="A152" s="24" t="str">
        <f>ÖSSZES!$A$30</f>
        <v>Király Bálint Donát</v>
      </c>
      <c r="B152" s="19"/>
      <c r="C152" s="19"/>
      <c r="D152" s="19"/>
      <c r="E152" s="19"/>
      <c r="F152" s="19"/>
      <c r="G152" s="39" t="s">
        <v>2</v>
      </c>
      <c r="H152" s="39" t="s">
        <v>2</v>
      </c>
      <c r="I152" s="19"/>
      <c r="J152" s="19"/>
      <c r="K152" s="19"/>
      <c r="L152" s="19"/>
      <c r="M152" s="19"/>
      <c r="N152" s="19"/>
      <c r="O152" s="39" t="s">
        <v>2</v>
      </c>
      <c r="P152" s="39" t="s">
        <v>2</v>
      </c>
      <c r="Q152" s="19"/>
      <c r="R152" s="19"/>
      <c r="S152" s="19"/>
      <c r="T152" s="19"/>
      <c r="U152" s="19"/>
      <c r="V152" s="19"/>
      <c r="W152" s="39" t="s">
        <v>2</v>
      </c>
      <c r="X152" s="39" t="s">
        <v>2</v>
      </c>
      <c r="Y152" s="19"/>
      <c r="Z152" s="19"/>
      <c r="AA152" s="19"/>
      <c r="AB152" s="19"/>
      <c r="AC152" s="19"/>
      <c r="AD152" s="19"/>
      <c r="AE152" s="39" t="s">
        <v>2</v>
      </c>
      <c r="AF152" s="39" t="s">
        <v>2</v>
      </c>
      <c r="AH152" s="20">
        <f t="shared" si="18"/>
        <v>0</v>
      </c>
      <c r="AI152" s="20">
        <f t="shared" si="19"/>
        <v>0</v>
      </c>
    </row>
    <row r="153" spans="1:35" ht="20.100000000000001" customHeight="1">
      <c r="A153" s="24" t="str">
        <f>ÖSSZES!$A$31</f>
        <v>Kiss János Tamás</v>
      </c>
      <c r="B153" s="19"/>
      <c r="C153" s="19"/>
      <c r="D153" s="19"/>
      <c r="E153" s="19"/>
      <c r="F153" s="19"/>
      <c r="G153" s="39" t="s">
        <v>2</v>
      </c>
      <c r="H153" s="39" t="s">
        <v>2</v>
      </c>
      <c r="I153" s="19"/>
      <c r="J153" s="19"/>
      <c r="K153" s="19"/>
      <c r="L153" s="19"/>
      <c r="M153" s="19"/>
      <c r="N153" s="19"/>
      <c r="O153" s="39" t="s">
        <v>2</v>
      </c>
      <c r="P153" s="39" t="s">
        <v>2</v>
      </c>
      <c r="Q153" s="19"/>
      <c r="R153" s="19"/>
      <c r="S153" s="19"/>
      <c r="T153" s="19"/>
      <c r="U153" s="19"/>
      <c r="V153" s="19"/>
      <c r="W153" s="39" t="s">
        <v>2</v>
      </c>
      <c r="X153" s="39" t="s">
        <v>2</v>
      </c>
      <c r="Y153" s="19"/>
      <c r="Z153" s="19"/>
      <c r="AA153" s="19"/>
      <c r="AB153" s="19"/>
      <c r="AC153" s="19"/>
      <c r="AD153" s="19"/>
      <c r="AE153" s="39" t="s">
        <v>2</v>
      </c>
      <c r="AF153" s="39" t="s">
        <v>2</v>
      </c>
      <c r="AH153" s="20">
        <f t="shared" si="18"/>
        <v>0</v>
      </c>
      <c r="AI153" s="20">
        <f t="shared" si="19"/>
        <v>0</v>
      </c>
    </row>
    <row r="154" spans="1:35" ht="20.100000000000001" customHeight="1">
      <c r="A154" s="24" t="str">
        <f>ÖSSZES!$A$32</f>
        <v>Mezei Lajos</v>
      </c>
      <c r="B154" s="19"/>
      <c r="C154" s="19"/>
      <c r="D154" s="19"/>
      <c r="E154" s="19"/>
      <c r="F154" s="19"/>
      <c r="G154" s="39" t="s">
        <v>2</v>
      </c>
      <c r="H154" s="39" t="s">
        <v>2</v>
      </c>
      <c r="I154" s="19"/>
      <c r="J154" s="19"/>
      <c r="K154" s="19"/>
      <c r="L154" s="19"/>
      <c r="M154" s="19"/>
      <c r="N154" s="19"/>
      <c r="O154" s="39" t="s">
        <v>2</v>
      </c>
      <c r="P154" s="39" t="s">
        <v>2</v>
      </c>
      <c r="Q154" s="19"/>
      <c r="R154" s="19"/>
      <c r="S154" s="19"/>
      <c r="T154" s="19"/>
      <c r="U154" s="19"/>
      <c r="V154" s="19"/>
      <c r="W154" s="39" t="s">
        <v>2</v>
      </c>
      <c r="X154" s="39" t="s">
        <v>2</v>
      </c>
      <c r="Y154" s="19"/>
      <c r="Z154" s="19"/>
      <c r="AA154" s="19"/>
      <c r="AB154" s="19"/>
      <c r="AC154" s="19"/>
      <c r="AD154" s="19"/>
      <c r="AE154" s="39" t="s">
        <v>2</v>
      </c>
      <c r="AF154" s="39" t="s">
        <v>2</v>
      </c>
      <c r="AH154" s="20">
        <f t="shared" si="18"/>
        <v>0</v>
      </c>
      <c r="AI154" s="20">
        <f t="shared" si="19"/>
        <v>0</v>
      </c>
    </row>
    <row r="155" spans="1:35" ht="20.100000000000001" hidden="1" customHeight="1">
      <c r="A155" s="24" t="str">
        <f>ÖSSZES!$A$33</f>
        <v>Név8</v>
      </c>
      <c r="B155" s="19"/>
      <c r="C155" s="19"/>
      <c r="D155" s="19"/>
      <c r="E155" s="19"/>
      <c r="F155" s="19"/>
      <c r="G155" s="39" t="s">
        <v>2</v>
      </c>
      <c r="H155" s="39" t="s">
        <v>2</v>
      </c>
      <c r="I155" s="19"/>
      <c r="J155" s="19"/>
      <c r="K155" s="19"/>
      <c r="L155" s="19"/>
      <c r="M155" s="19"/>
      <c r="N155" s="19"/>
      <c r="O155" s="39" t="s">
        <v>2</v>
      </c>
      <c r="P155" s="39" t="s">
        <v>2</v>
      </c>
      <c r="Q155" s="19"/>
      <c r="R155" s="19"/>
      <c r="S155" s="19"/>
      <c r="T155" s="19"/>
      <c r="U155" s="19"/>
      <c r="V155" s="19"/>
      <c r="W155" s="39" t="s">
        <v>2</v>
      </c>
      <c r="X155" s="39" t="s">
        <v>2</v>
      </c>
      <c r="Y155" s="19"/>
      <c r="Z155" s="19"/>
      <c r="AA155" s="19"/>
      <c r="AB155" s="19"/>
      <c r="AC155" s="19"/>
      <c r="AD155" s="19"/>
      <c r="AE155" s="39" t="s">
        <v>2</v>
      </c>
      <c r="AF155" s="39" t="s">
        <v>2</v>
      </c>
      <c r="AH155" s="20">
        <f t="shared" si="18"/>
        <v>0</v>
      </c>
      <c r="AI155" s="20">
        <f t="shared" si="19"/>
        <v>0</v>
      </c>
    </row>
    <row r="156" spans="1:35" ht="20.100000000000001" hidden="1" customHeight="1">
      <c r="A156" s="24" t="str">
        <f>ÖSSZES!$A$34</f>
        <v>Név9</v>
      </c>
      <c r="B156" s="19"/>
      <c r="C156" s="19"/>
      <c r="D156" s="19"/>
      <c r="E156" s="19"/>
      <c r="F156" s="19"/>
      <c r="G156" s="39" t="s">
        <v>2</v>
      </c>
      <c r="H156" s="39" t="s">
        <v>2</v>
      </c>
      <c r="I156" s="19"/>
      <c r="J156" s="19"/>
      <c r="K156" s="19"/>
      <c r="L156" s="19"/>
      <c r="M156" s="19"/>
      <c r="N156" s="19"/>
      <c r="O156" s="39" t="s">
        <v>2</v>
      </c>
      <c r="P156" s="39" t="s">
        <v>2</v>
      </c>
      <c r="Q156" s="19"/>
      <c r="R156" s="19"/>
      <c r="S156" s="19"/>
      <c r="T156" s="19"/>
      <c r="U156" s="19"/>
      <c r="V156" s="19"/>
      <c r="W156" s="39" t="s">
        <v>2</v>
      </c>
      <c r="X156" s="39" t="s">
        <v>2</v>
      </c>
      <c r="Y156" s="19"/>
      <c r="Z156" s="19"/>
      <c r="AA156" s="19"/>
      <c r="AB156" s="19"/>
      <c r="AC156" s="19"/>
      <c r="AD156" s="19"/>
      <c r="AE156" s="39" t="s">
        <v>2</v>
      </c>
      <c r="AF156" s="39" t="s">
        <v>2</v>
      </c>
      <c r="AH156" s="20">
        <f t="shared" si="18"/>
        <v>0</v>
      </c>
      <c r="AI156" s="20">
        <f t="shared" si="19"/>
        <v>0</v>
      </c>
    </row>
    <row r="157" spans="1:35" ht="20.100000000000001" hidden="1" customHeight="1">
      <c r="A157" s="24" t="str">
        <f>ÖSSZES!$A$35</f>
        <v>Név10</v>
      </c>
      <c r="B157" s="19"/>
      <c r="C157" s="19"/>
      <c r="D157" s="19"/>
      <c r="E157" s="19"/>
      <c r="F157" s="19"/>
      <c r="G157" s="39" t="s">
        <v>2</v>
      </c>
      <c r="H157" s="39" t="s">
        <v>2</v>
      </c>
      <c r="I157" s="19"/>
      <c r="J157" s="19"/>
      <c r="K157" s="19"/>
      <c r="L157" s="19"/>
      <c r="M157" s="19"/>
      <c r="N157" s="19"/>
      <c r="O157" s="39" t="s">
        <v>2</v>
      </c>
      <c r="P157" s="39" t="s">
        <v>2</v>
      </c>
      <c r="Q157" s="19"/>
      <c r="R157" s="19"/>
      <c r="S157" s="19"/>
      <c r="T157" s="19"/>
      <c r="U157" s="19"/>
      <c r="V157" s="19"/>
      <c r="W157" s="39" t="s">
        <v>2</v>
      </c>
      <c r="X157" s="39" t="s">
        <v>2</v>
      </c>
      <c r="Y157" s="19"/>
      <c r="Z157" s="19"/>
      <c r="AA157" s="19"/>
      <c r="AB157" s="19"/>
      <c r="AC157" s="19"/>
      <c r="AD157" s="19"/>
      <c r="AE157" s="39" t="s">
        <v>2</v>
      </c>
      <c r="AF157" s="39" t="s">
        <v>2</v>
      </c>
      <c r="AH157" s="20">
        <f t="shared" si="18"/>
        <v>0</v>
      </c>
      <c r="AI157" s="20">
        <f t="shared" si="19"/>
        <v>0</v>
      </c>
    </row>
    <row r="158" spans="1:35" ht="20.100000000000001" hidden="1" customHeight="1">
      <c r="A158" s="24" t="str">
        <f>ÖSSZES!$A$36</f>
        <v>Név11</v>
      </c>
      <c r="B158" s="19"/>
      <c r="C158" s="19"/>
      <c r="D158" s="19"/>
      <c r="E158" s="19"/>
      <c r="F158" s="19"/>
      <c r="G158" s="39" t="s">
        <v>2</v>
      </c>
      <c r="H158" s="39" t="s">
        <v>2</v>
      </c>
      <c r="I158" s="19"/>
      <c r="J158" s="19"/>
      <c r="K158" s="19"/>
      <c r="L158" s="19"/>
      <c r="M158" s="19"/>
      <c r="N158" s="19"/>
      <c r="O158" s="39" t="s">
        <v>2</v>
      </c>
      <c r="P158" s="39" t="s">
        <v>2</v>
      </c>
      <c r="Q158" s="19"/>
      <c r="R158" s="19"/>
      <c r="S158" s="19"/>
      <c r="T158" s="19"/>
      <c r="U158" s="19"/>
      <c r="V158" s="19"/>
      <c r="W158" s="39" t="s">
        <v>2</v>
      </c>
      <c r="X158" s="39" t="s">
        <v>2</v>
      </c>
      <c r="Y158" s="19"/>
      <c r="Z158" s="19"/>
      <c r="AA158" s="19"/>
      <c r="AB158" s="19"/>
      <c r="AC158" s="19"/>
      <c r="AD158" s="19"/>
      <c r="AE158" s="39" t="s">
        <v>2</v>
      </c>
      <c r="AF158" s="39" t="s">
        <v>2</v>
      </c>
      <c r="AH158" s="20">
        <f t="shared" si="18"/>
        <v>0</v>
      </c>
      <c r="AI158" s="20">
        <f t="shared" si="19"/>
        <v>0</v>
      </c>
    </row>
    <row r="159" spans="1:35" ht="20.100000000000001" hidden="1" customHeight="1">
      <c r="A159" s="24" t="str">
        <f>ÖSSZES!$A$37</f>
        <v>Név12</v>
      </c>
      <c r="B159" s="19"/>
      <c r="C159" s="19"/>
      <c r="D159" s="19"/>
      <c r="E159" s="19"/>
      <c r="F159" s="19"/>
      <c r="G159" s="39" t="s">
        <v>2</v>
      </c>
      <c r="H159" s="39" t="s">
        <v>2</v>
      </c>
      <c r="I159" s="19"/>
      <c r="J159" s="19"/>
      <c r="K159" s="19"/>
      <c r="L159" s="19"/>
      <c r="M159" s="19"/>
      <c r="N159" s="19"/>
      <c r="O159" s="39" t="s">
        <v>2</v>
      </c>
      <c r="P159" s="39" t="s">
        <v>2</v>
      </c>
      <c r="Q159" s="19"/>
      <c r="R159" s="19"/>
      <c r="S159" s="19"/>
      <c r="T159" s="19"/>
      <c r="U159" s="19"/>
      <c r="V159" s="19"/>
      <c r="W159" s="39" t="s">
        <v>2</v>
      </c>
      <c r="X159" s="39" t="s">
        <v>2</v>
      </c>
      <c r="Y159" s="19"/>
      <c r="Z159" s="19"/>
      <c r="AA159" s="19"/>
      <c r="AB159" s="19"/>
      <c r="AC159" s="19"/>
      <c r="AD159" s="19"/>
      <c r="AE159" s="39" t="s">
        <v>2</v>
      </c>
      <c r="AF159" s="39" t="s">
        <v>2</v>
      </c>
      <c r="AH159" s="20">
        <f t="shared" si="18"/>
        <v>0</v>
      </c>
      <c r="AI159" s="20">
        <f t="shared" si="19"/>
        <v>0</v>
      </c>
    </row>
    <row r="160" spans="1:35" ht="20.100000000000001" hidden="1" customHeight="1">
      <c r="A160" s="24" t="str">
        <f>ÖSSZES!$A$38</f>
        <v>Név13</v>
      </c>
      <c r="B160" s="19"/>
      <c r="C160" s="19"/>
      <c r="D160" s="19"/>
      <c r="E160" s="19"/>
      <c r="F160" s="19"/>
      <c r="G160" s="39" t="s">
        <v>2</v>
      </c>
      <c r="H160" s="39" t="s">
        <v>2</v>
      </c>
      <c r="I160" s="19"/>
      <c r="J160" s="19"/>
      <c r="K160" s="19"/>
      <c r="L160" s="19"/>
      <c r="M160" s="19"/>
      <c r="N160" s="19"/>
      <c r="O160" s="39" t="s">
        <v>2</v>
      </c>
      <c r="P160" s="39" t="s">
        <v>2</v>
      </c>
      <c r="Q160" s="19"/>
      <c r="R160" s="19"/>
      <c r="S160" s="19"/>
      <c r="T160" s="19"/>
      <c r="U160" s="19"/>
      <c r="V160" s="19"/>
      <c r="W160" s="39" t="s">
        <v>2</v>
      </c>
      <c r="X160" s="39" t="s">
        <v>2</v>
      </c>
      <c r="Y160" s="19"/>
      <c r="Z160" s="19"/>
      <c r="AA160" s="19"/>
      <c r="AB160" s="19"/>
      <c r="AC160" s="19"/>
      <c r="AD160" s="19"/>
      <c r="AE160" s="39" t="s">
        <v>2</v>
      </c>
      <c r="AF160" s="39" t="s">
        <v>2</v>
      </c>
      <c r="AH160" s="20">
        <f t="shared" si="18"/>
        <v>0</v>
      </c>
      <c r="AI160" s="20">
        <f t="shared" si="19"/>
        <v>0</v>
      </c>
    </row>
    <row r="161" spans="1:35" ht="20.100000000000001" hidden="1" customHeight="1">
      <c r="A161" s="24" t="str">
        <f>ÖSSZES!$A$39</f>
        <v>Név14</v>
      </c>
      <c r="B161" s="19"/>
      <c r="C161" s="19"/>
      <c r="D161" s="19"/>
      <c r="E161" s="19"/>
      <c r="F161" s="19"/>
      <c r="G161" s="39" t="s">
        <v>2</v>
      </c>
      <c r="H161" s="39" t="s">
        <v>2</v>
      </c>
      <c r="I161" s="19"/>
      <c r="J161" s="19"/>
      <c r="K161" s="19"/>
      <c r="L161" s="19"/>
      <c r="M161" s="19"/>
      <c r="N161" s="19"/>
      <c r="O161" s="39" t="s">
        <v>2</v>
      </c>
      <c r="P161" s="39" t="s">
        <v>2</v>
      </c>
      <c r="Q161" s="19"/>
      <c r="R161" s="19"/>
      <c r="S161" s="19"/>
      <c r="T161" s="19"/>
      <c r="U161" s="19"/>
      <c r="V161" s="19"/>
      <c r="W161" s="39" t="s">
        <v>2</v>
      </c>
      <c r="X161" s="39" t="s">
        <v>2</v>
      </c>
      <c r="Y161" s="19"/>
      <c r="Z161" s="19"/>
      <c r="AA161" s="19"/>
      <c r="AB161" s="19"/>
      <c r="AC161" s="19"/>
      <c r="AD161" s="19"/>
      <c r="AE161" s="39" t="s">
        <v>2</v>
      </c>
      <c r="AF161" s="39" t="s">
        <v>2</v>
      </c>
      <c r="AH161" s="20">
        <f t="shared" si="18"/>
        <v>0</v>
      </c>
      <c r="AI161" s="20">
        <f t="shared" si="19"/>
        <v>0</v>
      </c>
    </row>
    <row r="162" spans="1:35" ht="20.100000000000001" hidden="1" customHeight="1">
      <c r="A162" s="24" t="str">
        <f>ÖSSZES!$A$40</f>
        <v>Név15</v>
      </c>
      <c r="B162" s="19"/>
      <c r="C162" s="19"/>
      <c r="D162" s="19"/>
      <c r="E162" s="19"/>
      <c r="F162" s="19"/>
      <c r="G162" s="39" t="s">
        <v>2</v>
      </c>
      <c r="H162" s="39" t="s">
        <v>2</v>
      </c>
      <c r="I162" s="19"/>
      <c r="J162" s="19"/>
      <c r="K162" s="19"/>
      <c r="L162" s="19"/>
      <c r="M162" s="19"/>
      <c r="N162" s="19"/>
      <c r="O162" s="39" t="s">
        <v>2</v>
      </c>
      <c r="P162" s="39" t="s">
        <v>2</v>
      </c>
      <c r="Q162" s="19"/>
      <c r="R162" s="19"/>
      <c r="S162" s="19"/>
      <c r="T162" s="19"/>
      <c r="U162" s="19"/>
      <c r="V162" s="19"/>
      <c r="W162" s="39" t="s">
        <v>2</v>
      </c>
      <c r="X162" s="39" t="s">
        <v>2</v>
      </c>
      <c r="Y162" s="19"/>
      <c r="Z162" s="19"/>
      <c r="AA162" s="19"/>
      <c r="AB162" s="19"/>
      <c r="AC162" s="19"/>
      <c r="AD162" s="19"/>
      <c r="AE162" s="39" t="s">
        <v>2</v>
      </c>
      <c r="AF162" s="39" t="s">
        <v>2</v>
      </c>
      <c r="AH162" s="20">
        <f t="shared" si="18"/>
        <v>0</v>
      </c>
      <c r="AI162" s="20">
        <f t="shared" si="19"/>
        <v>0</v>
      </c>
    </row>
    <row r="163" spans="1:35" ht="20.100000000000001" hidden="1" customHeight="1">
      <c r="A163" s="24" t="str">
        <f>ÖSSZES!$A$41</f>
        <v>Név16</v>
      </c>
      <c r="B163" s="19"/>
      <c r="C163" s="19"/>
      <c r="D163" s="19"/>
      <c r="E163" s="19"/>
      <c r="F163" s="19"/>
      <c r="G163" s="39" t="s">
        <v>2</v>
      </c>
      <c r="H163" s="39" t="s">
        <v>2</v>
      </c>
      <c r="I163" s="19"/>
      <c r="J163" s="19"/>
      <c r="K163" s="19"/>
      <c r="L163" s="19"/>
      <c r="M163" s="19"/>
      <c r="N163" s="19"/>
      <c r="O163" s="39" t="s">
        <v>2</v>
      </c>
      <c r="P163" s="39" t="s">
        <v>2</v>
      </c>
      <c r="Q163" s="19"/>
      <c r="R163" s="19"/>
      <c r="S163" s="19"/>
      <c r="T163" s="19"/>
      <c r="U163" s="19"/>
      <c r="V163" s="19"/>
      <c r="W163" s="39" t="s">
        <v>2</v>
      </c>
      <c r="X163" s="39" t="s">
        <v>2</v>
      </c>
      <c r="Y163" s="19"/>
      <c r="Z163" s="19"/>
      <c r="AA163" s="19"/>
      <c r="AB163" s="19"/>
      <c r="AC163" s="19"/>
      <c r="AD163" s="19"/>
      <c r="AE163" s="39" t="s">
        <v>2</v>
      </c>
      <c r="AF163" s="39" t="s">
        <v>2</v>
      </c>
      <c r="AH163" s="20">
        <f t="shared" si="18"/>
        <v>0</v>
      </c>
      <c r="AI163" s="20">
        <f t="shared" si="19"/>
        <v>0</v>
      </c>
    </row>
    <row r="164" spans="1:35" ht="20.100000000000001" hidden="1" customHeight="1">
      <c r="A164" s="24" t="str">
        <f>ÖSSZES!$A$42</f>
        <v>Név17</v>
      </c>
      <c r="B164" s="19"/>
      <c r="C164" s="19"/>
      <c r="D164" s="19"/>
      <c r="E164" s="19"/>
      <c r="F164" s="19"/>
      <c r="G164" s="39" t="s">
        <v>2</v>
      </c>
      <c r="H164" s="39" t="s">
        <v>2</v>
      </c>
      <c r="I164" s="19"/>
      <c r="J164" s="19"/>
      <c r="K164" s="19"/>
      <c r="L164" s="19"/>
      <c r="M164" s="19"/>
      <c r="N164" s="19"/>
      <c r="O164" s="39" t="s">
        <v>2</v>
      </c>
      <c r="P164" s="39" t="s">
        <v>2</v>
      </c>
      <c r="Q164" s="19"/>
      <c r="R164" s="19"/>
      <c r="S164" s="19"/>
      <c r="T164" s="19"/>
      <c r="U164" s="19"/>
      <c r="V164" s="19"/>
      <c r="W164" s="39" t="s">
        <v>2</v>
      </c>
      <c r="X164" s="39" t="s">
        <v>2</v>
      </c>
      <c r="Y164" s="19"/>
      <c r="Z164" s="19"/>
      <c r="AA164" s="19"/>
      <c r="AB164" s="19"/>
      <c r="AC164" s="19"/>
      <c r="AD164" s="19"/>
      <c r="AE164" s="39" t="s">
        <v>2</v>
      </c>
      <c r="AF164" s="39" t="s">
        <v>2</v>
      </c>
      <c r="AH164" s="20">
        <f t="shared" si="18"/>
        <v>0</v>
      </c>
      <c r="AI164" s="20">
        <f t="shared" si="19"/>
        <v>0</v>
      </c>
    </row>
    <row r="165" spans="1:35" ht="20.100000000000001" hidden="1" customHeight="1">
      <c r="A165" s="24" t="str">
        <f>ÖSSZES!$A$43</f>
        <v>Név18</v>
      </c>
      <c r="B165" s="19"/>
      <c r="C165" s="19"/>
      <c r="D165" s="19"/>
      <c r="E165" s="19"/>
      <c r="F165" s="19"/>
      <c r="G165" s="39" t="s">
        <v>2</v>
      </c>
      <c r="H165" s="39" t="s">
        <v>2</v>
      </c>
      <c r="I165" s="19"/>
      <c r="J165" s="19"/>
      <c r="K165" s="19"/>
      <c r="L165" s="19"/>
      <c r="M165" s="19"/>
      <c r="N165" s="19"/>
      <c r="O165" s="39" t="s">
        <v>2</v>
      </c>
      <c r="P165" s="39" t="s">
        <v>2</v>
      </c>
      <c r="Q165" s="19"/>
      <c r="R165" s="19"/>
      <c r="S165" s="19"/>
      <c r="T165" s="19"/>
      <c r="U165" s="19"/>
      <c r="V165" s="19"/>
      <c r="W165" s="39" t="s">
        <v>2</v>
      </c>
      <c r="X165" s="39" t="s">
        <v>2</v>
      </c>
      <c r="Y165" s="19"/>
      <c r="Z165" s="19"/>
      <c r="AA165" s="19"/>
      <c r="AB165" s="19"/>
      <c r="AC165" s="19"/>
      <c r="AD165" s="19"/>
      <c r="AE165" s="39" t="s">
        <v>2</v>
      </c>
      <c r="AF165" s="39" t="s">
        <v>2</v>
      </c>
      <c r="AH165" s="20">
        <f t="shared" si="18"/>
        <v>0</v>
      </c>
      <c r="AI165" s="20">
        <f t="shared" si="19"/>
        <v>0</v>
      </c>
    </row>
    <row r="166" spans="1:35" ht="20.100000000000001" hidden="1" customHeight="1">
      <c r="A166" s="24" t="str">
        <f>ÖSSZES!$A$44</f>
        <v>Név19</v>
      </c>
      <c r="B166" s="19"/>
      <c r="C166" s="19"/>
      <c r="D166" s="19"/>
      <c r="E166" s="19"/>
      <c r="F166" s="19"/>
      <c r="G166" s="39" t="s">
        <v>2</v>
      </c>
      <c r="H166" s="39" t="s">
        <v>2</v>
      </c>
      <c r="I166" s="19"/>
      <c r="J166" s="19"/>
      <c r="K166" s="19"/>
      <c r="L166" s="19"/>
      <c r="M166" s="19"/>
      <c r="N166" s="19"/>
      <c r="O166" s="39" t="s">
        <v>2</v>
      </c>
      <c r="P166" s="39" t="s">
        <v>2</v>
      </c>
      <c r="Q166" s="19"/>
      <c r="R166" s="19"/>
      <c r="S166" s="19"/>
      <c r="T166" s="19"/>
      <c r="U166" s="19"/>
      <c r="V166" s="19"/>
      <c r="W166" s="39" t="s">
        <v>2</v>
      </c>
      <c r="X166" s="39" t="s">
        <v>2</v>
      </c>
      <c r="Y166" s="19"/>
      <c r="Z166" s="19"/>
      <c r="AA166" s="19"/>
      <c r="AB166" s="19"/>
      <c r="AC166" s="19"/>
      <c r="AD166" s="19"/>
      <c r="AE166" s="39" t="s">
        <v>2</v>
      </c>
      <c r="AF166" s="39" t="s">
        <v>2</v>
      </c>
      <c r="AH166" s="20">
        <f t="shared" si="18"/>
        <v>0</v>
      </c>
      <c r="AI166" s="20">
        <f t="shared" si="19"/>
        <v>0</v>
      </c>
    </row>
    <row r="167" spans="1:35" ht="20.100000000000001" hidden="1" customHeight="1">
      <c r="A167" s="24" t="str">
        <f>ÖSSZES!$A$45</f>
        <v>Név20</v>
      </c>
      <c r="B167" s="19"/>
      <c r="C167" s="19"/>
      <c r="D167" s="19"/>
      <c r="E167" s="19"/>
      <c r="F167" s="19"/>
      <c r="G167" s="39" t="s">
        <v>2</v>
      </c>
      <c r="H167" s="39" t="s">
        <v>2</v>
      </c>
      <c r="I167" s="19"/>
      <c r="J167" s="19"/>
      <c r="K167" s="19"/>
      <c r="L167" s="19"/>
      <c r="M167" s="19"/>
      <c r="N167" s="19"/>
      <c r="O167" s="39" t="s">
        <v>2</v>
      </c>
      <c r="P167" s="39" t="s">
        <v>2</v>
      </c>
      <c r="Q167" s="19"/>
      <c r="R167" s="19"/>
      <c r="S167" s="19"/>
      <c r="T167" s="19"/>
      <c r="U167" s="19"/>
      <c r="V167" s="19"/>
      <c r="W167" s="39" t="s">
        <v>2</v>
      </c>
      <c r="X167" s="39" t="s">
        <v>2</v>
      </c>
      <c r="Y167" s="19"/>
      <c r="Z167" s="19"/>
      <c r="AA167" s="19"/>
      <c r="AB167" s="19"/>
      <c r="AC167" s="19"/>
      <c r="AD167" s="19"/>
      <c r="AE167" s="39" t="s">
        <v>2</v>
      </c>
      <c r="AF167" s="39" t="s">
        <v>2</v>
      </c>
      <c r="AH167" s="20">
        <f t="shared" si="18"/>
        <v>0</v>
      </c>
      <c r="AI167" s="20">
        <f t="shared" si="19"/>
        <v>0</v>
      </c>
    </row>
    <row r="168" spans="1:35" ht="20.100000000000001" customHeight="1"/>
    <row r="169" spans="1:35" s="11" customFormat="1" ht="20.100000000000001" customHeight="1">
      <c r="A169" s="57" t="s">
        <v>12</v>
      </c>
      <c r="B169" s="23">
        <v>1</v>
      </c>
      <c r="C169" s="23">
        <v>2</v>
      </c>
      <c r="D169" s="23">
        <v>3</v>
      </c>
      <c r="E169" s="23">
        <v>4</v>
      </c>
      <c r="F169" s="23">
        <v>5</v>
      </c>
      <c r="G169" s="23">
        <v>6</v>
      </c>
      <c r="H169" s="23">
        <v>7</v>
      </c>
      <c r="I169" s="23">
        <v>8</v>
      </c>
      <c r="J169" s="23">
        <v>9</v>
      </c>
      <c r="K169" s="23">
        <v>10</v>
      </c>
      <c r="L169" s="23">
        <v>11</v>
      </c>
      <c r="M169" s="23">
        <v>12</v>
      </c>
      <c r="N169" s="23">
        <v>13</v>
      </c>
      <c r="O169" s="23">
        <v>14</v>
      </c>
      <c r="P169" s="23">
        <v>15</v>
      </c>
      <c r="Q169" s="23">
        <v>16</v>
      </c>
      <c r="R169" s="23">
        <v>17</v>
      </c>
      <c r="S169" s="23">
        <v>18</v>
      </c>
      <c r="T169" s="23">
        <v>19</v>
      </c>
      <c r="U169" s="25">
        <v>20</v>
      </c>
      <c r="V169" s="23">
        <v>21</v>
      </c>
      <c r="W169" s="23">
        <v>22</v>
      </c>
      <c r="X169" s="23">
        <v>23</v>
      </c>
      <c r="Y169" s="23">
        <v>24</v>
      </c>
      <c r="Z169" s="23">
        <v>25</v>
      </c>
      <c r="AA169" s="23">
        <v>26</v>
      </c>
      <c r="AB169" s="23">
        <v>27</v>
      </c>
      <c r="AC169" s="23">
        <v>28</v>
      </c>
      <c r="AD169" s="23">
        <v>29</v>
      </c>
      <c r="AE169" s="23">
        <v>30</v>
      </c>
      <c r="AF169" s="23">
        <v>31</v>
      </c>
      <c r="AH169" s="59" t="s">
        <v>18</v>
      </c>
      <c r="AI169" s="59" t="s">
        <v>19</v>
      </c>
    </row>
    <row r="170" spans="1:35" ht="20.100000000000001" customHeight="1">
      <c r="A170" s="58"/>
      <c r="B170" s="15" t="str">
        <f>'2021'!B60</f>
        <v>V</v>
      </c>
      <c r="C170" s="15" t="str">
        <f>'2021'!C60</f>
        <v>H</v>
      </c>
      <c r="D170" s="15" t="str">
        <f>'2021'!D60</f>
        <v>K</v>
      </c>
      <c r="E170" s="15" t="str">
        <f>'2021'!E60</f>
        <v>Sze</v>
      </c>
      <c r="F170" s="15" t="str">
        <f>'2021'!F60</f>
        <v>Cs</v>
      </c>
      <c r="G170" s="15" t="str">
        <f>'2021'!G60</f>
        <v>P</v>
      </c>
      <c r="H170" s="15" t="str">
        <f>'2021'!H60</f>
        <v>Szo</v>
      </c>
      <c r="I170" s="15" t="str">
        <f>'2021'!I60</f>
        <v>V</v>
      </c>
      <c r="J170" s="15" t="str">
        <f>'2021'!J60</f>
        <v>H</v>
      </c>
      <c r="K170" s="15" t="str">
        <f>'2021'!K60</f>
        <v>K</v>
      </c>
      <c r="L170" s="15" t="str">
        <f>'2021'!L60</f>
        <v>Sze</v>
      </c>
      <c r="M170" s="15" t="str">
        <f>'2021'!M60</f>
        <v>Cs</v>
      </c>
      <c r="N170" s="15" t="str">
        <f>'2021'!N60</f>
        <v>P</v>
      </c>
      <c r="O170" s="15" t="str">
        <f>'2021'!O60</f>
        <v>Szo</v>
      </c>
      <c r="P170" s="15" t="str">
        <f>'2021'!P60</f>
        <v>V</v>
      </c>
      <c r="Q170" s="15" t="str">
        <f>'2021'!Q60</f>
        <v>H</v>
      </c>
      <c r="R170" s="15" t="str">
        <f>'2021'!R60</f>
        <v>K</v>
      </c>
      <c r="S170" s="15" t="str">
        <f>'2021'!S60</f>
        <v>Sze</v>
      </c>
      <c r="T170" s="15" t="str">
        <f>'2021'!T60</f>
        <v>Cs</v>
      </c>
      <c r="U170" s="15" t="str">
        <f>'2021'!U60</f>
        <v>P</v>
      </c>
      <c r="V170" s="15" t="str">
        <f>'2021'!V60</f>
        <v>Szo</v>
      </c>
      <c r="W170" s="15" t="str">
        <f>'2021'!W60</f>
        <v>V</v>
      </c>
      <c r="X170" s="15" t="str">
        <f>'2021'!X60</f>
        <v>H</v>
      </c>
      <c r="Y170" s="15" t="str">
        <f>'2021'!Y60</f>
        <v>K</v>
      </c>
      <c r="Z170" s="15" t="str">
        <f>'2021'!Z60</f>
        <v>Sze</v>
      </c>
      <c r="AA170" s="15" t="str">
        <f>'2021'!AA60</f>
        <v>Cs</v>
      </c>
      <c r="AB170" s="15" t="str">
        <f>'2021'!AB60</f>
        <v>P</v>
      </c>
      <c r="AC170" s="15" t="str">
        <f>'2021'!AC60</f>
        <v>Szo</v>
      </c>
      <c r="AD170" s="15" t="str">
        <f>'2021'!AD60</f>
        <v>V</v>
      </c>
      <c r="AE170" s="15" t="str">
        <f>'2021'!AE60</f>
        <v>H</v>
      </c>
      <c r="AF170" s="15" t="str">
        <f>'2021'!AF60</f>
        <v>K</v>
      </c>
      <c r="AH170" s="60"/>
      <c r="AI170" s="60"/>
    </row>
    <row r="171" spans="1:35" ht="20.100000000000001" customHeight="1">
      <c r="A171" s="58"/>
      <c r="B171" s="15">
        <f>'2021'!B62</f>
        <v>3</v>
      </c>
      <c r="C171" s="15">
        <f>'2021'!C62</f>
        <v>3</v>
      </c>
      <c r="D171" s="15">
        <f>'2021'!D62</f>
        <v>3</v>
      </c>
      <c r="E171" s="15">
        <f>'2021'!E62</f>
        <v>3</v>
      </c>
      <c r="F171" s="15">
        <f>'2021'!F62</f>
        <v>3</v>
      </c>
      <c r="G171" s="15">
        <f>'2021'!G62</f>
        <v>3</v>
      </c>
      <c r="H171" s="15" t="str">
        <f>'2021'!H62</f>
        <v>X</v>
      </c>
      <c r="I171" s="15" t="str">
        <f>'2021'!I62</f>
        <v>X</v>
      </c>
      <c r="J171" s="15">
        <f>'2021'!J62</f>
        <v>2</v>
      </c>
      <c r="K171" s="15">
        <f>'2021'!K62</f>
        <v>2</v>
      </c>
      <c r="L171" s="15">
        <f>'2021'!L62</f>
        <v>2</v>
      </c>
      <c r="M171" s="15">
        <f>'2021'!M62</f>
        <v>2</v>
      </c>
      <c r="N171" s="15">
        <f>'2021'!N62</f>
        <v>2</v>
      </c>
      <c r="O171" s="15">
        <f>'2021'!O62</f>
        <v>2</v>
      </c>
      <c r="P171" s="15" t="str">
        <f>'2021'!P62</f>
        <v>X</v>
      </c>
      <c r="Q171" s="15" t="str">
        <f>'2021'!Q62</f>
        <v>X</v>
      </c>
      <c r="R171" s="15">
        <f>'2021'!R62</f>
        <v>1</v>
      </c>
      <c r="S171" s="15">
        <f>'2021'!S62</f>
        <v>1</v>
      </c>
      <c r="T171" s="15">
        <f>'2021'!T62</f>
        <v>1</v>
      </c>
      <c r="U171" s="15">
        <f>'2021'!U62</f>
        <v>1</v>
      </c>
      <c r="V171" s="15">
        <f>'2021'!V62</f>
        <v>1</v>
      </c>
      <c r="W171" s="15">
        <f>'2021'!W62</f>
        <v>1</v>
      </c>
      <c r="X171" s="15" t="str">
        <f>'2021'!X62</f>
        <v>X</v>
      </c>
      <c r="Y171" s="15" t="str">
        <f>'2021'!Y62</f>
        <v>X</v>
      </c>
      <c r="Z171" s="15">
        <f>'2021'!Z62</f>
        <v>3</v>
      </c>
      <c r="AA171" s="15">
        <f>'2021'!AA62</f>
        <v>3</v>
      </c>
      <c r="AB171" s="15">
        <f>'2021'!AB62</f>
        <v>3</v>
      </c>
      <c r="AC171" s="15">
        <f>'2021'!AC62</f>
        <v>3</v>
      </c>
      <c r="AD171" s="15">
        <f>'2021'!AD62</f>
        <v>3</v>
      </c>
      <c r="AE171" s="15">
        <f>'2021'!AE62</f>
        <v>3</v>
      </c>
      <c r="AF171" s="15" t="str">
        <f>'2021'!AF62</f>
        <v>X</v>
      </c>
      <c r="AH171" s="60"/>
      <c r="AI171" s="60"/>
    </row>
    <row r="172" spans="1:35" ht="20.100000000000001" customHeight="1">
      <c r="A172" s="24" t="str">
        <f>ÖSSZES!$A$26</f>
        <v>Katona László</v>
      </c>
      <c r="B172" s="19"/>
      <c r="C172" s="19"/>
      <c r="D172" s="19"/>
      <c r="E172" s="19"/>
      <c r="F172" s="19"/>
      <c r="G172" s="19"/>
      <c r="H172" s="39" t="s">
        <v>2</v>
      </c>
      <c r="I172" s="39" t="s">
        <v>2</v>
      </c>
      <c r="J172" s="19"/>
      <c r="K172" s="19"/>
      <c r="L172" s="19"/>
      <c r="M172" s="19"/>
      <c r="N172" s="19"/>
      <c r="O172" s="19"/>
      <c r="P172" s="39" t="s">
        <v>2</v>
      </c>
      <c r="Q172" s="39" t="s">
        <v>2</v>
      </c>
      <c r="R172" s="19"/>
      <c r="S172" s="19"/>
      <c r="T172" s="19"/>
      <c r="U172" s="19"/>
      <c r="V172" s="19"/>
      <c r="W172" s="19"/>
      <c r="X172" s="39" t="s">
        <v>2</v>
      </c>
      <c r="Y172" s="39" t="s">
        <v>2</v>
      </c>
      <c r="Z172" s="19"/>
      <c r="AA172" s="19"/>
      <c r="AB172" s="19"/>
      <c r="AC172" s="19"/>
      <c r="AD172" s="19"/>
      <c r="AE172" s="19"/>
      <c r="AF172" s="39" t="s">
        <v>2</v>
      </c>
      <c r="AH172" s="20">
        <f>1*COUNTIF(A172:AF172,"+")</f>
        <v>0</v>
      </c>
      <c r="AI172" s="20">
        <f t="shared" ref="AI172" si="20">1*COUNTIF(B172:AF172,"szf")</f>
        <v>0</v>
      </c>
    </row>
    <row r="173" spans="1:35" ht="20.100000000000001" customHeight="1">
      <c r="A173" s="24" t="str">
        <f>ÖSSZES!$A$27</f>
        <v>Fényi László</v>
      </c>
      <c r="B173" s="19"/>
      <c r="C173" s="19"/>
      <c r="D173" s="19"/>
      <c r="E173" s="19"/>
      <c r="F173" s="19"/>
      <c r="G173" s="19"/>
      <c r="H173" s="39" t="s">
        <v>2</v>
      </c>
      <c r="I173" s="39" t="s">
        <v>2</v>
      </c>
      <c r="J173" s="19"/>
      <c r="K173" s="19"/>
      <c r="L173" s="19"/>
      <c r="M173" s="19"/>
      <c r="N173" s="19"/>
      <c r="O173" s="19"/>
      <c r="P173" s="39" t="s">
        <v>2</v>
      </c>
      <c r="Q173" s="39" t="s">
        <v>2</v>
      </c>
      <c r="R173" s="19"/>
      <c r="S173" s="19"/>
      <c r="T173" s="19"/>
      <c r="U173" s="19"/>
      <c r="V173" s="19"/>
      <c r="W173" s="19"/>
      <c r="X173" s="39" t="s">
        <v>2</v>
      </c>
      <c r="Y173" s="39" t="s">
        <v>2</v>
      </c>
      <c r="Z173" s="19"/>
      <c r="AA173" s="19"/>
      <c r="AB173" s="19"/>
      <c r="AC173" s="19"/>
      <c r="AD173" s="19"/>
      <c r="AE173" s="19"/>
      <c r="AF173" s="39" t="s">
        <v>2</v>
      </c>
      <c r="AH173" s="20">
        <f t="shared" ref="AH173:AH191" si="21">1*COUNTIF(A173:AF173,"+")</f>
        <v>0</v>
      </c>
      <c r="AI173" s="20">
        <f t="shared" ref="AI173:AI191" si="22">1*COUNTIF(B173:AF173,"szf")</f>
        <v>0</v>
      </c>
    </row>
    <row r="174" spans="1:35" ht="20.100000000000001" customHeight="1">
      <c r="A174" s="24" t="str">
        <f>ÖSSZES!$A$28</f>
        <v>Habara Gábor</v>
      </c>
      <c r="B174" s="19"/>
      <c r="C174" s="19"/>
      <c r="D174" s="19"/>
      <c r="E174" s="19"/>
      <c r="F174" s="19"/>
      <c r="G174" s="19"/>
      <c r="H174" s="39" t="s">
        <v>2</v>
      </c>
      <c r="I174" s="39" t="s">
        <v>2</v>
      </c>
      <c r="J174" s="19"/>
      <c r="K174" s="19"/>
      <c r="L174" s="19"/>
      <c r="M174" s="19"/>
      <c r="N174" s="19"/>
      <c r="O174" s="19"/>
      <c r="P174" s="39" t="s">
        <v>2</v>
      </c>
      <c r="Q174" s="39" t="s">
        <v>2</v>
      </c>
      <c r="R174" s="19"/>
      <c r="S174" s="19"/>
      <c r="T174" s="19"/>
      <c r="U174" s="19"/>
      <c r="V174" s="19"/>
      <c r="W174" s="19"/>
      <c r="X174" s="39" t="s">
        <v>2</v>
      </c>
      <c r="Y174" s="39" t="s">
        <v>2</v>
      </c>
      <c r="Z174" s="19"/>
      <c r="AA174" s="19"/>
      <c r="AB174" s="19"/>
      <c r="AC174" s="19"/>
      <c r="AD174" s="19"/>
      <c r="AE174" s="19"/>
      <c r="AF174" s="39" t="s">
        <v>2</v>
      </c>
      <c r="AH174" s="20">
        <f t="shared" si="21"/>
        <v>0</v>
      </c>
      <c r="AI174" s="20">
        <f t="shared" si="22"/>
        <v>0</v>
      </c>
    </row>
    <row r="175" spans="1:35" ht="20.100000000000001" customHeight="1">
      <c r="A175" s="24" t="str">
        <f>ÖSSZES!$A$29</f>
        <v>Holba Imre</v>
      </c>
      <c r="B175" s="19"/>
      <c r="C175" s="19"/>
      <c r="D175" s="19"/>
      <c r="E175" s="19"/>
      <c r="F175" s="19"/>
      <c r="G175" s="19"/>
      <c r="H175" s="39" t="s">
        <v>2</v>
      </c>
      <c r="I175" s="39" t="s">
        <v>2</v>
      </c>
      <c r="J175" s="19"/>
      <c r="K175" s="19"/>
      <c r="L175" s="19"/>
      <c r="M175" s="19"/>
      <c r="N175" s="19"/>
      <c r="O175" s="19"/>
      <c r="P175" s="39" t="s">
        <v>2</v>
      </c>
      <c r="Q175" s="39" t="s">
        <v>2</v>
      </c>
      <c r="R175" s="19"/>
      <c r="S175" s="19"/>
      <c r="T175" s="19"/>
      <c r="U175" s="19"/>
      <c r="V175" s="19"/>
      <c r="W175" s="19"/>
      <c r="X175" s="39" t="s">
        <v>2</v>
      </c>
      <c r="Y175" s="39" t="s">
        <v>2</v>
      </c>
      <c r="Z175" s="19"/>
      <c r="AA175" s="19"/>
      <c r="AB175" s="19"/>
      <c r="AC175" s="19"/>
      <c r="AD175" s="19"/>
      <c r="AE175" s="19"/>
      <c r="AF175" s="39" t="s">
        <v>2</v>
      </c>
      <c r="AH175" s="20">
        <f t="shared" si="21"/>
        <v>0</v>
      </c>
      <c r="AI175" s="20">
        <f t="shared" si="22"/>
        <v>0</v>
      </c>
    </row>
    <row r="176" spans="1:35" ht="20.100000000000001" customHeight="1">
      <c r="A176" s="24" t="str">
        <f>ÖSSZES!$A$30</f>
        <v>Király Bálint Donát</v>
      </c>
      <c r="B176" s="19"/>
      <c r="C176" s="19"/>
      <c r="D176" s="19"/>
      <c r="E176" s="19"/>
      <c r="F176" s="19"/>
      <c r="G176" s="19"/>
      <c r="H176" s="39" t="s">
        <v>2</v>
      </c>
      <c r="I176" s="39" t="s">
        <v>2</v>
      </c>
      <c r="J176" s="19"/>
      <c r="K176" s="19"/>
      <c r="L176" s="19"/>
      <c r="M176" s="19"/>
      <c r="N176" s="19"/>
      <c r="O176" s="19"/>
      <c r="P176" s="39" t="s">
        <v>2</v>
      </c>
      <c r="Q176" s="39" t="s">
        <v>2</v>
      </c>
      <c r="R176" s="19"/>
      <c r="S176" s="19"/>
      <c r="T176" s="19"/>
      <c r="U176" s="19"/>
      <c r="V176" s="19"/>
      <c r="W176" s="19"/>
      <c r="X176" s="39" t="s">
        <v>2</v>
      </c>
      <c r="Y176" s="39" t="s">
        <v>2</v>
      </c>
      <c r="Z176" s="19"/>
      <c r="AA176" s="19"/>
      <c r="AB176" s="19"/>
      <c r="AC176" s="19"/>
      <c r="AD176" s="19"/>
      <c r="AE176" s="19"/>
      <c r="AF176" s="39" t="s">
        <v>2</v>
      </c>
      <c r="AH176" s="20">
        <f t="shared" si="21"/>
        <v>0</v>
      </c>
      <c r="AI176" s="20">
        <f t="shared" si="22"/>
        <v>0</v>
      </c>
    </row>
    <row r="177" spans="1:35" ht="20.100000000000001" customHeight="1">
      <c r="A177" s="24" t="str">
        <f>ÖSSZES!$A$31</f>
        <v>Kiss János Tamás</v>
      </c>
      <c r="B177" s="19"/>
      <c r="C177" s="19"/>
      <c r="D177" s="19"/>
      <c r="E177" s="19"/>
      <c r="F177" s="19"/>
      <c r="G177" s="19"/>
      <c r="H177" s="39" t="s">
        <v>2</v>
      </c>
      <c r="I177" s="39" t="s">
        <v>2</v>
      </c>
      <c r="J177" s="19"/>
      <c r="K177" s="19"/>
      <c r="L177" s="19"/>
      <c r="M177" s="19"/>
      <c r="N177" s="19"/>
      <c r="O177" s="19"/>
      <c r="P177" s="39" t="s">
        <v>2</v>
      </c>
      <c r="Q177" s="39" t="s">
        <v>2</v>
      </c>
      <c r="R177" s="19"/>
      <c r="S177" s="19"/>
      <c r="T177" s="19"/>
      <c r="U177" s="19"/>
      <c r="V177" s="19"/>
      <c r="W177" s="19"/>
      <c r="X177" s="39" t="s">
        <v>2</v>
      </c>
      <c r="Y177" s="39" t="s">
        <v>2</v>
      </c>
      <c r="Z177" s="19"/>
      <c r="AA177" s="19"/>
      <c r="AB177" s="19"/>
      <c r="AC177" s="19"/>
      <c r="AD177" s="19"/>
      <c r="AE177" s="19"/>
      <c r="AF177" s="39" t="s">
        <v>2</v>
      </c>
      <c r="AH177" s="20">
        <f t="shared" si="21"/>
        <v>0</v>
      </c>
      <c r="AI177" s="20">
        <f t="shared" si="22"/>
        <v>0</v>
      </c>
    </row>
    <row r="178" spans="1:35" ht="20.100000000000001" customHeight="1">
      <c r="A178" s="24" t="str">
        <f>ÖSSZES!$A$32</f>
        <v>Mezei Lajos</v>
      </c>
      <c r="B178" s="19"/>
      <c r="C178" s="19"/>
      <c r="D178" s="19"/>
      <c r="E178" s="19"/>
      <c r="F178" s="19"/>
      <c r="G178" s="19"/>
      <c r="H178" s="39" t="s">
        <v>2</v>
      </c>
      <c r="I178" s="39" t="s">
        <v>2</v>
      </c>
      <c r="J178" s="19"/>
      <c r="K178" s="19"/>
      <c r="L178" s="19"/>
      <c r="M178" s="19"/>
      <c r="N178" s="19"/>
      <c r="O178" s="19"/>
      <c r="P178" s="39" t="s">
        <v>2</v>
      </c>
      <c r="Q178" s="39" t="s">
        <v>2</v>
      </c>
      <c r="R178" s="19"/>
      <c r="S178" s="19"/>
      <c r="T178" s="19"/>
      <c r="U178" s="19"/>
      <c r="V178" s="19"/>
      <c r="W178" s="19"/>
      <c r="X178" s="39" t="s">
        <v>2</v>
      </c>
      <c r="Y178" s="39" t="s">
        <v>2</v>
      </c>
      <c r="Z178" s="19"/>
      <c r="AA178" s="19"/>
      <c r="AB178" s="19"/>
      <c r="AC178" s="19"/>
      <c r="AD178" s="19"/>
      <c r="AE178" s="19"/>
      <c r="AF178" s="39" t="s">
        <v>2</v>
      </c>
      <c r="AH178" s="20">
        <f t="shared" si="21"/>
        <v>0</v>
      </c>
      <c r="AI178" s="20">
        <f t="shared" si="22"/>
        <v>0</v>
      </c>
    </row>
    <row r="179" spans="1:35" ht="20.100000000000001" hidden="1" customHeight="1">
      <c r="A179" s="24" t="str">
        <f>ÖSSZES!$A$33</f>
        <v>Név8</v>
      </c>
      <c r="B179" s="19"/>
      <c r="C179" s="19"/>
      <c r="D179" s="19"/>
      <c r="E179" s="19"/>
      <c r="F179" s="19"/>
      <c r="G179" s="19"/>
      <c r="H179" s="39" t="s">
        <v>2</v>
      </c>
      <c r="I179" s="39" t="s">
        <v>2</v>
      </c>
      <c r="J179" s="19"/>
      <c r="K179" s="19"/>
      <c r="L179" s="19"/>
      <c r="M179" s="19"/>
      <c r="N179" s="19"/>
      <c r="O179" s="19"/>
      <c r="P179" s="39" t="s">
        <v>2</v>
      </c>
      <c r="Q179" s="39" t="s">
        <v>2</v>
      </c>
      <c r="R179" s="19"/>
      <c r="S179" s="19"/>
      <c r="T179" s="19"/>
      <c r="U179" s="19"/>
      <c r="V179" s="19"/>
      <c r="W179" s="19"/>
      <c r="X179" s="39" t="s">
        <v>2</v>
      </c>
      <c r="Y179" s="39" t="s">
        <v>2</v>
      </c>
      <c r="Z179" s="19"/>
      <c r="AA179" s="19"/>
      <c r="AB179" s="19"/>
      <c r="AC179" s="19"/>
      <c r="AD179" s="19"/>
      <c r="AE179" s="19"/>
      <c r="AF179" s="39" t="s">
        <v>2</v>
      </c>
      <c r="AH179" s="20">
        <f t="shared" si="21"/>
        <v>0</v>
      </c>
      <c r="AI179" s="20">
        <f t="shared" si="22"/>
        <v>0</v>
      </c>
    </row>
    <row r="180" spans="1:35" ht="20.100000000000001" hidden="1" customHeight="1">
      <c r="A180" s="24" t="str">
        <f>ÖSSZES!$A$34</f>
        <v>Név9</v>
      </c>
      <c r="B180" s="19"/>
      <c r="C180" s="19"/>
      <c r="D180" s="19"/>
      <c r="E180" s="19"/>
      <c r="F180" s="19"/>
      <c r="G180" s="19"/>
      <c r="H180" s="39" t="s">
        <v>2</v>
      </c>
      <c r="I180" s="39" t="s">
        <v>2</v>
      </c>
      <c r="J180" s="19"/>
      <c r="K180" s="19"/>
      <c r="L180" s="19"/>
      <c r="M180" s="19"/>
      <c r="N180" s="19"/>
      <c r="O180" s="19"/>
      <c r="P180" s="39" t="s">
        <v>2</v>
      </c>
      <c r="Q180" s="39" t="s">
        <v>2</v>
      </c>
      <c r="R180" s="19"/>
      <c r="S180" s="19"/>
      <c r="T180" s="19"/>
      <c r="U180" s="19"/>
      <c r="V180" s="19"/>
      <c r="W180" s="19"/>
      <c r="X180" s="39" t="s">
        <v>2</v>
      </c>
      <c r="Y180" s="39" t="s">
        <v>2</v>
      </c>
      <c r="Z180" s="19"/>
      <c r="AA180" s="19"/>
      <c r="AB180" s="19"/>
      <c r="AC180" s="19"/>
      <c r="AD180" s="19"/>
      <c r="AE180" s="19"/>
      <c r="AF180" s="39" t="s">
        <v>2</v>
      </c>
      <c r="AH180" s="20">
        <f t="shared" si="21"/>
        <v>0</v>
      </c>
      <c r="AI180" s="20">
        <f t="shared" si="22"/>
        <v>0</v>
      </c>
    </row>
    <row r="181" spans="1:35" ht="20.100000000000001" hidden="1" customHeight="1">
      <c r="A181" s="24" t="str">
        <f>ÖSSZES!$A$35</f>
        <v>Név10</v>
      </c>
      <c r="B181" s="19"/>
      <c r="C181" s="19"/>
      <c r="D181" s="19"/>
      <c r="E181" s="19"/>
      <c r="F181" s="19"/>
      <c r="G181" s="19"/>
      <c r="H181" s="39" t="s">
        <v>2</v>
      </c>
      <c r="I181" s="39" t="s">
        <v>2</v>
      </c>
      <c r="J181" s="19"/>
      <c r="K181" s="19"/>
      <c r="L181" s="19"/>
      <c r="M181" s="19"/>
      <c r="N181" s="19"/>
      <c r="O181" s="19"/>
      <c r="P181" s="39" t="s">
        <v>2</v>
      </c>
      <c r="Q181" s="39" t="s">
        <v>2</v>
      </c>
      <c r="R181" s="19"/>
      <c r="S181" s="19"/>
      <c r="T181" s="19"/>
      <c r="U181" s="19"/>
      <c r="V181" s="19"/>
      <c r="W181" s="19"/>
      <c r="X181" s="39" t="s">
        <v>2</v>
      </c>
      <c r="Y181" s="39" t="s">
        <v>2</v>
      </c>
      <c r="Z181" s="19"/>
      <c r="AA181" s="19"/>
      <c r="AB181" s="19"/>
      <c r="AC181" s="19"/>
      <c r="AD181" s="19"/>
      <c r="AE181" s="19"/>
      <c r="AF181" s="39" t="s">
        <v>2</v>
      </c>
      <c r="AH181" s="20">
        <f t="shared" si="21"/>
        <v>0</v>
      </c>
      <c r="AI181" s="20">
        <f t="shared" si="22"/>
        <v>0</v>
      </c>
    </row>
    <row r="182" spans="1:35" ht="20.100000000000001" hidden="1" customHeight="1">
      <c r="A182" s="24" t="str">
        <f>ÖSSZES!$A$36</f>
        <v>Név11</v>
      </c>
      <c r="B182" s="19"/>
      <c r="C182" s="19"/>
      <c r="D182" s="19"/>
      <c r="E182" s="19"/>
      <c r="F182" s="19"/>
      <c r="G182" s="19"/>
      <c r="H182" s="39" t="s">
        <v>2</v>
      </c>
      <c r="I182" s="39" t="s">
        <v>2</v>
      </c>
      <c r="J182" s="19"/>
      <c r="K182" s="19"/>
      <c r="L182" s="19"/>
      <c r="M182" s="19"/>
      <c r="N182" s="19"/>
      <c r="O182" s="19"/>
      <c r="P182" s="39" t="s">
        <v>2</v>
      </c>
      <c r="Q182" s="39" t="s">
        <v>2</v>
      </c>
      <c r="R182" s="19"/>
      <c r="S182" s="19"/>
      <c r="T182" s="19"/>
      <c r="U182" s="19"/>
      <c r="V182" s="19"/>
      <c r="W182" s="19"/>
      <c r="X182" s="39" t="s">
        <v>2</v>
      </c>
      <c r="Y182" s="39" t="s">
        <v>2</v>
      </c>
      <c r="Z182" s="19"/>
      <c r="AA182" s="19"/>
      <c r="AB182" s="19"/>
      <c r="AC182" s="19"/>
      <c r="AD182" s="19"/>
      <c r="AE182" s="19"/>
      <c r="AF182" s="39" t="s">
        <v>2</v>
      </c>
      <c r="AH182" s="20">
        <f t="shared" si="21"/>
        <v>0</v>
      </c>
      <c r="AI182" s="20">
        <f t="shared" si="22"/>
        <v>0</v>
      </c>
    </row>
    <row r="183" spans="1:35" ht="20.100000000000001" hidden="1" customHeight="1">
      <c r="A183" s="24" t="str">
        <f>ÖSSZES!$A$37</f>
        <v>Név12</v>
      </c>
      <c r="B183" s="19"/>
      <c r="C183" s="19"/>
      <c r="D183" s="19"/>
      <c r="E183" s="19"/>
      <c r="F183" s="19"/>
      <c r="G183" s="19"/>
      <c r="H183" s="39" t="s">
        <v>2</v>
      </c>
      <c r="I183" s="39" t="s">
        <v>2</v>
      </c>
      <c r="J183" s="19"/>
      <c r="K183" s="19"/>
      <c r="L183" s="19"/>
      <c r="M183" s="19"/>
      <c r="N183" s="19"/>
      <c r="O183" s="19"/>
      <c r="P183" s="39" t="s">
        <v>2</v>
      </c>
      <c r="Q183" s="39" t="s">
        <v>2</v>
      </c>
      <c r="R183" s="19"/>
      <c r="S183" s="19"/>
      <c r="T183" s="19"/>
      <c r="U183" s="19"/>
      <c r="V183" s="19"/>
      <c r="W183" s="19"/>
      <c r="X183" s="39" t="s">
        <v>2</v>
      </c>
      <c r="Y183" s="39" t="s">
        <v>2</v>
      </c>
      <c r="Z183" s="19"/>
      <c r="AA183" s="19"/>
      <c r="AB183" s="19"/>
      <c r="AC183" s="19"/>
      <c r="AD183" s="19"/>
      <c r="AE183" s="19"/>
      <c r="AF183" s="39" t="s">
        <v>2</v>
      </c>
      <c r="AH183" s="20">
        <f t="shared" si="21"/>
        <v>0</v>
      </c>
      <c r="AI183" s="20">
        <f t="shared" si="22"/>
        <v>0</v>
      </c>
    </row>
    <row r="184" spans="1:35" ht="20.100000000000001" hidden="1" customHeight="1">
      <c r="A184" s="24" t="str">
        <f>ÖSSZES!$A$38</f>
        <v>Név13</v>
      </c>
      <c r="B184" s="19"/>
      <c r="C184" s="19"/>
      <c r="D184" s="19"/>
      <c r="E184" s="19"/>
      <c r="F184" s="19"/>
      <c r="G184" s="19"/>
      <c r="H184" s="39" t="s">
        <v>2</v>
      </c>
      <c r="I184" s="39" t="s">
        <v>2</v>
      </c>
      <c r="J184" s="19"/>
      <c r="K184" s="19"/>
      <c r="L184" s="19"/>
      <c r="M184" s="19"/>
      <c r="N184" s="19"/>
      <c r="O184" s="19"/>
      <c r="P184" s="39" t="s">
        <v>2</v>
      </c>
      <c r="Q184" s="39" t="s">
        <v>2</v>
      </c>
      <c r="R184" s="19"/>
      <c r="S184" s="19"/>
      <c r="T184" s="19"/>
      <c r="U184" s="19"/>
      <c r="V184" s="19"/>
      <c r="W184" s="19"/>
      <c r="X184" s="39" t="s">
        <v>2</v>
      </c>
      <c r="Y184" s="39" t="s">
        <v>2</v>
      </c>
      <c r="Z184" s="19"/>
      <c r="AA184" s="19"/>
      <c r="AB184" s="19"/>
      <c r="AC184" s="19"/>
      <c r="AD184" s="19"/>
      <c r="AE184" s="19"/>
      <c r="AF184" s="39" t="s">
        <v>2</v>
      </c>
      <c r="AH184" s="20">
        <f t="shared" si="21"/>
        <v>0</v>
      </c>
      <c r="AI184" s="20">
        <f t="shared" si="22"/>
        <v>0</v>
      </c>
    </row>
    <row r="185" spans="1:35" ht="20.100000000000001" hidden="1" customHeight="1">
      <c r="A185" s="24" t="str">
        <f>ÖSSZES!$A$39</f>
        <v>Név14</v>
      </c>
      <c r="B185" s="19"/>
      <c r="C185" s="19"/>
      <c r="D185" s="19"/>
      <c r="E185" s="19"/>
      <c r="F185" s="19"/>
      <c r="G185" s="19"/>
      <c r="H185" s="39" t="s">
        <v>2</v>
      </c>
      <c r="I185" s="39" t="s">
        <v>2</v>
      </c>
      <c r="J185" s="19"/>
      <c r="K185" s="19"/>
      <c r="L185" s="19"/>
      <c r="M185" s="19"/>
      <c r="N185" s="19"/>
      <c r="O185" s="19"/>
      <c r="P185" s="39" t="s">
        <v>2</v>
      </c>
      <c r="Q185" s="39" t="s">
        <v>2</v>
      </c>
      <c r="R185" s="19"/>
      <c r="S185" s="19"/>
      <c r="T185" s="19"/>
      <c r="U185" s="19"/>
      <c r="V185" s="19"/>
      <c r="W185" s="19"/>
      <c r="X185" s="39" t="s">
        <v>2</v>
      </c>
      <c r="Y185" s="39" t="s">
        <v>2</v>
      </c>
      <c r="Z185" s="19"/>
      <c r="AA185" s="19"/>
      <c r="AB185" s="19"/>
      <c r="AC185" s="19"/>
      <c r="AD185" s="19"/>
      <c r="AE185" s="19"/>
      <c r="AF185" s="39" t="s">
        <v>2</v>
      </c>
      <c r="AH185" s="20">
        <f t="shared" si="21"/>
        <v>0</v>
      </c>
      <c r="AI185" s="20">
        <f t="shared" si="22"/>
        <v>0</v>
      </c>
    </row>
    <row r="186" spans="1:35" ht="20.100000000000001" hidden="1" customHeight="1">
      <c r="A186" s="24" t="str">
        <f>ÖSSZES!$A$40</f>
        <v>Név15</v>
      </c>
      <c r="B186" s="19"/>
      <c r="C186" s="19"/>
      <c r="D186" s="19"/>
      <c r="E186" s="19"/>
      <c r="F186" s="19"/>
      <c r="G186" s="19"/>
      <c r="H186" s="39" t="s">
        <v>2</v>
      </c>
      <c r="I186" s="39" t="s">
        <v>2</v>
      </c>
      <c r="J186" s="19"/>
      <c r="K186" s="19"/>
      <c r="L186" s="19"/>
      <c r="M186" s="19"/>
      <c r="N186" s="19"/>
      <c r="O186" s="19"/>
      <c r="P186" s="39" t="s">
        <v>2</v>
      </c>
      <c r="Q186" s="39" t="s">
        <v>2</v>
      </c>
      <c r="R186" s="19"/>
      <c r="S186" s="19"/>
      <c r="T186" s="19"/>
      <c r="U186" s="19"/>
      <c r="V186" s="19"/>
      <c r="W186" s="19"/>
      <c r="X186" s="39" t="s">
        <v>2</v>
      </c>
      <c r="Y186" s="39" t="s">
        <v>2</v>
      </c>
      <c r="Z186" s="19"/>
      <c r="AA186" s="19"/>
      <c r="AB186" s="19"/>
      <c r="AC186" s="19"/>
      <c r="AD186" s="19"/>
      <c r="AE186" s="19"/>
      <c r="AF186" s="39" t="s">
        <v>2</v>
      </c>
      <c r="AH186" s="20">
        <f t="shared" si="21"/>
        <v>0</v>
      </c>
      <c r="AI186" s="20">
        <f t="shared" si="22"/>
        <v>0</v>
      </c>
    </row>
    <row r="187" spans="1:35" ht="20.100000000000001" hidden="1" customHeight="1">
      <c r="A187" s="24" t="str">
        <f>ÖSSZES!$A$41</f>
        <v>Név16</v>
      </c>
      <c r="B187" s="19"/>
      <c r="C187" s="19"/>
      <c r="D187" s="19"/>
      <c r="E187" s="19"/>
      <c r="F187" s="19"/>
      <c r="G187" s="19"/>
      <c r="H187" s="39" t="s">
        <v>2</v>
      </c>
      <c r="I187" s="39" t="s">
        <v>2</v>
      </c>
      <c r="J187" s="19"/>
      <c r="K187" s="19"/>
      <c r="L187" s="19"/>
      <c r="M187" s="19"/>
      <c r="N187" s="19"/>
      <c r="O187" s="19"/>
      <c r="P187" s="39" t="s">
        <v>2</v>
      </c>
      <c r="Q187" s="39" t="s">
        <v>2</v>
      </c>
      <c r="R187" s="19"/>
      <c r="S187" s="19"/>
      <c r="T187" s="19"/>
      <c r="U187" s="19"/>
      <c r="V187" s="19"/>
      <c r="W187" s="19"/>
      <c r="X187" s="39" t="s">
        <v>2</v>
      </c>
      <c r="Y187" s="39" t="s">
        <v>2</v>
      </c>
      <c r="Z187" s="19"/>
      <c r="AA187" s="19"/>
      <c r="AB187" s="19"/>
      <c r="AC187" s="19"/>
      <c r="AD187" s="19"/>
      <c r="AE187" s="19"/>
      <c r="AF187" s="39" t="s">
        <v>2</v>
      </c>
      <c r="AH187" s="20">
        <f t="shared" si="21"/>
        <v>0</v>
      </c>
      <c r="AI187" s="20">
        <f t="shared" si="22"/>
        <v>0</v>
      </c>
    </row>
    <row r="188" spans="1:35" ht="20.100000000000001" hidden="1" customHeight="1">
      <c r="A188" s="24" t="str">
        <f>ÖSSZES!$A$42</f>
        <v>Név17</v>
      </c>
      <c r="B188" s="19"/>
      <c r="C188" s="19"/>
      <c r="D188" s="19"/>
      <c r="E188" s="19"/>
      <c r="F188" s="19"/>
      <c r="G188" s="19"/>
      <c r="H188" s="39" t="s">
        <v>2</v>
      </c>
      <c r="I188" s="39" t="s">
        <v>2</v>
      </c>
      <c r="J188" s="19"/>
      <c r="K188" s="19"/>
      <c r="L188" s="19"/>
      <c r="M188" s="19"/>
      <c r="N188" s="19"/>
      <c r="O188" s="19"/>
      <c r="P188" s="39" t="s">
        <v>2</v>
      </c>
      <c r="Q188" s="39" t="s">
        <v>2</v>
      </c>
      <c r="R188" s="19"/>
      <c r="S188" s="19"/>
      <c r="T188" s="19"/>
      <c r="U188" s="19"/>
      <c r="V188" s="19"/>
      <c r="W188" s="19"/>
      <c r="X188" s="39" t="s">
        <v>2</v>
      </c>
      <c r="Y188" s="39" t="s">
        <v>2</v>
      </c>
      <c r="Z188" s="19"/>
      <c r="AA188" s="19"/>
      <c r="AB188" s="19"/>
      <c r="AC188" s="19"/>
      <c r="AD188" s="19"/>
      <c r="AE188" s="19"/>
      <c r="AF188" s="39" t="s">
        <v>2</v>
      </c>
      <c r="AH188" s="20">
        <f t="shared" si="21"/>
        <v>0</v>
      </c>
      <c r="AI188" s="20">
        <f t="shared" si="22"/>
        <v>0</v>
      </c>
    </row>
    <row r="189" spans="1:35" ht="20.100000000000001" hidden="1" customHeight="1">
      <c r="A189" s="24" t="str">
        <f>ÖSSZES!$A$43</f>
        <v>Név18</v>
      </c>
      <c r="B189" s="19"/>
      <c r="C189" s="19"/>
      <c r="D189" s="19"/>
      <c r="E189" s="19"/>
      <c r="F189" s="19"/>
      <c r="G189" s="19"/>
      <c r="H189" s="39" t="s">
        <v>2</v>
      </c>
      <c r="I189" s="39" t="s">
        <v>2</v>
      </c>
      <c r="J189" s="19"/>
      <c r="K189" s="19"/>
      <c r="L189" s="19"/>
      <c r="M189" s="19"/>
      <c r="N189" s="19"/>
      <c r="O189" s="19"/>
      <c r="P189" s="39" t="s">
        <v>2</v>
      </c>
      <c r="Q189" s="39" t="s">
        <v>2</v>
      </c>
      <c r="R189" s="19"/>
      <c r="S189" s="19"/>
      <c r="T189" s="19"/>
      <c r="U189" s="19"/>
      <c r="V189" s="19"/>
      <c r="W189" s="19"/>
      <c r="X189" s="39" t="s">
        <v>2</v>
      </c>
      <c r="Y189" s="39" t="s">
        <v>2</v>
      </c>
      <c r="Z189" s="19"/>
      <c r="AA189" s="19"/>
      <c r="AB189" s="19"/>
      <c r="AC189" s="19"/>
      <c r="AD189" s="19"/>
      <c r="AE189" s="19"/>
      <c r="AF189" s="39" t="s">
        <v>2</v>
      </c>
      <c r="AH189" s="20">
        <f t="shared" si="21"/>
        <v>0</v>
      </c>
      <c r="AI189" s="20">
        <f t="shared" si="22"/>
        <v>0</v>
      </c>
    </row>
    <row r="190" spans="1:35" ht="20.100000000000001" hidden="1" customHeight="1">
      <c r="A190" s="24" t="str">
        <f>ÖSSZES!$A$44</f>
        <v>Név19</v>
      </c>
      <c r="B190" s="19"/>
      <c r="C190" s="19"/>
      <c r="D190" s="19"/>
      <c r="E190" s="19"/>
      <c r="F190" s="19"/>
      <c r="G190" s="19"/>
      <c r="H190" s="39" t="s">
        <v>2</v>
      </c>
      <c r="I190" s="39" t="s">
        <v>2</v>
      </c>
      <c r="J190" s="19"/>
      <c r="K190" s="19"/>
      <c r="L190" s="19"/>
      <c r="M190" s="19"/>
      <c r="N190" s="19"/>
      <c r="O190" s="19"/>
      <c r="P190" s="39" t="s">
        <v>2</v>
      </c>
      <c r="Q190" s="39" t="s">
        <v>2</v>
      </c>
      <c r="R190" s="19"/>
      <c r="S190" s="19"/>
      <c r="T190" s="19"/>
      <c r="U190" s="19"/>
      <c r="V190" s="19"/>
      <c r="W190" s="19"/>
      <c r="X190" s="39" t="s">
        <v>2</v>
      </c>
      <c r="Y190" s="39" t="s">
        <v>2</v>
      </c>
      <c r="Z190" s="19"/>
      <c r="AA190" s="19"/>
      <c r="AB190" s="19"/>
      <c r="AC190" s="19"/>
      <c r="AD190" s="19"/>
      <c r="AE190" s="19"/>
      <c r="AF190" s="39" t="s">
        <v>2</v>
      </c>
      <c r="AH190" s="20">
        <f t="shared" si="21"/>
        <v>0</v>
      </c>
      <c r="AI190" s="20">
        <f t="shared" si="22"/>
        <v>0</v>
      </c>
    </row>
    <row r="191" spans="1:35" ht="20.100000000000001" hidden="1" customHeight="1">
      <c r="A191" s="24" t="str">
        <f>ÖSSZES!$A$45</f>
        <v>Név20</v>
      </c>
      <c r="B191" s="19"/>
      <c r="C191" s="19"/>
      <c r="D191" s="19"/>
      <c r="E191" s="19"/>
      <c r="F191" s="19"/>
      <c r="G191" s="19"/>
      <c r="H191" s="39" t="s">
        <v>2</v>
      </c>
      <c r="I191" s="39" t="s">
        <v>2</v>
      </c>
      <c r="J191" s="19"/>
      <c r="K191" s="19"/>
      <c r="L191" s="19"/>
      <c r="M191" s="19"/>
      <c r="N191" s="19"/>
      <c r="O191" s="19"/>
      <c r="P191" s="39" t="s">
        <v>2</v>
      </c>
      <c r="Q191" s="39" t="s">
        <v>2</v>
      </c>
      <c r="R191" s="19"/>
      <c r="S191" s="19"/>
      <c r="T191" s="19"/>
      <c r="U191" s="19"/>
      <c r="V191" s="19"/>
      <c r="W191" s="19"/>
      <c r="X191" s="39" t="s">
        <v>2</v>
      </c>
      <c r="Y191" s="39" t="s">
        <v>2</v>
      </c>
      <c r="Z191" s="19"/>
      <c r="AA191" s="19"/>
      <c r="AB191" s="19"/>
      <c r="AC191" s="19"/>
      <c r="AD191" s="19"/>
      <c r="AE191" s="19"/>
      <c r="AF191" s="39" t="s">
        <v>2</v>
      </c>
      <c r="AH191" s="20">
        <f t="shared" si="21"/>
        <v>0</v>
      </c>
      <c r="AI191" s="20">
        <f t="shared" si="22"/>
        <v>0</v>
      </c>
    </row>
    <row r="192" spans="1:35" ht="20.100000000000001" customHeight="1"/>
    <row r="193" spans="1:35" s="11" customFormat="1" ht="20.100000000000001" customHeight="1">
      <c r="A193" s="57" t="s">
        <v>13</v>
      </c>
      <c r="B193" s="23">
        <v>1</v>
      </c>
      <c r="C193" s="23">
        <v>2</v>
      </c>
      <c r="D193" s="23">
        <v>3</v>
      </c>
      <c r="E193" s="23">
        <v>4</v>
      </c>
      <c r="F193" s="23">
        <v>5</v>
      </c>
      <c r="G193" s="23">
        <v>6</v>
      </c>
      <c r="H193" s="23">
        <v>7</v>
      </c>
      <c r="I193" s="23">
        <v>8</v>
      </c>
      <c r="J193" s="23">
        <v>9</v>
      </c>
      <c r="K193" s="23">
        <v>10</v>
      </c>
      <c r="L193" s="23">
        <v>11</v>
      </c>
      <c r="M193" s="23">
        <v>12</v>
      </c>
      <c r="N193" s="23">
        <v>13</v>
      </c>
      <c r="O193" s="23">
        <v>14</v>
      </c>
      <c r="P193" s="23">
        <v>15</v>
      </c>
      <c r="Q193" s="23">
        <v>16</v>
      </c>
      <c r="R193" s="23">
        <v>17</v>
      </c>
      <c r="S193" s="23">
        <v>18</v>
      </c>
      <c r="T193" s="23">
        <v>19</v>
      </c>
      <c r="U193" s="23">
        <v>20</v>
      </c>
      <c r="V193" s="23">
        <v>21</v>
      </c>
      <c r="W193" s="23">
        <v>22</v>
      </c>
      <c r="X193" s="23">
        <v>23</v>
      </c>
      <c r="Y193" s="23">
        <v>24</v>
      </c>
      <c r="Z193" s="23">
        <v>25</v>
      </c>
      <c r="AA193" s="23">
        <v>26</v>
      </c>
      <c r="AB193" s="23">
        <v>27</v>
      </c>
      <c r="AC193" s="23">
        <v>28</v>
      </c>
      <c r="AD193" s="23">
        <v>29</v>
      </c>
      <c r="AE193" s="23">
        <v>30</v>
      </c>
      <c r="AH193" s="59" t="s">
        <v>18</v>
      </c>
      <c r="AI193" s="59" t="s">
        <v>19</v>
      </c>
    </row>
    <row r="194" spans="1:35" ht="20.100000000000001" customHeight="1">
      <c r="A194" s="58"/>
      <c r="B194" s="15" t="str">
        <f>'2021'!B68</f>
        <v>Sze</v>
      </c>
      <c r="C194" s="15" t="str">
        <f>'2021'!C68</f>
        <v>Cs</v>
      </c>
      <c r="D194" s="15" t="str">
        <f>'2021'!D68</f>
        <v>P</v>
      </c>
      <c r="E194" s="15" t="str">
        <f>'2021'!E68</f>
        <v>Szo</v>
      </c>
      <c r="F194" s="15" t="str">
        <f>'2021'!F68</f>
        <v>V</v>
      </c>
      <c r="G194" s="15" t="str">
        <f>'2021'!G68</f>
        <v>H</v>
      </c>
      <c r="H194" s="15" t="str">
        <f>'2021'!H68</f>
        <v>K</v>
      </c>
      <c r="I194" s="15" t="str">
        <f>'2021'!I68</f>
        <v>Sze</v>
      </c>
      <c r="J194" s="15" t="str">
        <f>'2021'!J68</f>
        <v>Cs</v>
      </c>
      <c r="K194" s="15" t="str">
        <f>'2021'!K68</f>
        <v>P</v>
      </c>
      <c r="L194" s="15" t="str">
        <f>'2021'!L68</f>
        <v>Szo</v>
      </c>
      <c r="M194" s="15" t="str">
        <f>'2021'!M68</f>
        <v>V</v>
      </c>
      <c r="N194" s="15" t="str">
        <f>'2021'!N68</f>
        <v>H</v>
      </c>
      <c r="O194" s="15" t="str">
        <f>'2021'!O68</f>
        <v>K</v>
      </c>
      <c r="P194" s="15" t="str">
        <f>'2021'!P68</f>
        <v>Sze</v>
      </c>
      <c r="Q194" s="15" t="str">
        <f>'2021'!Q68</f>
        <v>Cs</v>
      </c>
      <c r="R194" s="15" t="str">
        <f>'2021'!R68</f>
        <v>P</v>
      </c>
      <c r="S194" s="15" t="str">
        <f>'2021'!S68</f>
        <v>Szo</v>
      </c>
      <c r="T194" s="15" t="str">
        <f>'2021'!T68</f>
        <v>V</v>
      </c>
      <c r="U194" s="15" t="str">
        <f>'2021'!U68</f>
        <v>H</v>
      </c>
      <c r="V194" s="15" t="str">
        <f>'2021'!V68</f>
        <v>K</v>
      </c>
      <c r="W194" s="15" t="str">
        <f>'2021'!W68</f>
        <v>Sze</v>
      </c>
      <c r="X194" s="15" t="str">
        <f>'2021'!X68</f>
        <v>Cs</v>
      </c>
      <c r="Y194" s="15" t="str">
        <f>'2021'!Y68</f>
        <v>P</v>
      </c>
      <c r="Z194" s="15" t="str">
        <f>'2021'!Z68</f>
        <v>Szo</v>
      </c>
      <c r="AA194" s="15" t="str">
        <f>'2021'!AA68</f>
        <v>V</v>
      </c>
      <c r="AB194" s="15" t="str">
        <f>'2021'!AB68</f>
        <v>H</v>
      </c>
      <c r="AC194" s="15" t="str">
        <f>'2021'!AC68</f>
        <v>K</v>
      </c>
      <c r="AD194" s="15" t="str">
        <f>'2021'!AD68</f>
        <v>Sze</v>
      </c>
      <c r="AE194" s="15" t="str">
        <f>'2021'!AE68</f>
        <v>Cs</v>
      </c>
      <c r="AF194" s="6"/>
      <c r="AH194" s="60"/>
      <c r="AI194" s="60"/>
    </row>
    <row r="195" spans="1:35" ht="20.100000000000001" customHeight="1">
      <c r="A195" s="58"/>
      <c r="B195" s="15" t="str">
        <f>'2021'!B70</f>
        <v>X</v>
      </c>
      <c r="C195" s="15">
        <f>'2021'!C70</f>
        <v>2</v>
      </c>
      <c r="D195" s="15">
        <f>'2021'!D70</f>
        <v>2</v>
      </c>
      <c r="E195" s="15">
        <f>'2021'!E70</f>
        <v>2</v>
      </c>
      <c r="F195" s="15">
        <f>'2021'!F70</f>
        <v>2</v>
      </c>
      <c r="G195" s="15">
        <f>'2021'!G70</f>
        <v>2</v>
      </c>
      <c r="H195" s="15">
        <f>'2021'!H70</f>
        <v>2</v>
      </c>
      <c r="I195" s="15" t="str">
        <f>'2021'!I70</f>
        <v>X</v>
      </c>
      <c r="J195" s="15" t="str">
        <f>'2021'!J70</f>
        <v>X</v>
      </c>
      <c r="K195" s="15">
        <f>'2021'!K70</f>
        <v>1</v>
      </c>
      <c r="L195" s="15">
        <f>'2021'!L70</f>
        <v>1</v>
      </c>
      <c r="M195" s="15">
        <f>'2021'!M70</f>
        <v>1</v>
      </c>
      <c r="N195" s="15">
        <f>'2021'!N70</f>
        <v>1</v>
      </c>
      <c r="O195" s="15">
        <f>'2021'!O70</f>
        <v>1</v>
      </c>
      <c r="P195" s="15">
        <f>'2021'!P70</f>
        <v>1</v>
      </c>
      <c r="Q195" s="15" t="str">
        <f>'2021'!Q70</f>
        <v>X</v>
      </c>
      <c r="R195" s="15" t="str">
        <f>'2021'!R70</f>
        <v>X</v>
      </c>
      <c r="S195" s="15">
        <f>'2021'!S70</f>
        <v>3</v>
      </c>
      <c r="T195" s="15">
        <f>'2021'!T70</f>
        <v>3</v>
      </c>
      <c r="U195" s="15">
        <f>'2021'!U70</f>
        <v>3</v>
      </c>
      <c r="V195" s="15">
        <f>'2021'!V70</f>
        <v>3</v>
      </c>
      <c r="W195" s="15">
        <f>'2021'!W70</f>
        <v>3</v>
      </c>
      <c r="X195" s="15">
        <f>'2021'!X70</f>
        <v>3</v>
      </c>
      <c r="Y195" s="15" t="str">
        <f>'2021'!Y70</f>
        <v>X</v>
      </c>
      <c r="Z195" s="15" t="str">
        <f>'2021'!Z70</f>
        <v>X</v>
      </c>
      <c r="AA195" s="15">
        <f>'2021'!AA70</f>
        <v>2</v>
      </c>
      <c r="AB195" s="15">
        <f>'2021'!AB70</f>
        <v>2</v>
      </c>
      <c r="AC195" s="15">
        <f>'2021'!AC70</f>
        <v>2</v>
      </c>
      <c r="AD195" s="15">
        <f>'2021'!AD70</f>
        <v>2</v>
      </c>
      <c r="AE195" s="15">
        <f>'2021'!AE70</f>
        <v>2</v>
      </c>
      <c r="AF195" s="6"/>
      <c r="AH195" s="60"/>
      <c r="AI195" s="60"/>
    </row>
    <row r="196" spans="1:35" ht="20.100000000000001" customHeight="1">
      <c r="A196" s="24" t="str">
        <f>ÖSSZES!$A$26</f>
        <v>Katona László</v>
      </c>
      <c r="B196" s="39" t="s">
        <v>2</v>
      </c>
      <c r="C196" s="39"/>
      <c r="D196" s="39"/>
      <c r="E196" s="39"/>
      <c r="F196" s="39"/>
      <c r="G196" s="39"/>
      <c r="H196" s="39"/>
      <c r="I196" s="39" t="s">
        <v>2</v>
      </c>
      <c r="J196" s="39" t="s">
        <v>2</v>
      </c>
      <c r="K196" s="39"/>
      <c r="L196" s="39"/>
      <c r="M196" s="39"/>
      <c r="N196" s="39"/>
      <c r="O196" s="39"/>
      <c r="P196" s="39"/>
      <c r="Q196" s="39" t="s">
        <v>2</v>
      </c>
      <c r="R196" s="39" t="s">
        <v>2</v>
      </c>
      <c r="S196" s="39"/>
      <c r="T196" s="39"/>
      <c r="U196" s="39"/>
      <c r="V196" s="39"/>
      <c r="W196" s="39"/>
      <c r="X196" s="39"/>
      <c r="Y196" s="39" t="s">
        <v>2</v>
      </c>
      <c r="Z196" s="39" t="s">
        <v>2</v>
      </c>
      <c r="AA196" s="39"/>
      <c r="AB196" s="39"/>
      <c r="AC196" s="39"/>
      <c r="AD196" s="39"/>
      <c r="AE196" s="39"/>
      <c r="AF196" s="6"/>
      <c r="AH196" s="20">
        <f>1*COUNTIF(A196:AF196,"+")</f>
        <v>0</v>
      </c>
      <c r="AI196" s="20">
        <f t="shared" ref="AI196" si="23">1*COUNTIF(B196:AF196,"szf")</f>
        <v>0</v>
      </c>
    </row>
    <row r="197" spans="1:35" ht="20.100000000000001" customHeight="1">
      <c r="A197" s="24" t="str">
        <f>ÖSSZES!$A$27</f>
        <v>Fényi László</v>
      </c>
      <c r="B197" s="39" t="s">
        <v>2</v>
      </c>
      <c r="C197" s="39"/>
      <c r="D197" s="39"/>
      <c r="E197" s="39"/>
      <c r="F197" s="39"/>
      <c r="G197" s="39"/>
      <c r="H197" s="39"/>
      <c r="I197" s="39" t="s">
        <v>2</v>
      </c>
      <c r="J197" s="39" t="s">
        <v>2</v>
      </c>
      <c r="K197" s="39"/>
      <c r="L197" s="39"/>
      <c r="M197" s="39"/>
      <c r="N197" s="39"/>
      <c r="O197" s="39"/>
      <c r="P197" s="39"/>
      <c r="Q197" s="39" t="s">
        <v>2</v>
      </c>
      <c r="R197" s="39" t="s">
        <v>2</v>
      </c>
      <c r="S197" s="39"/>
      <c r="T197" s="39"/>
      <c r="U197" s="39"/>
      <c r="V197" s="39"/>
      <c r="W197" s="39"/>
      <c r="X197" s="39"/>
      <c r="Y197" s="39" t="s">
        <v>2</v>
      </c>
      <c r="Z197" s="39" t="s">
        <v>2</v>
      </c>
      <c r="AA197" s="39"/>
      <c r="AB197" s="39"/>
      <c r="AC197" s="39"/>
      <c r="AD197" s="39"/>
      <c r="AE197" s="39"/>
      <c r="AF197" s="6"/>
      <c r="AH197" s="20">
        <f t="shared" ref="AH197:AH215" si="24">1*COUNTIF(A197:AF197,"+")</f>
        <v>0</v>
      </c>
      <c r="AI197" s="20">
        <f t="shared" ref="AI197:AI215" si="25">1*COUNTIF(B197:AF197,"szf")</f>
        <v>0</v>
      </c>
    </row>
    <row r="198" spans="1:35" ht="20.100000000000001" customHeight="1">
      <c r="A198" s="24" t="str">
        <f>ÖSSZES!$A$28</f>
        <v>Habara Gábor</v>
      </c>
      <c r="B198" s="39" t="s">
        <v>2</v>
      </c>
      <c r="C198" s="39"/>
      <c r="D198" s="39"/>
      <c r="E198" s="39"/>
      <c r="F198" s="39"/>
      <c r="G198" s="39"/>
      <c r="H198" s="39"/>
      <c r="I198" s="39" t="s">
        <v>2</v>
      </c>
      <c r="J198" s="39" t="s">
        <v>2</v>
      </c>
      <c r="K198" s="39"/>
      <c r="L198" s="39"/>
      <c r="M198" s="39"/>
      <c r="N198" s="39"/>
      <c r="O198" s="39"/>
      <c r="P198" s="39"/>
      <c r="Q198" s="39" t="s">
        <v>2</v>
      </c>
      <c r="R198" s="39" t="s">
        <v>2</v>
      </c>
      <c r="S198" s="39"/>
      <c r="T198" s="39"/>
      <c r="U198" s="39"/>
      <c r="V198" s="39"/>
      <c r="W198" s="39"/>
      <c r="X198" s="39"/>
      <c r="Y198" s="39" t="s">
        <v>2</v>
      </c>
      <c r="Z198" s="39" t="s">
        <v>2</v>
      </c>
      <c r="AA198" s="39"/>
      <c r="AB198" s="39"/>
      <c r="AC198" s="39"/>
      <c r="AD198" s="39"/>
      <c r="AE198" s="39"/>
      <c r="AF198" s="6"/>
      <c r="AH198" s="20">
        <f t="shared" si="24"/>
        <v>0</v>
      </c>
      <c r="AI198" s="20">
        <f t="shared" si="25"/>
        <v>0</v>
      </c>
    </row>
    <row r="199" spans="1:35" ht="20.100000000000001" customHeight="1">
      <c r="A199" s="24" t="str">
        <f>ÖSSZES!$A$29</f>
        <v>Holba Imre</v>
      </c>
      <c r="B199" s="39" t="s">
        <v>2</v>
      </c>
      <c r="C199" s="39"/>
      <c r="D199" s="39"/>
      <c r="E199" s="39"/>
      <c r="F199" s="39"/>
      <c r="G199" s="39"/>
      <c r="H199" s="39"/>
      <c r="I199" s="39" t="s">
        <v>2</v>
      </c>
      <c r="J199" s="39" t="s">
        <v>2</v>
      </c>
      <c r="K199" s="39"/>
      <c r="L199" s="39"/>
      <c r="M199" s="39"/>
      <c r="N199" s="39"/>
      <c r="O199" s="39"/>
      <c r="P199" s="39"/>
      <c r="Q199" s="39" t="s">
        <v>2</v>
      </c>
      <c r="R199" s="39" t="s">
        <v>2</v>
      </c>
      <c r="S199" s="39"/>
      <c r="T199" s="39"/>
      <c r="U199" s="39"/>
      <c r="V199" s="39"/>
      <c r="W199" s="39"/>
      <c r="X199" s="39"/>
      <c r="Y199" s="39" t="s">
        <v>2</v>
      </c>
      <c r="Z199" s="39" t="s">
        <v>2</v>
      </c>
      <c r="AA199" s="39"/>
      <c r="AB199" s="39"/>
      <c r="AC199" s="39"/>
      <c r="AD199" s="39"/>
      <c r="AE199" s="39"/>
      <c r="AF199" s="6"/>
      <c r="AH199" s="20">
        <f t="shared" si="24"/>
        <v>0</v>
      </c>
      <c r="AI199" s="20">
        <f t="shared" si="25"/>
        <v>0</v>
      </c>
    </row>
    <row r="200" spans="1:35" ht="20.100000000000001" customHeight="1">
      <c r="A200" s="24" t="str">
        <f>ÖSSZES!$A$30</f>
        <v>Király Bálint Donát</v>
      </c>
      <c r="B200" s="39" t="s">
        <v>2</v>
      </c>
      <c r="C200" s="39"/>
      <c r="D200" s="39"/>
      <c r="E200" s="39"/>
      <c r="F200" s="39"/>
      <c r="G200" s="39"/>
      <c r="H200" s="39"/>
      <c r="I200" s="39" t="s">
        <v>2</v>
      </c>
      <c r="J200" s="39" t="s">
        <v>2</v>
      </c>
      <c r="K200" s="39"/>
      <c r="L200" s="39"/>
      <c r="M200" s="39"/>
      <c r="N200" s="39"/>
      <c r="O200" s="39"/>
      <c r="P200" s="39"/>
      <c r="Q200" s="39" t="s">
        <v>2</v>
      </c>
      <c r="R200" s="39" t="s">
        <v>2</v>
      </c>
      <c r="S200" s="39"/>
      <c r="T200" s="39"/>
      <c r="U200" s="39"/>
      <c r="V200" s="39"/>
      <c r="W200" s="39"/>
      <c r="X200" s="39"/>
      <c r="Y200" s="39" t="s">
        <v>2</v>
      </c>
      <c r="Z200" s="39" t="s">
        <v>2</v>
      </c>
      <c r="AA200" s="39"/>
      <c r="AB200" s="39"/>
      <c r="AC200" s="39"/>
      <c r="AD200" s="39"/>
      <c r="AE200" s="39"/>
      <c r="AF200" s="6"/>
      <c r="AH200" s="20">
        <f t="shared" si="24"/>
        <v>0</v>
      </c>
      <c r="AI200" s="20">
        <f t="shared" si="25"/>
        <v>0</v>
      </c>
    </row>
    <row r="201" spans="1:35" ht="20.100000000000001" customHeight="1">
      <c r="A201" s="24" t="str">
        <f>ÖSSZES!$A$31</f>
        <v>Kiss János Tamás</v>
      </c>
      <c r="B201" s="39" t="s">
        <v>2</v>
      </c>
      <c r="C201" s="39"/>
      <c r="D201" s="39"/>
      <c r="E201" s="39"/>
      <c r="F201" s="39"/>
      <c r="G201" s="39"/>
      <c r="H201" s="39"/>
      <c r="I201" s="39" t="s">
        <v>2</v>
      </c>
      <c r="J201" s="39" t="s">
        <v>2</v>
      </c>
      <c r="K201" s="39"/>
      <c r="L201" s="39"/>
      <c r="M201" s="39"/>
      <c r="N201" s="39"/>
      <c r="O201" s="39"/>
      <c r="P201" s="39"/>
      <c r="Q201" s="39" t="s">
        <v>2</v>
      </c>
      <c r="R201" s="39" t="s">
        <v>2</v>
      </c>
      <c r="S201" s="39"/>
      <c r="T201" s="39"/>
      <c r="U201" s="39"/>
      <c r="V201" s="39"/>
      <c r="W201" s="39"/>
      <c r="X201" s="39"/>
      <c r="Y201" s="39" t="s">
        <v>2</v>
      </c>
      <c r="Z201" s="39" t="s">
        <v>2</v>
      </c>
      <c r="AA201" s="39"/>
      <c r="AB201" s="39"/>
      <c r="AC201" s="39"/>
      <c r="AD201" s="39"/>
      <c r="AE201" s="39"/>
      <c r="AF201" s="6"/>
      <c r="AH201" s="20">
        <f t="shared" si="24"/>
        <v>0</v>
      </c>
      <c r="AI201" s="20">
        <f t="shared" si="25"/>
        <v>0</v>
      </c>
    </row>
    <row r="202" spans="1:35" ht="20.100000000000001" customHeight="1">
      <c r="A202" s="24" t="str">
        <f>ÖSSZES!$A$32</f>
        <v>Mezei Lajos</v>
      </c>
      <c r="B202" s="39" t="s">
        <v>2</v>
      </c>
      <c r="C202" s="39"/>
      <c r="D202" s="39"/>
      <c r="E202" s="39"/>
      <c r="F202" s="39"/>
      <c r="G202" s="39"/>
      <c r="H202" s="39"/>
      <c r="I202" s="39" t="s">
        <v>2</v>
      </c>
      <c r="J202" s="39" t="s">
        <v>2</v>
      </c>
      <c r="K202" s="39"/>
      <c r="L202" s="39"/>
      <c r="M202" s="39"/>
      <c r="N202" s="39"/>
      <c r="O202" s="39"/>
      <c r="P202" s="39"/>
      <c r="Q202" s="39" t="s">
        <v>2</v>
      </c>
      <c r="R202" s="39" t="s">
        <v>2</v>
      </c>
      <c r="S202" s="39"/>
      <c r="T202" s="39"/>
      <c r="U202" s="39"/>
      <c r="V202" s="39"/>
      <c r="W202" s="39"/>
      <c r="X202" s="39"/>
      <c r="Y202" s="39" t="s">
        <v>2</v>
      </c>
      <c r="Z202" s="39" t="s">
        <v>2</v>
      </c>
      <c r="AA202" s="39"/>
      <c r="AB202" s="39"/>
      <c r="AC202" s="39"/>
      <c r="AD202" s="39"/>
      <c r="AE202" s="39"/>
      <c r="AF202" s="6"/>
      <c r="AH202" s="20">
        <f t="shared" si="24"/>
        <v>0</v>
      </c>
      <c r="AI202" s="20">
        <f t="shared" si="25"/>
        <v>0</v>
      </c>
    </row>
    <row r="203" spans="1:35" ht="20.100000000000001" hidden="1" customHeight="1">
      <c r="A203" s="24" t="str">
        <f>ÖSSZES!$A$33</f>
        <v>Név8</v>
      </c>
      <c r="B203" s="39" t="s">
        <v>2</v>
      </c>
      <c r="C203" s="39"/>
      <c r="D203" s="39"/>
      <c r="E203" s="39"/>
      <c r="F203" s="39"/>
      <c r="G203" s="39"/>
      <c r="H203" s="39"/>
      <c r="I203" s="39" t="s">
        <v>2</v>
      </c>
      <c r="J203" s="39" t="s">
        <v>2</v>
      </c>
      <c r="K203" s="39"/>
      <c r="L203" s="39"/>
      <c r="M203" s="39"/>
      <c r="N203" s="39"/>
      <c r="O203" s="39"/>
      <c r="P203" s="39"/>
      <c r="Q203" s="39" t="s">
        <v>2</v>
      </c>
      <c r="R203" s="39" t="s">
        <v>2</v>
      </c>
      <c r="S203" s="39"/>
      <c r="T203" s="39"/>
      <c r="U203" s="39"/>
      <c r="V203" s="39"/>
      <c r="W203" s="39"/>
      <c r="X203" s="39"/>
      <c r="Y203" s="39" t="s">
        <v>2</v>
      </c>
      <c r="Z203" s="39" t="s">
        <v>2</v>
      </c>
      <c r="AA203" s="39"/>
      <c r="AB203" s="39"/>
      <c r="AC203" s="39"/>
      <c r="AD203" s="39"/>
      <c r="AE203" s="39"/>
      <c r="AF203" s="6"/>
      <c r="AH203" s="20">
        <f t="shared" si="24"/>
        <v>0</v>
      </c>
      <c r="AI203" s="20">
        <f t="shared" si="25"/>
        <v>0</v>
      </c>
    </row>
    <row r="204" spans="1:35" ht="20.100000000000001" hidden="1" customHeight="1">
      <c r="A204" s="24" t="str">
        <f>ÖSSZES!$A$34</f>
        <v>Név9</v>
      </c>
      <c r="B204" s="39" t="s">
        <v>2</v>
      </c>
      <c r="C204" s="39"/>
      <c r="D204" s="39"/>
      <c r="E204" s="39"/>
      <c r="F204" s="39"/>
      <c r="G204" s="39"/>
      <c r="H204" s="39"/>
      <c r="I204" s="39" t="s">
        <v>2</v>
      </c>
      <c r="J204" s="39" t="s">
        <v>2</v>
      </c>
      <c r="K204" s="39"/>
      <c r="L204" s="39"/>
      <c r="M204" s="39"/>
      <c r="N204" s="39"/>
      <c r="O204" s="39"/>
      <c r="P204" s="39"/>
      <c r="Q204" s="39" t="s">
        <v>2</v>
      </c>
      <c r="R204" s="39" t="s">
        <v>2</v>
      </c>
      <c r="S204" s="39"/>
      <c r="T204" s="39"/>
      <c r="U204" s="39"/>
      <c r="V204" s="39"/>
      <c r="W204" s="39"/>
      <c r="X204" s="39"/>
      <c r="Y204" s="39" t="s">
        <v>2</v>
      </c>
      <c r="Z204" s="39" t="s">
        <v>2</v>
      </c>
      <c r="AA204" s="39"/>
      <c r="AB204" s="39"/>
      <c r="AC204" s="39"/>
      <c r="AD204" s="39"/>
      <c r="AE204" s="39"/>
      <c r="AF204" s="6"/>
      <c r="AH204" s="20">
        <f t="shared" si="24"/>
        <v>0</v>
      </c>
      <c r="AI204" s="20">
        <f t="shared" si="25"/>
        <v>0</v>
      </c>
    </row>
    <row r="205" spans="1:35" ht="20.100000000000001" hidden="1" customHeight="1">
      <c r="A205" s="24" t="str">
        <f>ÖSSZES!$A$35</f>
        <v>Név10</v>
      </c>
      <c r="B205" s="39" t="s">
        <v>2</v>
      </c>
      <c r="C205" s="39"/>
      <c r="D205" s="39"/>
      <c r="E205" s="39"/>
      <c r="F205" s="39"/>
      <c r="G205" s="39"/>
      <c r="H205" s="39"/>
      <c r="I205" s="39" t="s">
        <v>2</v>
      </c>
      <c r="J205" s="39" t="s">
        <v>2</v>
      </c>
      <c r="K205" s="39"/>
      <c r="L205" s="39"/>
      <c r="M205" s="39"/>
      <c r="N205" s="39"/>
      <c r="O205" s="39"/>
      <c r="P205" s="39"/>
      <c r="Q205" s="39" t="s">
        <v>2</v>
      </c>
      <c r="R205" s="39" t="s">
        <v>2</v>
      </c>
      <c r="S205" s="39"/>
      <c r="T205" s="39"/>
      <c r="U205" s="39"/>
      <c r="V205" s="39"/>
      <c r="W205" s="39"/>
      <c r="X205" s="39"/>
      <c r="Y205" s="39" t="s">
        <v>2</v>
      </c>
      <c r="Z205" s="39" t="s">
        <v>2</v>
      </c>
      <c r="AA205" s="39"/>
      <c r="AB205" s="39"/>
      <c r="AC205" s="39"/>
      <c r="AD205" s="39"/>
      <c r="AE205" s="39"/>
      <c r="AF205" s="6"/>
      <c r="AH205" s="20">
        <f t="shared" si="24"/>
        <v>0</v>
      </c>
      <c r="AI205" s="20">
        <f t="shared" si="25"/>
        <v>0</v>
      </c>
    </row>
    <row r="206" spans="1:35" ht="20.100000000000001" hidden="1" customHeight="1">
      <c r="A206" s="24" t="str">
        <f>ÖSSZES!$A$36</f>
        <v>Név11</v>
      </c>
      <c r="B206" s="39" t="s">
        <v>2</v>
      </c>
      <c r="C206" s="39"/>
      <c r="D206" s="39"/>
      <c r="E206" s="39"/>
      <c r="F206" s="39"/>
      <c r="G206" s="39"/>
      <c r="H206" s="39"/>
      <c r="I206" s="39" t="s">
        <v>2</v>
      </c>
      <c r="J206" s="39" t="s">
        <v>2</v>
      </c>
      <c r="K206" s="39"/>
      <c r="L206" s="39"/>
      <c r="M206" s="39"/>
      <c r="N206" s="39"/>
      <c r="O206" s="39"/>
      <c r="P206" s="39"/>
      <c r="Q206" s="39" t="s">
        <v>2</v>
      </c>
      <c r="R206" s="39" t="s">
        <v>2</v>
      </c>
      <c r="S206" s="39"/>
      <c r="T206" s="39"/>
      <c r="U206" s="39"/>
      <c r="V206" s="39"/>
      <c r="W206" s="39"/>
      <c r="X206" s="39"/>
      <c r="Y206" s="39" t="s">
        <v>2</v>
      </c>
      <c r="Z206" s="39" t="s">
        <v>2</v>
      </c>
      <c r="AA206" s="39"/>
      <c r="AB206" s="39"/>
      <c r="AC206" s="39"/>
      <c r="AD206" s="39"/>
      <c r="AE206" s="39"/>
      <c r="AF206" s="6"/>
      <c r="AH206" s="20">
        <f t="shared" si="24"/>
        <v>0</v>
      </c>
      <c r="AI206" s="20">
        <f t="shared" si="25"/>
        <v>0</v>
      </c>
    </row>
    <row r="207" spans="1:35" ht="20.100000000000001" hidden="1" customHeight="1">
      <c r="A207" s="24" t="str">
        <f>ÖSSZES!$A$37</f>
        <v>Név12</v>
      </c>
      <c r="B207" s="39" t="s">
        <v>2</v>
      </c>
      <c r="C207" s="39"/>
      <c r="D207" s="39"/>
      <c r="E207" s="39"/>
      <c r="F207" s="39"/>
      <c r="G207" s="39"/>
      <c r="H207" s="39"/>
      <c r="I207" s="39" t="s">
        <v>2</v>
      </c>
      <c r="J207" s="39" t="s">
        <v>2</v>
      </c>
      <c r="K207" s="39"/>
      <c r="L207" s="39"/>
      <c r="M207" s="39"/>
      <c r="N207" s="39"/>
      <c r="O207" s="39"/>
      <c r="P207" s="39"/>
      <c r="Q207" s="39" t="s">
        <v>2</v>
      </c>
      <c r="R207" s="39" t="s">
        <v>2</v>
      </c>
      <c r="S207" s="39"/>
      <c r="T207" s="39"/>
      <c r="U207" s="39"/>
      <c r="V207" s="39"/>
      <c r="W207" s="39"/>
      <c r="X207" s="39"/>
      <c r="Y207" s="39" t="s">
        <v>2</v>
      </c>
      <c r="Z207" s="39" t="s">
        <v>2</v>
      </c>
      <c r="AA207" s="39"/>
      <c r="AB207" s="39"/>
      <c r="AC207" s="39"/>
      <c r="AD207" s="39"/>
      <c r="AE207" s="39"/>
      <c r="AF207" s="6"/>
      <c r="AH207" s="20">
        <f t="shared" si="24"/>
        <v>0</v>
      </c>
      <c r="AI207" s="20">
        <f t="shared" si="25"/>
        <v>0</v>
      </c>
    </row>
    <row r="208" spans="1:35" ht="20.100000000000001" hidden="1" customHeight="1">
      <c r="A208" s="24" t="str">
        <f>ÖSSZES!$A$38</f>
        <v>Név13</v>
      </c>
      <c r="B208" s="39" t="s">
        <v>2</v>
      </c>
      <c r="C208" s="39"/>
      <c r="D208" s="39"/>
      <c r="E208" s="39"/>
      <c r="F208" s="39"/>
      <c r="G208" s="39"/>
      <c r="H208" s="39"/>
      <c r="I208" s="39" t="s">
        <v>2</v>
      </c>
      <c r="J208" s="39" t="s">
        <v>2</v>
      </c>
      <c r="K208" s="39"/>
      <c r="L208" s="39"/>
      <c r="M208" s="39"/>
      <c r="N208" s="39"/>
      <c r="O208" s="39"/>
      <c r="P208" s="39"/>
      <c r="Q208" s="39" t="s">
        <v>2</v>
      </c>
      <c r="R208" s="39" t="s">
        <v>2</v>
      </c>
      <c r="S208" s="39"/>
      <c r="T208" s="39"/>
      <c r="U208" s="39"/>
      <c r="V208" s="39"/>
      <c r="W208" s="39"/>
      <c r="X208" s="39"/>
      <c r="Y208" s="39" t="s">
        <v>2</v>
      </c>
      <c r="Z208" s="39" t="s">
        <v>2</v>
      </c>
      <c r="AA208" s="39"/>
      <c r="AB208" s="39"/>
      <c r="AC208" s="39"/>
      <c r="AD208" s="39"/>
      <c r="AE208" s="39"/>
      <c r="AF208" s="6"/>
      <c r="AH208" s="20">
        <f t="shared" si="24"/>
        <v>0</v>
      </c>
      <c r="AI208" s="20">
        <f t="shared" si="25"/>
        <v>0</v>
      </c>
    </row>
    <row r="209" spans="1:35" ht="20.100000000000001" hidden="1" customHeight="1">
      <c r="A209" s="24" t="str">
        <f>ÖSSZES!$A$39</f>
        <v>Név14</v>
      </c>
      <c r="B209" s="39" t="s">
        <v>2</v>
      </c>
      <c r="C209" s="39"/>
      <c r="D209" s="39"/>
      <c r="E209" s="39"/>
      <c r="F209" s="39"/>
      <c r="G209" s="39"/>
      <c r="H209" s="39"/>
      <c r="I209" s="39" t="s">
        <v>2</v>
      </c>
      <c r="J209" s="39" t="s">
        <v>2</v>
      </c>
      <c r="K209" s="39"/>
      <c r="L209" s="39"/>
      <c r="M209" s="39"/>
      <c r="N209" s="39"/>
      <c r="O209" s="39"/>
      <c r="P209" s="39"/>
      <c r="Q209" s="39" t="s">
        <v>2</v>
      </c>
      <c r="R209" s="39" t="s">
        <v>2</v>
      </c>
      <c r="S209" s="39"/>
      <c r="T209" s="39"/>
      <c r="U209" s="39"/>
      <c r="V209" s="39"/>
      <c r="W209" s="39"/>
      <c r="X209" s="39"/>
      <c r="Y209" s="39" t="s">
        <v>2</v>
      </c>
      <c r="Z209" s="39" t="s">
        <v>2</v>
      </c>
      <c r="AA209" s="39"/>
      <c r="AB209" s="39"/>
      <c r="AC209" s="39"/>
      <c r="AD209" s="39"/>
      <c r="AE209" s="39"/>
      <c r="AF209" s="6"/>
      <c r="AH209" s="20">
        <f t="shared" si="24"/>
        <v>0</v>
      </c>
      <c r="AI209" s="20">
        <f t="shared" si="25"/>
        <v>0</v>
      </c>
    </row>
    <row r="210" spans="1:35" ht="20.100000000000001" hidden="1" customHeight="1">
      <c r="A210" s="24" t="str">
        <f>ÖSSZES!$A$40</f>
        <v>Név15</v>
      </c>
      <c r="B210" s="39" t="s">
        <v>2</v>
      </c>
      <c r="C210" s="39"/>
      <c r="D210" s="39"/>
      <c r="E210" s="39"/>
      <c r="F210" s="39"/>
      <c r="G210" s="39"/>
      <c r="H210" s="39"/>
      <c r="I210" s="39" t="s">
        <v>2</v>
      </c>
      <c r="J210" s="39" t="s">
        <v>2</v>
      </c>
      <c r="K210" s="39"/>
      <c r="L210" s="39"/>
      <c r="M210" s="39"/>
      <c r="N210" s="39"/>
      <c r="O210" s="39"/>
      <c r="P210" s="39"/>
      <c r="Q210" s="39" t="s">
        <v>2</v>
      </c>
      <c r="R210" s="39" t="s">
        <v>2</v>
      </c>
      <c r="S210" s="39"/>
      <c r="T210" s="39"/>
      <c r="U210" s="39"/>
      <c r="V210" s="39"/>
      <c r="W210" s="39"/>
      <c r="X210" s="39"/>
      <c r="Y210" s="39" t="s">
        <v>2</v>
      </c>
      <c r="Z210" s="39" t="s">
        <v>2</v>
      </c>
      <c r="AA210" s="39"/>
      <c r="AB210" s="39"/>
      <c r="AC210" s="39"/>
      <c r="AD210" s="39"/>
      <c r="AE210" s="39"/>
      <c r="AF210" s="6"/>
      <c r="AH210" s="20">
        <f t="shared" si="24"/>
        <v>0</v>
      </c>
      <c r="AI210" s="20">
        <f t="shared" si="25"/>
        <v>0</v>
      </c>
    </row>
    <row r="211" spans="1:35" ht="20.100000000000001" hidden="1" customHeight="1">
      <c r="A211" s="24" t="str">
        <f>ÖSSZES!$A$41</f>
        <v>Név16</v>
      </c>
      <c r="B211" s="39" t="s">
        <v>2</v>
      </c>
      <c r="C211" s="39"/>
      <c r="D211" s="39"/>
      <c r="E211" s="39"/>
      <c r="F211" s="39"/>
      <c r="G211" s="39"/>
      <c r="H211" s="39"/>
      <c r="I211" s="39" t="s">
        <v>2</v>
      </c>
      <c r="J211" s="39" t="s">
        <v>2</v>
      </c>
      <c r="K211" s="39"/>
      <c r="L211" s="39"/>
      <c r="M211" s="39"/>
      <c r="N211" s="39"/>
      <c r="O211" s="39"/>
      <c r="P211" s="39"/>
      <c r="Q211" s="39" t="s">
        <v>2</v>
      </c>
      <c r="R211" s="39" t="s">
        <v>2</v>
      </c>
      <c r="S211" s="39"/>
      <c r="T211" s="39"/>
      <c r="U211" s="39"/>
      <c r="V211" s="39"/>
      <c r="W211" s="39"/>
      <c r="X211" s="39"/>
      <c r="Y211" s="39" t="s">
        <v>2</v>
      </c>
      <c r="Z211" s="39" t="s">
        <v>2</v>
      </c>
      <c r="AA211" s="39"/>
      <c r="AB211" s="39"/>
      <c r="AC211" s="39"/>
      <c r="AD211" s="39"/>
      <c r="AE211" s="39"/>
      <c r="AF211" s="6"/>
      <c r="AH211" s="20">
        <f t="shared" si="24"/>
        <v>0</v>
      </c>
      <c r="AI211" s="20">
        <f t="shared" si="25"/>
        <v>0</v>
      </c>
    </row>
    <row r="212" spans="1:35" ht="20.100000000000001" hidden="1" customHeight="1">
      <c r="A212" s="24" t="str">
        <f>ÖSSZES!$A$42</f>
        <v>Név17</v>
      </c>
      <c r="B212" s="39" t="s">
        <v>2</v>
      </c>
      <c r="C212" s="39"/>
      <c r="D212" s="39"/>
      <c r="E212" s="39"/>
      <c r="F212" s="39"/>
      <c r="G212" s="39"/>
      <c r="H212" s="39"/>
      <c r="I212" s="39" t="s">
        <v>2</v>
      </c>
      <c r="J212" s="39" t="s">
        <v>2</v>
      </c>
      <c r="K212" s="39"/>
      <c r="L212" s="39"/>
      <c r="M212" s="39"/>
      <c r="N212" s="39"/>
      <c r="O212" s="39"/>
      <c r="P212" s="39"/>
      <c r="Q212" s="39" t="s">
        <v>2</v>
      </c>
      <c r="R212" s="39" t="s">
        <v>2</v>
      </c>
      <c r="S212" s="39"/>
      <c r="T212" s="39"/>
      <c r="U212" s="39"/>
      <c r="V212" s="39"/>
      <c r="W212" s="39"/>
      <c r="X212" s="39"/>
      <c r="Y212" s="39" t="s">
        <v>2</v>
      </c>
      <c r="Z212" s="39" t="s">
        <v>2</v>
      </c>
      <c r="AA212" s="39"/>
      <c r="AB212" s="39"/>
      <c r="AC212" s="39"/>
      <c r="AD212" s="39"/>
      <c r="AE212" s="39"/>
      <c r="AF212" s="6"/>
      <c r="AH212" s="20">
        <f t="shared" si="24"/>
        <v>0</v>
      </c>
      <c r="AI212" s="20">
        <f t="shared" si="25"/>
        <v>0</v>
      </c>
    </row>
    <row r="213" spans="1:35" ht="20.100000000000001" hidden="1" customHeight="1">
      <c r="A213" s="24" t="str">
        <f>ÖSSZES!$A$43</f>
        <v>Név18</v>
      </c>
      <c r="B213" s="39" t="s">
        <v>2</v>
      </c>
      <c r="C213" s="39"/>
      <c r="D213" s="39"/>
      <c r="E213" s="39"/>
      <c r="F213" s="39"/>
      <c r="G213" s="39"/>
      <c r="H213" s="39"/>
      <c r="I213" s="39" t="s">
        <v>2</v>
      </c>
      <c r="J213" s="39" t="s">
        <v>2</v>
      </c>
      <c r="K213" s="39"/>
      <c r="L213" s="39"/>
      <c r="M213" s="39"/>
      <c r="N213" s="39"/>
      <c r="O213" s="39"/>
      <c r="P213" s="39"/>
      <c r="Q213" s="39" t="s">
        <v>2</v>
      </c>
      <c r="R213" s="39" t="s">
        <v>2</v>
      </c>
      <c r="S213" s="39"/>
      <c r="T213" s="39"/>
      <c r="U213" s="39"/>
      <c r="V213" s="39"/>
      <c r="W213" s="39"/>
      <c r="X213" s="39"/>
      <c r="Y213" s="39" t="s">
        <v>2</v>
      </c>
      <c r="Z213" s="39" t="s">
        <v>2</v>
      </c>
      <c r="AA213" s="39"/>
      <c r="AB213" s="39"/>
      <c r="AC213" s="39"/>
      <c r="AD213" s="39"/>
      <c r="AE213" s="39"/>
      <c r="AF213" s="6"/>
      <c r="AH213" s="20">
        <f t="shared" si="24"/>
        <v>0</v>
      </c>
      <c r="AI213" s="20">
        <f t="shared" si="25"/>
        <v>0</v>
      </c>
    </row>
    <row r="214" spans="1:35" ht="20.100000000000001" hidden="1" customHeight="1">
      <c r="A214" s="24" t="str">
        <f>ÖSSZES!$A$44</f>
        <v>Név19</v>
      </c>
      <c r="B214" s="39" t="s">
        <v>2</v>
      </c>
      <c r="C214" s="39"/>
      <c r="D214" s="39"/>
      <c r="E214" s="39"/>
      <c r="F214" s="39"/>
      <c r="G214" s="39"/>
      <c r="H214" s="39"/>
      <c r="I214" s="39" t="s">
        <v>2</v>
      </c>
      <c r="J214" s="39" t="s">
        <v>2</v>
      </c>
      <c r="K214" s="39"/>
      <c r="L214" s="39"/>
      <c r="M214" s="39"/>
      <c r="N214" s="39"/>
      <c r="O214" s="39"/>
      <c r="P214" s="39"/>
      <c r="Q214" s="39" t="s">
        <v>2</v>
      </c>
      <c r="R214" s="39" t="s">
        <v>2</v>
      </c>
      <c r="S214" s="39"/>
      <c r="T214" s="39"/>
      <c r="U214" s="39"/>
      <c r="V214" s="39"/>
      <c r="W214" s="39"/>
      <c r="X214" s="39"/>
      <c r="Y214" s="39" t="s">
        <v>2</v>
      </c>
      <c r="Z214" s="39" t="s">
        <v>2</v>
      </c>
      <c r="AA214" s="39"/>
      <c r="AB214" s="39"/>
      <c r="AC214" s="39"/>
      <c r="AD214" s="39"/>
      <c r="AE214" s="39"/>
      <c r="AF214" s="6"/>
      <c r="AH214" s="20">
        <f t="shared" si="24"/>
        <v>0</v>
      </c>
      <c r="AI214" s="20">
        <f t="shared" si="25"/>
        <v>0</v>
      </c>
    </row>
    <row r="215" spans="1:35" ht="20.100000000000001" hidden="1" customHeight="1">
      <c r="A215" s="24" t="str">
        <f>ÖSSZES!$A$45</f>
        <v>Név20</v>
      </c>
      <c r="B215" s="39" t="s">
        <v>2</v>
      </c>
      <c r="C215" s="39"/>
      <c r="D215" s="39"/>
      <c r="E215" s="39"/>
      <c r="F215" s="39"/>
      <c r="G215" s="39"/>
      <c r="H215" s="39"/>
      <c r="I215" s="39" t="s">
        <v>2</v>
      </c>
      <c r="J215" s="39" t="s">
        <v>2</v>
      </c>
      <c r="K215" s="39"/>
      <c r="L215" s="39"/>
      <c r="M215" s="39"/>
      <c r="N215" s="39"/>
      <c r="O215" s="39"/>
      <c r="P215" s="39"/>
      <c r="Q215" s="39" t="s">
        <v>2</v>
      </c>
      <c r="R215" s="39" t="s">
        <v>2</v>
      </c>
      <c r="S215" s="39"/>
      <c r="T215" s="39"/>
      <c r="U215" s="39"/>
      <c r="V215" s="39"/>
      <c r="W215" s="39"/>
      <c r="X215" s="39"/>
      <c r="Y215" s="39" t="s">
        <v>2</v>
      </c>
      <c r="Z215" s="39" t="s">
        <v>2</v>
      </c>
      <c r="AA215" s="39"/>
      <c r="AB215" s="39"/>
      <c r="AC215" s="39"/>
      <c r="AD215" s="39"/>
      <c r="AE215" s="39"/>
      <c r="AF215" s="6"/>
      <c r="AH215" s="20">
        <f t="shared" si="24"/>
        <v>0</v>
      </c>
      <c r="AI215" s="20">
        <f t="shared" si="25"/>
        <v>0</v>
      </c>
    </row>
    <row r="216" spans="1:35" ht="20.100000000000001" customHeight="1"/>
    <row r="217" spans="1:35" s="11" customFormat="1" ht="20.100000000000001" customHeight="1">
      <c r="A217" s="57" t="s">
        <v>14</v>
      </c>
      <c r="B217" s="23">
        <v>1</v>
      </c>
      <c r="C217" s="23">
        <v>2</v>
      </c>
      <c r="D217" s="23">
        <v>3</v>
      </c>
      <c r="E217" s="23">
        <v>4</v>
      </c>
      <c r="F217" s="23">
        <v>5</v>
      </c>
      <c r="G217" s="23">
        <v>6</v>
      </c>
      <c r="H217" s="23">
        <v>7</v>
      </c>
      <c r="I217" s="23">
        <v>8</v>
      </c>
      <c r="J217" s="23">
        <v>9</v>
      </c>
      <c r="K217" s="23">
        <v>10</v>
      </c>
      <c r="L217" s="23">
        <v>11</v>
      </c>
      <c r="M217" s="23">
        <v>12</v>
      </c>
      <c r="N217" s="23">
        <v>13</v>
      </c>
      <c r="O217" s="23">
        <v>14</v>
      </c>
      <c r="P217" s="23">
        <v>15</v>
      </c>
      <c r="Q217" s="23">
        <v>16</v>
      </c>
      <c r="R217" s="23">
        <v>17</v>
      </c>
      <c r="S217" s="23">
        <v>18</v>
      </c>
      <c r="T217" s="23">
        <v>19</v>
      </c>
      <c r="U217" s="23">
        <v>20</v>
      </c>
      <c r="V217" s="23">
        <v>21</v>
      </c>
      <c r="W217" s="23">
        <v>22</v>
      </c>
      <c r="X217" s="25">
        <v>23</v>
      </c>
      <c r="Y217" s="23">
        <v>24</v>
      </c>
      <c r="Z217" s="23">
        <v>25</v>
      </c>
      <c r="AA217" s="23">
        <v>26</v>
      </c>
      <c r="AB217" s="23">
        <v>27</v>
      </c>
      <c r="AC217" s="23">
        <v>28</v>
      </c>
      <c r="AD217" s="23">
        <v>29</v>
      </c>
      <c r="AE217" s="23">
        <v>30</v>
      </c>
      <c r="AF217" s="23">
        <v>31</v>
      </c>
      <c r="AH217" s="59" t="s">
        <v>18</v>
      </c>
      <c r="AI217" s="59" t="s">
        <v>19</v>
      </c>
    </row>
    <row r="218" spans="1:35" ht="20.100000000000001" customHeight="1">
      <c r="A218" s="58"/>
      <c r="B218" s="15" t="str">
        <f>'2021'!B76</f>
        <v>P</v>
      </c>
      <c r="C218" s="15" t="str">
        <f>'2021'!C76</f>
        <v>Szo</v>
      </c>
      <c r="D218" s="15" t="str">
        <f>'2021'!D76</f>
        <v>V</v>
      </c>
      <c r="E218" s="15" t="str">
        <f>'2021'!E76</f>
        <v>H</v>
      </c>
      <c r="F218" s="15" t="str">
        <f>'2021'!F76</f>
        <v>K</v>
      </c>
      <c r="G218" s="15" t="str">
        <f>'2021'!G76</f>
        <v>Sze</v>
      </c>
      <c r="H218" s="15" t="str">
        <f>'2021'!H76</f>
        <v>Cs</v>
      </c>
      <c r="I218" s="15" t="str">
        <f>'2021'!I76</f>
        <v>P</v>
      </c>
      <c r="J218" s="15" t="str">
        <f>'2021'!J76</f>
        <v>Szo</v>
      </c>
      <c r="K218" s="15" t="str">
        <f>'2021'!K76</f>
        <v>V</v>
      </c>
      <c r="L218" s="15" t="str">
        <f>'2021'!L76</f>
        <v>H</v>
      </c>
      <c r="M218" s="15" t="str">
        <f>'2021'!M76</f>
        <v>K</v>
      </c>
      <c r="N218" s="15" t="str">
        <f>'2021'!N76</f>
        <v>Sze</v>
      </c>
      <c r="O218" s="15" t="str">
        <f>'2021'!O76</f>
        <v>Cs</v>
      </c>
      <c r="P218" s="15" t="str">
        <f>'2021'!P76</f>
        <v>P</v>
      </c>
      <c r="Q218" s="15" t="str">
        <f>'2021'!Q76</f>
        <v>Szo</v>
      </c>
      <c r="R218" s="15" t="str">
        <f>'2021'!R76</f>
        <v>V</v>
      </c>
      <c r="S218" s="15" t="str">
        <f>'2021'!S76</f>
        <v>H</v>
      </c>
      <c r="T218" s="15" t="str">
        <f>'2021'!T76</f>
        <v>K</v>
      </c>
      <c r="U218" s="15" t="str">
        <f>'2021'!U76</f>
        <v>Sze</v>
      </c>
      <c r="V218" s="15" t="str">
        <f>'2021'!V76</f>
        <v>Cs</v>
      </c>
      <c r="W218" s="15" t="str">
        <f>'2021'!W76</f>
        <v>P</v>
      </c>
      <c r="X218" s="15" t="str">
        <f>'2021'!X76</f>
        <v>Szo</v>
      </c>
      <c r="Y218" s="15" t="str">
        <f>'2021'!Y76</f>
        <v>V</v>
      </c>
      <c r="Z218" s="15" t="str">
        <f>'2021'!Z76</f>
        <v>H</v>
      </c>
      <c r="AA218" s="15" t="str">
        <f>'2021'!AA76</f>
        <v>K</v>
      </c>
      <c r="AB218" s="15" t="str">
        <f>'2021'!AB76</f>
        <v>Sze</v>
      </c>
      <c r="AC218" s="15" t="str">
        <f>'2021'!AC76</f>
        <v>Cs</v>
      </c>
      <c r="AD218" s="15" t="str">
        <f>'2021'!AD76</f>
        <v>P</v>
      </c>
      <c r="AE218" s="15" t="str">
        <f>'2021'!AE76</f>
        <v>Szo</v>
      </c>
      <c r="AF218" s="15" t="str">
        <f>'2021'!AF76</f>
        <v>V</v>
      </c>
      <c r="AH218" s="60"/>
      <c r="AI218" s="60"/>
    </row>
    <row r="219" spans="1:35" ht="20.100000000000001" customHeight="1">
      <c r="A219" s="58"/>
      <c r="B219" s="15">
        <f>'2021'!B78</f>
        <v>2</v>
      </c>
      <c r="C219" s="15" t="str">
        <f>'2021'!C78</f>
        <v>X</v>
      </c>
      <c r="D219" s="15" t="str">
        <f>'2021'!D78</f>
        <v>X</v>
      </c>
      <c r="E219" s="15">
        <f>'2021'!E78</f>
        <v>1</v>
      </c>
      <c r="F219" s="15">
        <f>'2021'!F78</f>
        <v>1</v>
      </c>
      <c r="G219" s="15">
        <f>'2021'!G78</f>
        <v>1</v>
      </c>
      <c r="H219" s="15">
        <f>'2021'!H78</f>
        <v>1</v>
      </c>
      <c r="I219" s="15">
        <f>'2021'!I78</f>
        <v>1</v>
      </c>
      <c r="J219" s="15">
        <f>'2021'!J78</f>
        <v>1</v>
      </c>
      <c r="K219" s="15" t="str">
        <f>'2021'!K78</f>
        <v>X</v>
      </c>
      <c r="L219" s="15" t="str">
        <f>'2021'!L78</f>
        <v>X</v>
      </c>
      <c r="M219" s="15">
        <f>'2021'!M78</f>
        <v>3</v>
      </c>
      <c r="N219" s="15">
        <f>'2021'!N78</f>
        <v>3</v>
      </c>
      <c r="O219" s="15">
        <f>'2021'!O78</f>
        <v>3</v>
      </c>
      <c r="P219" s="15">
        <f>'2021'!P78</f>
        <v>3</v>
      </c>
      <c r="Q219" s="15">
        <f>'2021'!Q78</f>
        <v>3</v>
      </c>
      <c r="R219" s="15">
        <f>'2021'!R78</f>
        <v>3</v>
      </c>
      <c r="S219" s="15" t="str">
        <f>'2021'!S78</f>
        <v>X</v>
      </c>
      <c r="T219" s="15" t="str">
        <f>'2021'!T78</f>
        <v>X</v>
      </c>
      <c r="U219" s="15">
        <f>'2021'!U78</f>
        <v>2</v>
      </c>
      <c r="V219" s="15">
        <f>'2021'!V78</f>
        <v>2</v>
      </c>
      <c r="W219" s="15">
        <f>'2021'!W78</f>
        <v>2</v>
      </c>
      <c r="X219" s="15">
        <f>'2021'!X78</f>
        <v>2</v>
      </c>
      <c r="Y219" s="15">
        <f>'2021'!Y78</f>
        <v>2</v>
      </c>
      <c r="Z219" s="15">
        <f>'2021'!Z78</f>
        <v>2</v>
      </c>
      <c r="AA219" s="15" t="str">
        <f>'2021'!AA78</f>
        <v>X</v>
      </c>
      <c r="AB219" s="15" t="str">
        <f>'2021'!AB78</f>
        <v>X</v>
      </c>
      <c r="AC219" s="15">
        <f>'2021'!AC78</f>
        <v>1</v>
      </c>
      <c r="AD219" s="15">
        <f>'2021'!AD78</f>
        <v>1</v>
      </c>
      <c r="AE219" s="15">
        <f>'2021'!AE78</f>
        <v>1</v>
      </c>
      <c r="AF219" s="15">
        <f>'2021'!AF78</f>
        <v>1</v>
      </c>
      <c r="AH219" s="60"/>
      <c r="AI219" s="60"/>
    </row>
    <row r="220" spans="1:35" ht="20.100000000000001" customHeight="1">
      <c r="A220" s="24" t="str">
        <f>ÖSSZES!$A$26</f>
        <v>Katona László</v>
      </c>
      <c r="B220" s="19"/>
      <c r="C220" s="39" t="s">
        <v>2</v>
      </c>
      <c r="D220" s="39" t="s">
        <v>2</v>
      </c>
      <c r="E220" s="19"/>
      <c r="F220" s="19"/>
      <c r="G220" s="19"/>
      <c r="H220" s="19"/>
      <c r="I220" s="19"/>
      <c r="J220" s="19"/>
      <c r="K220" s="39" t="s">
        <v>2</v>
      </c>
      <c r="L220" s="39" t="s">
        <v>2</v>
      </c>
      <c r="M220" s="19"/>
      <c r="N220" s="19"/>
      <c r="O220" s="19"/>
      <c r="P220" s="19"/>
      <c r="Q220" s="19"/>
      <c r="R220" s="19"/>
      <c r="S220" s="39" t="s">
        <v>2</v>
      </c>
      <c r="T220" s="39" t="s">
        <v>2</v>
      </c>
      <c r="U220" s="19"/>
      <c r="V220" s="19"/>
      <c r="W220" s="19"/>
      <c r="X220" s="19"/>
      <c r="Y220" s="19"/>
      <c r="Z220" s="19"/>
      <c r="AA220" s="39" t="s">
        <v>2</v>
      </c>
      <c r="AB220" s="39" t="s">
        <v>2</v>
      </c>
      <c r="AC220" s="19"/>
      <c r="AD220" s="19"/>
      <c r="AE220" s="19"/>
      <c r="AF220" s="19"/>
      <c r="AH220" s="20">
        <f>1*COUNTIF(A220:AF220,"+")</f>
        <v>0</v>
      </c>
      <c r="AI220" s="20">
        <f t="shared" ref="AI220" si="26">1*COUNTIF(B220:AF220,"szf")</f>
        <v>0</v>
      </c>
    </row>
    <row r="221" spans="1:35" ht="20.100000000000001" customHeight="1">
      <c r="A221" s="24" t="str">
        <f>ÖSSZES!$A$27</f>
        <v>Fényi László</v>
      </c>
      <c r="B221" s="19"/>
      <c r="C221" s="39" t="s">
        <v>2</v>
      </c>
      <c r="D221" s="39" t="s">
        <v>2</v>
      </c>
      <c r="E221" s="19"/>
      <c r="F221" s="19"/>
      <c r="G221" s="19"/>
      <c r="H221" s="19"/>
      <c r="I221" s="19"/>
      <c r="J221" s="19"/>
      <c r="K221" s="39" t="s">
        <v>2</v>
      </c>
      <c r="L221" s="39" t="s">
        <v>2</v>
      </c>
      <c r="M221" s="19"/>
      <c r="N221" s="19"/>
      <c r="O221" s="19"/>
      <c r="P221" s="19"/>
      <c r="Q221" s="19"/>
      <c r="R221" s="19"/>
      <c r="S221" s="39" t="s">
        <v>2</v>
      </c>
      <c r="T221" s="39" t="s">
        <v>2</v>
      </c>
      <c r="U221" s="19"/>
      <c r="V221" s="19"/>
      <c r="W221" s="19"/>
      <c r="X221" s="19"/>
      <c r="Y221" s="19"/>
      <c r="Z221" s="19"/>
      <c r="AA221" s="39" t="s">
        <v>2</v>
      </c>
      <c r="AB221" s="39" t="s">
        <v>2</v>
      </c>
      <c r="AC221" s="19"/>
      <c r="AD221" s="19"/>
      <c r="AE221" s="19"/>
      <c r="AF221" s="19"/>
      <c r="AH221" s="20">
        <f t="shared" ref="AH221:AH239" si="27">1*COUNTIF(A221:AF221,"+")</f>
        <v>0</v>
      </c>
      <c r="AI221" s="20">
        <f t="shared" ref="AI221:AI239" si="28">1*COUNTIF(B221:AF221,"szf")</f>
        <v>0</v>
      </c>
    </row>
    <row r="222" spans="1:35" ht="20.100000000000001" customHeight="1">
      <c r="A222" s="24" t="str">
        <f>ÖSSZES!$A$28</f>
        <v>Habara Gábor</v>
      </c>
      <c r="B222" s="19"/>
      <c r="C222" s="39" t="s">
        <v>2</v>
      </c>
      <c r="D222" s="39" t="s">
        <v>2</v>
      </c>
      <c r="E222" s="19"/>
      <c r="F222" s="19"/>
      <c r="G222" s="19"/>
      <c r="H222" s="19"/>
      <c r="I222" s="19"/>
      <c r="J222" s="19"/>
      <c r="K222" s="39" t="s">
        <v>2</v>
      </c>
      <c r="L222" s="39" t="s">
        <v>2</v>
      </c>
      <c r="M222" s="19"/>
      <c r="N222" s="19"/>
      <c r="O222" s="19"/>
      <c r="P222" s="19"/>
      <c r="Q222" s="19"/>
      <c r="R222" s="19"/>
      <c r="S222" s="39" t="s">
        <v>2</v>
      </c>
      <c r="T222" s="39" t="s">
        <v>2</v>
      </c>
      <c r="U222" s="19"/>
      <c r="V222" s="19"/>
      <c r="W222" s="19"/>
      <c r="X222" s="19"/>
      <c r="Y222" s="19"/>
      <c r="Z222" s="19"/>
      <c r="AA222" s="39" t="s">
        <v>2</v>
      </c>
      <c r="AB222" s="39" t="s">
        <v>2</v>
      </c>
      <c r="AC222" s="19"/>
      <c r="AD222" s="19"/>
      <c r="AE222" s="19"/>
      <c r="AF222" s="19"/>
      <c r="AH222" s="20">
        <f t="shared" si="27"/>
        <v>0</v>
      </c>
      <c r="AI222" s="20">
        <f t="shared" si="28"/>
        <v>0</v>
      </c>
    </row>
    <row r="223" spans="1:35" ht="20.100000000000001" customHeight="1">
      <c r="A223" s="24" t="str">
        <f>ÖSSZES!$A$29</f>
        <v>Holba Imre</v>
      </c>
      <c r="B223" s="19"/>
      <c r="C223" s="39" t="s">
        <v>2</v>
      </c>
      <c r="D223" s="39" t="s">
        <v>2</v>
      </c>
      <c r="E223" s="19"/>
      <c r="F223" s="19"/>
      <c r="G223" s="19"/>
      <c r="H223" s="19"/>
      <c r="I223" s="19"/>
      <c r="J223" s="19"/>
      <c r="K223" s="39" t="s">
        <v>2</v>
      </c>
      <c r="L223" s="39" t="s">
        <v>2</v>
      </c>
      <c r="M223" s="19"/>
      <c r="N223" s="19"/>
      <c r="O223" s="19"/>
      <c r="P223" s="19"/>
      <c r="Q223" s="19"/>
      <c r="R223" s="19"/>
      <c r="S223" s="39" t="s">
        <v>2</v>
      </c>
      <c r="T223" s="39" t="s">
        <v>2</v>
      </c>
      <c r="U223" s="19"/>
      <c r="V223" s="19"/>
      <c r="W223" s="19"/>
      <c r="X223" s="19"/>
      <c r="Y223" s="19"/>
      <c r="Z223" s="19"/>
      <c r="AA223" s="39" t="s">
        <v>2</v>
      </c>
      <c r="AB223" s="39" t="s">
        <v>2</v>
      </c>
      <c r="AC223" s="19"/>
      <c r="AD223" s="19"/>
      <c r="AE223" s="19"/>
      <c r="AF223" s="19"/>
      <c r="AH223" s="20">
        <f t="shared" si="27"/>
        <v>0</v>
      </c>
      <c r="AI223" s="20">
        <f t="shared" si="28"/>
        <v>0</v>
      </c>
    </row>
    <row r="224" spans="1:35" ht="20.100000000000001" customHeight="1">
      <c r="A224" s="24" t="str">
        <f>ÖSSZES!$A$30</f>
        <v>Király Bálint Donát</v>
      </c>
      <c r="B224" s="19"/>
      <c r="C224" s="39" t="s">
        <v>2</v>
      </c>
      <c r="D224" s="39" t="s">
        <v>2</v>
      </c>
      <c r="E224" s="19"/>
      <c r="F224" s="19"/>
      <c r="G224" s="19"/>
      <c r="H224" s="19"/>
      <c r="I224" s="19"/>
      <c r="J224" s="19"/>
      <c r="K224" s="39" t="s">
        <v>2</v>
      </c>
      <c r="L224" s="39" t="s">
        <v>2</v>
      </c>
      <c r="M224" s="19"/>
      <c r="N224" s="19"/>
      <c r="O224" s="19"/>
      <c r="P224" s="19"/>
      <c r="Q224" s="19"/>
      <c r="R224" s="19"/>
      <c r="S224" s="39" t="s">
        <v>2</v>
      </c>
      <c r="T224" s="39" t="s">
        <v>2</v>
      </c>
      <c r="U224" s="19"/>
      <c r="V224" s="19"/>
      <c r="W224" s="19"/>
      <c r="X224" s="19"/>
      <c r="Y224" s="19"/>
      <c r="Z224" s="19"/>
      <c r="AA224" s="39" t="s">
        <v>2</v>
      </c>
      <c r="AB224" s="39" t="s">
        <v>2</v>
      </c>
      <c r="AC224" s="19"/>
      <c r="AD224" s="19"/>
      <c r="AE224" s="19"/>
      <c r="AF224" s="19"/>
      <c r="AH224" s="20">
        <f t="shared" si="27"/>
        <v>0</v>
      </c>
      <c r="AI224" s="20">
        <f t="shared" si="28"/>
        <v>0</v>
      </c>
    </row>
    <row r="225" spans="1:35" ht="20.100000000000001" customHeight="1">
      <c r="A225" s="24" t="str">
        <f>ÖSSZES!$A$31</f>
        <v>Kiss János Tamás</v>
      </c>
      <c r="B225" s="19"/>
      <c r="C225" s="39" t="s">
        <v>2</v>
      </c>
      <c r="D225" s="39" t="s">
        <v>2</v>
      </c>
      <c r="E225" s="19"/>
      <c r="F225" s="19"/>
      <c r="G225" s="19"/>
      <c r="H225" s="19"/>
      <c r="I225" s="19"/>
      <c r="J225" s="19"/>
      <c r="K225" s="39" t="s">
        <v>2</v>
      </c>
      <c r="L225" s="39" t="s">
        <v>2</v>
      </c>
      <c r="M225" s="19"/>
      <c r="N225" s="19"/>
      <c r="O225" s="19"/>
      <c r="P225" s="19"/>
      <c r="Q225" s="19"/>
      <c r="R225" s="19"/>
      <c r="S225" s="39" t="s">
        <v>2</v>
      </c>
      <c r="T225" s="39" t="s">
        <v>2</v>
      </c>
      <c r="U225" s="19"/>
      <c r="V225" s="19"/>
      <c r="W225" s="19"/>
      <c r="X225" s="19"/>
      <c r="Y225" s="19"/>
      <c r="Z225" s="19"/>
      <c r="AA225" s="39" t="s">
        <v>2</v>
      </c>
      <c r="AB225" s="39" t="s">
        <v>2</v>
      </c>
      <c r="AC225" s="19"/>
      <c r="AD225" s="19"/>
      <c r="AE225" s="19"/>
      <c r="AF225" s="19"/>
      <c r="AH225" s="20">
        <f t="shared" si="27"/>
        <v>0</v>
      </c>
      <c r="AI225" s="20">
        <f t="shared" si="28"/>
        <v>0</v>
      </c>
    </row>
    <row r="226" spans="1:35" ht="20.100000000000001" customHeight="1">
      <c r="A226" s="24" t="str">
        <f>ÖSSZES!$A$32</f>
        <v>Mezei Lajos</v>
      </c>
      <c r="B226" s="19"/>
      <c r="C226" s="39" t="s">
        <v>2</v>
      </c>
      <c r="D226" s="39" t="s">
        <v>2</v>
      </c>
      <c r="E226" s="19"/>
      <c r="F226" s="19"/>
      <c r="G226" s="19"/>
      <c r="H226" s="19"/>
      <c r="I226" s="19"/>
      <c r="J226" s="19"/>
      <c r="K226" s="39" t="s">
        <v>2</v>
      </c>
      <c r="L226" s="39" t="s">
        <v>2</v>
      </c>
      <c r="M226" s="19"/>
      <c r="N226" s="19"/>
      <c r="O226" s="19"/>
      <c r="P226" s="19"/>
      <c r="Q226" s="19"/>
      <c r="R226" s="19"/>
      <c r="S226" s="39" t="s">
        <v>2</v>
      </c>
      <c r="T226" s="39" t="s">
        <v>2</v>
      </c>
      <c r="U226" s="19"/>
      <c r="V226" s="19"/>
      <c r="W226" s="19"/>
      <c r="X226" s="19"/>
      <c r="Y226" s="19"/>
      <c r="Z226" s="19"/>
      <c r="AA226" s="39" t="s">
        <v>2</v>
      </c>
      <c r="AB226" s="39" t="s">
        <v>2</v>
      </c>
      <c r="AC226" s="19"/>
      <c r="AD226" s="19"/>
      <c r="AE226" s="19"/>
      <c r="AF226" s="19"/>
      <c r="AH226" s="20">
        <f t="shared" si="27"/>
        <v>0</v>
      </c>
      <c r="AI226" s="20">
        <f t="shared" si="28"/>
        <v>0</v>
      </c>
    </row>
    <row r="227" spans="1:35" ht="20.100000000000001" hidden="1" customHeight="1">
      <c r="A227" s="24" t="str">
        <f>ÖSSZES!$A$33</f>
        <v>Név8</v>
      </c>
      <c r="B227" s="19"/>
      <c r="C227" s="39" t="s">
        <v>2</v>
      </c>
      <c r="D227" s="39" t="s">
        <v>2</v>
      </c>
      <c r="E227" s="19"/>
      <c r="F227" s="19"/>
      <c r="G227" s="19"/>
      <c r="H227" s="19"/>
      <c r="I227" s="19"/>
      <c r="J227" s="19"/>
      <c r="K227" s="39" t="s">
        <v>2</v>
      </c>
      <c r="L227" s="39" t="s">
        <v>2</v>
      </c>
      <c r="M227" s="19"/>
      <c r="N227" s="19"/>
      <c r="O227" s="19"/>
      <c r="P227" s="19"/>
      <c r="Q227" s="19"/>
      <c r="R227" s="19"/>
      <c r="S227" s="39" t="s">
        <v>2</v>
      </c>
      <c r="T227" s="39" t="s">
        <v>2</v>
      </c>
      <c r="U227" s="19"/>
      <c r="V227" s="19"/>
      <c r="W227" s="19"/>
      <c r="X227" s="19"/>
      <c r="Y227" s="19"/>
      <c r="Z227" s="19"/>
      <c r="AA227" s="39" t="s">
        <v>2</v>
      </c>
      <c r="AB227" s="39" t="s">
        <v>2</v>
      </c>
      <c r="AC227" s="19"/>
      <c r="AD227" s="19"/>
      <c r="AE227" s="19"/>
      <c r="AF227" s="19"/>
      <c r="AH227" s="20">
        <f t="shared" si="27"/>
        <v>0</v>
      </c>
      <c r="AI227" s="20">
        <f t="shared" si="28"/>
        <v>0</v>
      </c>
    </row>
    <row r="228" spans="1:35" ht="20.100000000000001" hidden="1" customHeight="1">
      <c r="A228" s="24" t="str">
        <f>ÖSSZES!$A$34</f>
        <v>Név9</v>
      </c>
      <c r="B228" s="19"/>
      <c r="C228" s="39" t="s">
        <v>2</v>
      </c>
      <c r="D228" s="39" t="s">
        <v>2</v>
      </c>
      <c r="E228" s="19"/>
      <c r="F228" s="19"/>
      <c r="G228" s="19"/>
      <c r="H228" s="19"/>
      <c r="I228" s="19"/>
      <c r="J228" s="19"/>
      <c r="K228" s="39" t="s">
        <v>2</v>
      </c>
      <c r="L228" s="39" t="s">
        <v>2</v>
      </c>
      <c r="M228" s="19"/>
      <c r="N228" s="19"/>
      <c r="O228" s="19"/>
      <c r="P228" s="19"/>
      <c r="Q228" s="19"/>
      <c r="R228" s="19"/>
      <c r="S228" s="39" t="s">
        <v>2</v>
      </c>
      <c r="T228" s="39" t="s">
        <v>2</v>
      </c>
      <c r="U228" s="19"/>
      <c r="V228" s="19"/>
      <c r="W228" s="19"/>
      <c r="X228" s="19"/>
      <c r="Y228" s="19"/>
      <c r="Z228" s="19"/>
      <c r="AA228" s="39" t="s">
        <v>2</v>
      </c>
      <c r="AB228" s="39" t="s">
        <v>2</v>
      </c>
      <c r="AC228" s="19"/>
      <c r="AD228" s="19"/>
      <c r="AE228" s="19"/>
      <c r="AF228" s="19"/>
      <c r="AH228" s="20">
        <f t="shared" si="27"/>
        <v>0</v>
      </c>
      <c r="AI228" s="20">
        <f t="shared" si="28"/>
        <v>0</v>
      </c>
    </row>
    <row r="229" spans="1:35" ht="20.100000000000001" hidden="1" customHeight="1">
      <c r="A229" s="24" t="str">
        <f>ÖSSZES!$A$35</f>
        <v>Név10</v>
      </c>
      <c r="B229" s="19"/>
      <c r="C229" s="39" t="s">
        <v>2</v>
      </c>
      <c r="D229" s="39" t="s">
        <v>2</v>
      </c>
      <c r="E229" s="19"/>
      <c r="F229" s="19"/>
      <c r="G229" s="19"/>
      <c r="H229" s="19"/>
      <c r="I229" s="19"/>
      <c r="J229" s="19"/>
      <c r="K229" s="39" t="s">
        <v>2</v>
      </c>
      <c r="L229" s="39" t="s">
        <v>2</v>
      </c>
      <c r="M229" s="19"/>
      <c r="N229" s="19"/>
      <c r="O229" s="19"/>
      <c r="P229" s="19"/>
      <c r="Q229" s="19"/>
      <c r="R229" s="19"/>
      <c r="S229" s="39" t="s">
        <v>2</v>
      </c>
      <c r="T229" s="39" t="s">
        <v>2</v>
      </c>
      <c r="U229" s="19"/>
      <c r="V229" s="19"/>
      <c r="W229" s="19"/>
      <c r="X229" s="19"/>
      <c r="Y229" s="19"/>
      <c r="Z229" s="19"/>
      <c r="AA229" s="39" t="s">
        <v>2</v>
      </c>
      <c r="AB229" s="39" t="s">
        <v>2</v>
      </c>
      <c r="AC229" s="19"/>
      <c r="AD229" s="19"/>
      <c r="AE229" s="19"/>
      <c r="AF229" s="19"/>
      <c r="AH229" s="20">
        <f t="shared" si="27"/>
        <v>0</v>
      </c>
      <c r="AI229" s="20">
        <f t="shared" si="28"/>
        <v>0</v>
      </c>
    </row>
    <row r="230" spans="1:35" ht="20.100000000000001" hidden="1" customHeight="1">
      <c r="A230" s="24" t="str">
        <f>ÖSSZES!$A$36</f>
        <v>Név11</v>
      </c>
      <c r="B230" s="19"/>
      <c r="C230" s="39" t="s">
        <v>2</v>
      </c>
      <c r="D230" s="39" t="s">
        <v>2</v>
      </c>
      <c r="E230" s="19"/>
      <c r="F230" s="19"/>
      <c r="G230" s="19"/>
      <c r="H230" s="19"/>
      <c r="I230" s="19"/>
      <c r="J230" s="19"/>
      <c r="K230" s="39" t="s">
        <v>2</v>
      </c>
      <c r="L230" s="39" t="s">
        <v>2</v>
      </c>
      <c r="M230" s="19"/>
      <c r="N230" s="19"/>
      <c r="O230" s="19"/>
      <c r="P230" s="19"/>
      <c r="Q230" s="19"/>
      <c r="R230" s="19"/>
      <c r="S230" s="39" t="s">
        <v>2</v>
      </c>
      <c r="T230" s="39" t="s">
        <v>2</v>
      </c>
      <c r="U230" s="19"/>
      <c r="V230" s="19"/>
      <c r="W230" s="19"/>
      <c r="X230" s="19"/>
      <c r="Y230" s="19"/>
      <c r="Z230" s="19"/>
      <c r="AA230" s="39" t="s">
        <v>2</v>
      </c>
      <c r="AB230" s="39" t="s">
        <v>2</v>
      </c>
      <c r="AC230" s="19"/>
      <c r="AD230" s="19"/>
      <c r="AE230" s="19"/>
      <c r="AF230" s="19"/>
      <c r="AH230" s="20">
        <f t="shared" si="27"/>
        <v>0</v>
      </c>
      <c r="AI230" s="20">
        <f t="shared" si="28"/>
        <v>0</v>
      </c>
    </row>
    <row r="231" spans="1:35" ht="20.100000000000001" hidden="1" customHeight="1">
      <c r="A231" s="24" t="str">
        <f>ÖSSZES!$A$37</f>
        <v>Név12</v>
      </c>
      <c r="B231" s="19"/>
      <c r="C231" s="39" t="s">
        <v>2</v>
      </c>
      <c r="D231" s="39" t="s">
        <v>2</v>
      </c>
      <c r="E231" s="19"/>
      <c r="F231" s="19"/>
      <c r="G231" s="19"/>
      <c r="H231" s="19"/>
      <c r="I231" s="19"/>
      <c r="J231" s="19"/>
      <c r="K231" s="39" t="s">
        <v>2</v>
      </c>
      <c r="L231" s="39" t="s">
        <v>2</v>
      </c>
      <c r="M231" s="19"/>
      <c r="N231" s="19"/>
      <c r="O231" s="19"/>
      <c r="P231" s="19"/>
      <c r="Q231" s="19"/>
      <c r="R231" s="19"/>
      <c r="S231" s="39" t="s">
        <v>2</v>
      </c>
      <c r="T231" s="39" t="s">
        <v>2</v>
      </c>
      <c r="U231" s="19"/>
      <c r="V231" s="19"/>
      <c r="W231" s="19"/>
      <c r="X231" s="19"/>
      <c r="Y231" s="19"/>
      <c r="Z231" s="19"/>
      <c r="AA231" s="39" t="s">
        <v>2</v>
      </c>
      <c r="AB231" s="39" t="s">
        <v>2</v>
      </c>
      <c r="AC231" s="19"/>
      <c r="AD231" s="19"/>
      <c r="AE231" s="19"/>
      <c r="AF231" s="19"/>
      <c r="AH231" s="20">
        <f t="shared" si="27"/>
        <v>0</v>
      </c>
      <c r="AI231" s="20">
        <f t="shared" si="28"/>
        <v>0</v>
      </c>
    </row>
    <row r="232" spans="1:35" ht="20.100000000000001" hidden="1" customHeight="1">
      <c r="A232" s="24" t="str">
        <f>ÖSSZES!$A$38</f>
        <v>Név13</v>
      </c>
      <c r="B232" s="19"/>
      <c r="C232" s="39" t="s">
        <v>2</v>
      </c>
      <c r="D232" s="39" t="s">
        <v>2</v>
      </c>
      <c r="E232" s="19"/>
      <c r="F232" s="19"/>
      <c r="G232" s="19"/>
      <c r="H232" s="19"/>
      <c r="I232" s="19"/>
      <c r="J232" s="19"/>
      <c r="K232" s="39" t="s">
        <v>2</v>
      </c>
      <c r="L232" s="39" t="s">
        <v>2</v>
      </c>
      <c r="M232" s="19"/>
      <c r="N232" s="19"/>
      <c r="O232" s="19"/>
      <c r="P232" s="19"/>
      <c r="Q232" s="19"/>
      <c r="R232" s="19"/>
      <c r="S232" s="39" t="s">
        <v>2</v>
      </c>
      <c r="T232" s="39" t="s">
        <v>2</v>
      </c>
      <c r="U232" s="19"/>
      <c r="V232" s="19"/>
      <c r="W232" s="19"/>
      <c r="X232" s="19"/>
      <c r="Y232" s="19"/>
      <c r="Z232" s="19"/>
      <c r="AA232" s="39" t="s">
        <v>2</v>
      </c>
      <c r="AB232" s="39" t="s">
        <v>2</v>
      </c>
      <c r="AC232" s="19"/>
      <c r="AD232" s="19"/>
      <c r="AE232" s="19"/>
      <c r="AF232" s="19"/>
      <c r="AH232" s="20">
        <f t="shared" si="27"/>
        <v>0</v>
      </c>
      <c r="AI232" s="20">
        <f t="shared" si="28"/>
        <v>0</v>
      </c>
    </row>
    <row r="233" spans="1:35" ht="20.100000000000001" hidden="1" customHeight="1">
      <c r="A233" s="24" t="str">
        <f>ÖSSZES!$A$39</f>
        <v>Név14</v>
      </c>
      <c r="B233" s="19"/>
      <c r="C233" s="39" t="s">
        <v>2</v>
      </c>
      <c r="D233" s="39" t="s">
        <v>2</v>
      </c>
      <c r="E233" s="19"/>
      <c r="F233" s="19"/>
      <c r="G233" s="19"/>
      <c r="H233" s="19"/>
      <c r="I233" s="19"/>
      <c r="J233" s="19"/>
      <c r="K233" s="39" t="s">
        <v>2</v>
      </c>
      <c r="L233" s="39" t="s">
        <v>2</v>
      </c>
      <c r="M233" s="19"/>
      <c r="N233" s="19"/>
      <c r="O233" s="19"/>
      <c r="P233" s="19"/>
      <c r="Q233" s="19"/>
      <c r="R233" s="19"/>
      <c r="S233" s="39" t="s">
        <v>2</v>
      </c>
      <c r="T233" s="39" t="s">
        <v>2</v>
      </c>
      <c r="U233" s="19"/>
      <c r="V233" s="19"/>
      <c r="W233" s="19"/>
      <c r="X233" s="19"/>
      <c r="Y233" s="19"/>
      <c r="Z233" s="19"/>
      <c r="AA233" s="39" t="s">
        <v>2</v>
      </c>
      <c r="AB233" s="39" t="s">
        <v>2</v>
      </c>
      <c r="AC233" s="19"/>
      <c r="AD233" s="19"/>
      <c r="AE233" s="19"/>
      <c r="AF233" s="19"/>
      <c r="AH233" s="20">
        <f t="shared" si="27"/>
        <v>0</v>
      </c>
      <c r="AI233" s="20">
        <f t="shared" si="28"/>
        <v>0</v>
      </c>
    </row>
    <row r="234" spans="1:35" ht="20.100000000000001" hidden="1" customHeight="1">
      <c r="A234" s="24" t="str">
        <f>ÖSSZES!$A$40</f>
        <v>Név15</v>
      </c>
      <c r="B234" s="19"/>
      <c r="C234" s="39" t="s">
        <v>2</v>
      </c>
      <c r="D234" s="39" t="s">
        <v>2</v>
      </c>
      <c r="E234" s="19"/>
      <c r="F234" s="19"/>
      <c r="G234" s="19"/>
      <c r="H234" s="19"/>
      <c r="I234" s="19"/>
      <c r="J234" s="19"/>
      <c r="K234" s="39" t="s">
        <v>2</v>
      </c>
      <c r="L234" s="39" t="s">
        <v>2</v>
      </c>
      <c r="M234" s="19"/>
      <c r="N234" s="19"/>
      <c r="O234" s="19"/>
      <c r="P234" s="19"/>
      <c r="Q234" s="19"/>
      <c r="R234" s="19"/>
      <c r="S234" s="39" t="s">
        <v>2</v>
      </c>
      <c r="T234" s="39" t="s">
        <v>2</v>
      </c>
      <c r="U234" s="19"/>
      <c r="V234" s="19"/>
      <c r="W234" s="19"/>
      <c r="X234" s="19"/>
      <c r="Y234" s="19"/>
      <c r="Z234" s="19"/>
      <c r="AA234" s="39" t="s">
        <v>2</v>
      </c>
      <c r="AB234" s="39" t="s">
        <v>2</v>
      </c>
      <c r="AC234" s="19"/>
      <c r="AD234" s="19"/>
      <c r="AE234" s="19"/>
      <c r="AF234" s="19"/>
      <c r="AH234" s="20">
        <f t="shared" si="27"/>
        <v>0</v>
      </c>
      <c r="AI234" s="20">
        <f t="shared" si="28"/>
        <v>0</v>
      </c>
    </row>
    <row r="235" spans="1:35" ht="20.100000000000001" hidden="1" customHeight="1">
      <c r="A235" s="24" t="str">
        <f>ÖSSZES!$A$41</f>
        <v>Név16</v>
      </c>
      <c r="B235" s="19"/>
      <c r="C235" s="39" t="s">
        <v>2</v>
      </c>
      <c r="D235" s="39" t="s">
        <v>2</v>
      </c>
      <c r="E235" s="19"/>
      <c r="F235" s="19"/>
      <c r="G235" s="19"/>
      <c r="H235" s="19"/>
      <c r="I235" s="19"/>
      <c r="J235" s="19"/>
      <c r="K235" s="39" t="s">
        <v>2</v>
      </c>
      <c r="L235" s="39" t="s">
        <v>2</v>
      </c>
      <c r="M235" s="19"/>
      <c r="N235" s="19"/>
      <c r="O235" s="19"/>
      <c r="P235" s="19"/>
      <c r="Q235" s="19"/>
      <c r="R235" s="19"/>
      <c r="S235" s="39" t="s">
        <v>2</v>
      </c>
      <c r="T235" s="39" t="s">
        <v>2</v>
      </c>
      <c r="U235" s="19"/>
      <c r="V235" s="19"/>
      <c r="W235" s="19"/>
      <c r="X235" s="19"/>
      <c r="Y235" s="19"/>
      <c r="Z235" s="19"/>
      <c r="AA235" s="39" t="s">
        <v>2</v>
      </c>
      <c r="AB235" s="39" t="s">
        <v>2</v>
      </c>
      <c r="AC235" s="19"/>
      <c r="AD235" s="19"/>
      <c r="AE235" s="19"/>
      <c r="AF235" s="19"/>
      <c r="AH235" s="20">
        <f t="shared" si="27"/>
        <v>0</v>
      </c>
      <c r="AI235" s="20">
        <f t="shared" si="28"/>
        <v>0</v>
      </c>
    </row>
    <row r="236" spans="1:35" ht="20.100000000000001" hidden="1" customHeight="1">
      <c r="A236" s="24" t="str">
        <f>ÖSSZES!$A$42</f>
        <v>Név17</v>
      </c>
      <c r="B236" s="19"/>
      <c r="C236" s="39" t="s">
        <v>2</v>
      </c>
      <c r="D236" s="39" t="s">
        <v>2</v>
      </c>
      <c r="E236" s="19"/>
      <c r="F236" s="19"/>
      <c r="G236" s="19"/>
      <c r="H236" s="19"/>
      <c r="I236" s="19"/>
      <c r="J236" s="19"/>
      <c r="K236" s="39" t="s">
        <v>2</v>
      </c>
      <c r="L236" s="39" t="s">
        <v>2</v>
      </c>
      <c r="M236" s="19"/>
      <c r="N236" s="19"/>
      <c r="O236" s="19"/>
      <c r="P236" s="19"/>
      <c r="Q236" s="19"/>
      <c r="R236" s="19"/>
      <c r="S236" s="39" t="s">
        <v>2</v>
      </c>
      <c r="T236" s="39" t="s">
        <v>2</v>
      </c>
      <c r="U236" s="19"/>
      <c r="V236" s="19"/>
      <c r="W236" s="19"/>
      <c r="X236" s="19"/>
      <c r="Y236" s="19"/>
      <c r="Z236" s="19"/>
      <c r="AA236" s="39" t="s">
        <v>2</v>
      </c>
      <c r="AB236" s="39" t="s">
        <v>2</v>
      </c>
      <c r="AC236" s="19"/>
      <c r="AD236" s="19"/>
      <c r="AE236" s="19"/>
      <c r="AF236" s="19"/>
      <c r="AH236" s="20">
        <f t="shared" si="27"/>
        <v>0</v>
      </c>
      <c r="AI236" s="20">
        <f t="shared" si="28"/>
        <v>0</v>
      </c>
    </row>
    <row r="237" spans="1:35" ht="20.100000000000001" hidden="1" customHeight="1">
      <c r="A237" s="24" t="str">
        <f>ÖSSZES!$A$43</f>
        <v>Név18</v>
      </c>
      <c r="B237" s="19"/>
      <c r="C237" s="39" t="s">
        <v>2</v>
      </c>
      <c r="D237" s="39" t="s">
        <v>2</v>
      </c>
      <c r="E237" s="19"/>
      <c r="F237" s="19"/>
      <c r="G237" s="19"/>
      <c r="H237" s="19"/>
      <c r="I237" s="19"/>
      <c r="J237" s="19"/>
      <c r="K237" s="39" t="s">
        <v>2</v>
      </c>
      <c r="L237" s="39" t="s">
        <v>2</v>
      </c>
      <c r="M237" s="19"/>
      <c r="N237" s="19"/>
      <c r="O237" s="19"/>
      <c r="P237" s="19"/>
      <c r="Q237" s="19"/>
      <c r="R237" s="19"/>
      <c r="S237" s="39" t="s">
        <v>2</v>
      </c>
      <c r="T237" s="39" t="s">
        <v>2</v>
      </c>
      <c r="U237" s="19"/>
      <c r="V237" s="19"/>
      <c r="W237" s="19"/>
      <c r="X237" s="19"/>
      <c r="Y237" s="19"/>
      <c r="Z237" s="19"/>
      <c r="AA237" s="39" t="s">
        <v>2</v>
      </c>
      <c r="AB237" s="39" t="s">
        <v>2</v>
      </c>
      <c r="AC237" s="19"/>
      <c r="AD237" s="19"/>
      <c r="AE237" s="19"/>
      <c r="AF237" s="19"/>
      <c r="AH237" s="20">
        <f t="shared" si="27"/>
        <v>0</v>
      </c>
      <c r="AI237" s="20">
        <f t="shared" si="28"/>
        <v>0</v>
      </c>
    </row>
    <row r="238" spans="1:35" ht="20.100000000000001" hidden="1" customHeight="1">
      <c r="A238" s="24" t="str">
        <f>ÖSSZES!$A$44</f>
        <v>Név19</v>
      </c>
      <c r="B238" s="19"/>
      <c r="C238" s="39" t="s">
        <v>2</v>
      </c>
      <c r="D238" s="39" t="s">
        <v>2</v>
      </c>
      <c r="E238" s="19"/>
      <c r="F238" s="19"/>
      <c r="G238" s="19"/>
      <c r="H238" s="19"/>
      <c r="I238" s="19"/>
      <c r="J238" s="19"/>
      <c r="K238" s="39" t="s">
        <v>2</v>
      </c>
      <c r="L238" s="39" t="s">
        <v>2</v>
      </c>
      <c r="M238" s="19"/>
      <c r="N238" s="19"/>
      <c r="O238" s="19"/>
      <c r="P238" s="19"/>
      <c r="Q238" s="19"/>
      <c r="R238" s="19"/>
      <c r="S238" s="39" t="s">
        <v>2</v>
      </c>
      <c r="T238" s="39" t="s">
        <v>2</v>
      </c>
      <c r="U238" s="19"/>
      <c r="V238" s="19"/>
      <c r="W238" s="19"/>
      <c r="X238" s="19"/>
      <c r="Y238" s="19"/>
      <c r="Z238" s="19"/>
      <c r="AA238" s="39" t="s">
        <v>2</v>
      </c>
      <c r="AB238" s="39" t="s">
        <v>2</v>
      </c>
      <c r="AC238" s="19"/>
      <c r="AD238" s="19"/>
      <c r="AE238" s="19"/>
      <c r="AF238" s="19"/>
      <c r="AH238" s="20">
        <f t="shared" si="27"/>
        <v>0</v>
      </c>
      <c r="AI238" s="20">
        <f t="shared" si="28"/>
        <v>0</v>
      </c>
    </row>
    <row r="239" spans="1:35" ht="20.100000000000001" hidden="1" customHeight="1">
      <c r="A239" s="24" t="str">
        <f>ÖSSZES!$A$45</f>
        <v>Név20</v>
      </c>
      <c r="B239" s="19"/>
      <c r="C239" s="39" t="s">
        <v>2</v>
      </c>
      <c r="D239" s="39" t="s">
        <v>2</v>
      </c>
      <c r="E239" s="19"/>
      <c r="F239" s="19"/>
      <c r="G239" s="19"/>
      <c r="H239" s="19"/>
      <c r="I239" s="19"/>
      <c r="J239" s="19"/>
      <c r="K239" s="39" t="s">
        <v>2</v>
      </c>
      <c r="L239" s="39" t="s">
        <v>2</v>
      </c>
      <c r="M239" s="19"/>
      <c r="N239" s="19"/>
      <c r="O239" s="19"/>
      <c r="P239" s="19"/>
      <c r="Q239" s="19"/>
      <c r="R239" s="19"/>
      <c r="S239" s="39" t="s">
        <v>2</v>
      </c>
      <c r="T239" s="39" t="s">
        <v>2</v>
      </c>
      <c r="U239" s="19"/>
      <c r="V239" s="19"/>
      <c r="W239" s="19"/>
      <c r="X239" s="19"/>
      <c r="Y239" s="19"/>
      <c r="Z239" s="19"/>
      <c r="AA239" s="39" t="s">
        <v>2</v>
      </c>
      <c r="AB239" s="39" t="s">
        <v>2</v>
      </c>
      <c r="AC239" s="19"/>
      <c r="AD239" s="19"/>
      <c r="AE239" s="19"/>
      <c r="AF239" s="19"/>
      <c r="AH239" s="20">
        <f t="shared" si="27"/>
        <v>0</v>
      </c>
      <c r="AI239" s="20">
        <f t="shared" si="28"/>
        <v>0</v>
      </c>
    </row>
    <row r="240" spans="1:35" ht="20.100000000000001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H240" s="14"/>
      <c r="AI240" s="14"/>
    </row>
    <row r="241" spans="1:35" s="11" customFormat="1" ht="20.100000000000001" customHeight="1">
      <c r="A241" s="57" t="s">
        <v>15</v>
      </c>
      <c r="B241" s="25">
        <v>1</v>
      </c>
      <c r="C241" s="23">
        <v>2</v>
      </c>
      <c r="D241" s="23">
        <v>3</v>
      </c>
      <c r="E241" s="23">
        <v>4</v>
      </c>
      <c r="F241" s="23">
        <v>5</v>
      </c>
      <c r="G241" s="23">
        <v>6</v>
      </c>
      <c r="H241" s="23">
        <v>7</v>
      </c>
      <c r="I241" s="23">
        <v>8</v>
      </c>
      <c r="J241" s="23">
        <v>9</v>
      </c>
      <c r="K241" s="23">
        <v>10</v>
      </c>
      <c r="L241" s="23">
        <v>11</v>
      </c>
      <c r="M241" s="23">
        <v>12</v>
      </c>
      <c r="N241" s="23">
        <v>13</v>
      </c>
      <c r="O241" s="23">
        <v>14</v>
      </c>
      <c r="P241" s="23">
        <v>15</v>
      </c>
      <c r="Q241" s="23">
        <v>16</v>
      </c>
      <c r="R241" s="23">
        <v>17</v>
      </c>
      <c r="S241" s="23">
        <v>18</v>
      </c>
      <c r="T241" s="23">
        <v>19</v>
      </c>
      <c r="U241" s="23">
        <v>20</v>
      </c>
      <c r="V241" s="23">
        <v>21</v>
      </c>
      <c r="W241" s="23">
        <v>22</v>
      </c>
      <c r="X241" s="23">
        <v>23</v>
      </c>
      <c r="Y241" s="23">
        <v>24</v>
      </c>
      <c r="Z241" s="23">
        <v>25</v>
      </c>
      <c r="AA241" s="23">
        <v>26</v>
      </c>
      <c r="AB241" s="23">
        <v>27</v>
      </c>
      <c r="AC241" s="23">
        <v>28</v>
      </c>
      <c r="AD241" s="23">
        <v>29</v>
      </c>
      <c r="AE241" s="23">
        <v>30</v>
      </c>
      <c r="AH241" s="59" t="s">
        <v>18</v>
      </c>
      <c r="AI241" s="59" t="s">
        <v>19</v>
      </c>
    </row>
    <row r="242" spans="1:35" ht="20.100000000000001" customHeight="1">
      <c r="A242" s="58"/>
      <c r="B242" s="15" t="str">
        <f>'2021'!B84</f>
        <v>H</v>
      </c>
      <c r="C242" s="15" t="str">
        <f>'2021'!C84</f>
        <v>K</v>
      </c>
      <c r="D242" s="15" t="str">
        <f>'2021'!D84</f>
        <v>Sze</v>
      </c>
      <c r="E242" s="15" t="str">
        <f>'2021'!E84</f>
        <v>Cs</v>
      </c>
      <c r="F242" s="15" t="str">
        <f>'2021'!F84</f>
        <v>P</v>
      </c>
      <c r="G242" s="15" t="str">
        <f>'2021'!G84</f>
        <v>Szo</v>
      </c>
      <c r="H242" s="15" t="str">
        <f>'2021'!H84</f>
        <v>V</v>
      </c>
      <c r="I242" s="15" t="str">
        <f>'2021'!I84</f>
        <v>H</v>
      </c>
      <c r="J242" s="15" t="str">
        <f>'2021'!J84</f>
        <v>K</v>
      </c>
      <c r="K242" s="15" t="str">
        <f>'2021'!K84</f>
        <v>Sze</v>
      </c>
      <c r="L242" s="15" t="str">
        <f>'2021'!L84</f>
        <v>Cs</v>
      </c>
      <c r="M242" s="15" t="str">
        <f>'2021'!M84</f>
        <v>P</v>
      </c>
      <c r="N242" s="15" t="str">
        <f>'2021'!N84</f>
        <v>Szo</v>
      </c>
      <c r="O242" s="15" t="str">
        <f>'2021'!O84</f>
        <v>V</v>
      </c>
      <c r="P242" s="15" t="str">
        <f>'2021'!P84</f>
        <v>H</v>
      </c>
      <c r="Q242" s="15" t="str">
        <f>'2021'!Q84</f>
        <v>K</v>
      </c>
      <c r="R242" s="15" t="str">
        <f>'2021'!R84</f>
        <v>Sze</v>
      </c>
      <c r="S242" s="15" t="str">
        <f>'2021'!S84</f>
        <v>Cs</v>
      </c>
      <c r="T242" s="15" t="str">
        <f>'2021'!T84</f>
        <v>P</v>
      </c>
      <c r="U242" s="15" t="str">
        <f>'2021'!U84</f>
        <v>Szo</v>
      </c>
      <c r="V242" s="15" t="str">
        <f>'2021'!V84</f>
        <v>V</v>
      </c>
      <c r="W242" s="15" t="str">
        <f>'2021'!W84</f>
        <v>H</v>
      </c>
      <c r="X242" s="15" t="str">
        <f>'2021'!X84</f>
        <v>K</v>
      </c>
      <c r="Y242" s="15" t="str">
        <f>'2021'!Y84</f>
        <v>Sze</v>
      </c>
      <c r="Z242" s="15" t="str">
        <f>'2021'!Z84</f>
        <v>Cs</v>
      </c>
      <c r="AA242" s="15" t="str">
        <f>'2021'!AA84</f>
        <v>P</v>
      </c>
      <c r="AB242" s="15" t="str">
        <f>'2021'!AB84</f>
        <v>Szo</v>
      </c>
      <c r="AC242" s="15" t="str">
        <f>'2021'!AC84</f>
        <v>V</v>
      </c>
      <c r="AD242" s="15" t="str">
        <f>'2021'!AD84</f>
        <v>H</v>
      </c>
      <c r="AE242" s="15" t="str">
        <f>'2021'!AE84</f>
        <v>K</v>
      </c>
      <c r="AF242" s="6"/>
      <c r="AH242" s="60"/>
      <c r="AI242" s="60"/>
    </row>
    <row r="243" spans="1:35" ht="20.100000000000001" customHeight="1">
      <c r="A243" s="58"/>
      <c r="B243" s="15">
        <f>'2021'!B86</f>
        <v>1</v>
      </c>
      <c r="C243" s="15">
        <f>'2021'!C86</f>
        <v>1</v>
      </c>
      <c r="D243" s="15" t="str">
        <f>'2021'!D86</f>
        <v>X</v>
      </c>
      <c r="E243" s="15" t="str">
        <f>'2021'!E86</f>
        <v>X</v>
      </c>
      <c r="F243" s="15">
        <f>'2021'!F86</f>
        <v>3</v>
      </c>
      <c r="G243" s="15">
        <f>'2021'!G86</f>
        <v>3</v>
      </c>
      <c r="H243" s="15">
        <f>'2021'!H86</f>
        <v>3</v>
      </c>
      <c r="I243" s="15">
        <f>'2021'!I86</f>
        <v>3</v>
      </c>
      <c r="J243" s="15">
        <f>'2021'!J86</f>
        <v>3</v>
      </c>
      <c r="K243" s="15">
        <f>'2021'!K86</f>
        <v>3</v>
      </c>
      <c r="L243" s="15" t="str">
        <f>'2021'!L86</f>
        <v>X</v>
      </c>
      <c r="M243" s="15" t="str">
        <f>'2021'!M86</f>
        <v>X</v>
      </c>
      <c r="N243" s="15">
        <f>'2021'!N86</f>
        <v>2</v>
      </c>
      <c r="O243" s="15">
        <f>'2021'!O86</f>
        <v>2</v>
      </c>
      <c r="P243" s="15">
        <f>'2021'!P86</f>
        <v>2</v>
      </c>
      <c r="Q243" s="15">
        <f>'2021'!Q86</f>
        <v>2</v>
      </c>
      <c r="R243" s="15">
        <f>'2021'!R86</f>
        <v>2</v>
      </c>
      <c r="S243" s="15">
        <f>'2021'!S86</f>
        <v>2</v>
      </c>
      <c r="T243" s="15" t="str">
        <f>'2021'!T86</f>
        <v>X</v>
      </c>
      <c r="U243" s="15" t="str">
        <f>'2021'!U86</f>
        <v>X</v>
      </c>
      <c r="V243" s="15">
        <f>'2021'!V86</f>
        <v>1</v>
      </c>
      <c r="W243" s="15">
        <f>'2021'!W86</f>
        <v>1</v>
      </c>
      <c r="X243" s="15">
        <f>'2021'!X86</f>
        <v>1</v>
      </c>
      <c r="Y243" s="15">
        <f>'2021'!Y86</f>
        <v>1</v>
      </c>
      <c r="Z243" s="15">
        <f>'2021'!Z86</f>
        <v>1</v>
      </c>
      <c r="AA243" s="15">
        <f>'2021'!AA86</f>
        <v>1</v>
      </c>
      <c r="AB243" s="15" t="str">
        <f>'2021'!AB86</f>
        <v>X</v>
      </c>
      <c r="AC243" s="15" t="str">
        <f>'2021'!AC86</f>
        <v>X</v>
      </c>
      <c r="AD243" s="15">
        <f>'2021'!AD86</f>
        <v>3</v>
      </c>
      <c r="AE243" s="15">
        <f>'2021'!AE86</f>
        <v>3</v>
      </c>
      <c r="AF243" s="6"/>
      <c r="AH243" s="60"/>
      <c r="AI243" s="60"/>
    </row>
    <row r="244" spans="1:35" ht="20.100000000000001" customHeight="1">
      <c r="A244" s="24" t="str">
        <f>ÖSSZES!$A$26</f>
        <v>Katona László</v>
      </c>
      <c r="B244" s="19"/>
      <c r="C244" s="19"/>
      <c r="D244" s="39" t="s">
        <v>2</v>
      </c>
      <c r="E244" s="39" t="s">
        <v>2</v>
      </c>
      <c r="F244" s="19"/>
      <c r="G244" s="19"/>
      <c r="H244" s="19"/>
      <c r="I244" s="19"/>
      <c r="J244" s="19"/>
      <c r="K244" s="19"/>
      <c r="L244" s="39" t="s">
        <v>2</v>
      </c>
      <c r="M244" s="39" t="s">
        <v>2</v>
      </c>
      <c r="N244" s="19"/>
      <c r="O244" s="19"/>
      <c r="P244" s="19"/>
      <c r="Q244" s="19"/>
      <c r="R244" s="19"/>
      <c r="S244" s="19"/>
      <c r="T244" s="39" t="s">
        <v>2</v>
      </c>
      <c r="U244" s="39" t="s">
        <v>2</v>
      </c>
      <c r="V244" s="19"/>
      <c r="W244" s="19"/>
      <c r="X244" s="19"/>
      <c r="Y244" s="19"/>
      <c r="Z244" s="19"/>
      <c r="AA244" s="19"/>
      <c r="AB244" s="39" t="s">
        <v>2</v>
      </c>
      <c r="AC244" s="39" t="s">
        <v>2</v>
      </c>
      <c r="AD244" s="19"/>
      <c r="AE244" s="19"/>
      <c r="AF244" s="6"/>
      <c r="AH244" s="20">
        <f>1*COUNTIF(A244:AF244,"+")</f>
        <v>0</v>
      </c>
      <c r="AI244" s="20">
        <f t="shared" ref="AI244" si="29">1*COUNTIF(B244:AF244,"szf")</f>
        <v>0</v>
      </c>
    </row>
    <row r="245" spans="1:35" ht="20.100000000000001" customHeight="1">
      <c r="A245" s="24" t="str">
        <f>ÖSSZES!$A$27</f>
        <v>Fényi László</v>
      </c>
      <c r="B245" s="19"/>
      <c r="C245" s="19"/>
      <c r="D245" s="39" t="s">
        <v>2</v>
      </c>
      <c r="E245" s="39" t="s">
        <v>2</v>
      </c>
      <c r="F245" s="19"/>
      <c r="G245" s="19"/>
      <c r="H245" s="19"/>
      <c r="I245" s="19"/>
      <c r="J245" s="19"/>
      <c r="K245" s="19"/>
      <c r="L245" s="39" t="s">
        <v>2</v>
      </c>
      <c r="M245" s="39" t="s">
        <v>2</v>
      </c>
      <c r="N245" s="19"/>
      <c r="O245" s="19"/>
      <c r="P245" s="19"/>
      <c r="Q245" s="19"/>
      <c r="R245" s="19"/>
      <c r="S245" s="19"/>
      <c r="T245" s="39" t="s">
        <v>2</v>
      </c>
      <c r="U245" s="39" t="s">
        <v>2</v>
      </c>
      <c r="V245" s="19"/>
      <c r="W245" s="19"/>
      <c r="X245" s="19"/>
      <c r="Y245" s="19"/>
      <c r="Z245" s="19"/>
      <c r="AA245" s="19"/>
      <c r="AB245" s="39" t="s">
        <v>2</v>
      </c>
      <c r="AC245" s="39" t="s">
        <v>2</v>
      </c>
      <c r="AD245" s="19"/>
      <c r="AE245" s="19"/>
      <c r="AF245" s="6"/>
      <c r="AH245" s="20">
        <f t="shared" ref="AH245:AH263" si="30">1*COUNTIF(A245:AF245,"+")</f>
        <v>0</v>
      </c>
      <c r="AI245" s="20">
        <f t="shared" ref="AI245:AI263" si="31">1*COUNTIF(B245:AF245,"szf")</f>
        <v>0</v>
      </c>
    </row>
    <row r="246" spans="1:35" ht="20.100000000000001" customHeight="1">
      <c r="A246" s="24" t="str">
        <f>ÖSSZES!$A$28</f>
        <v>Habara Gábor</v>
      </c>
      <c r="B246" s="19"/>
      <c r="C246" s="19"/>
      <c r="D246" s="39" t="s">
        <v>2</v>
      </c>
      <c r="E246" s="39" t="s">
        <v>2</v>
      </c>
      <c r="F246" s="19"/>
      <c r="G246" s="19"/>
      <c r="H246" s="19"/>
      <c r="I246" s="19"/>
      <c r="J246" s="19"/>
      <c r="K246" s="19"/>
      <c r="L246" s="39" t="s">
        <v>2</v>
      </c>
      <c r="M246" s="39" t="s">
        <v>2</v>
      </c>
      <c r="N246" s="19"/>
      <c r="O246" s="19"/>
      <c r="P246" s="19"/>
      <c r="Q246" s="19"/>
      <c r="R246" s="19"/>
      <c r="S246" s="19"/>
      <c r="T246" s="39" t="s">
        <v>2</v>
      </c>
      <c r="U246" s="39" t="s">
        <v>2</v>
      </c>
      <c r="V246" s="19"/>
      <c r="W246" s="19"/>
      <c r="X246" s="19"/>
      <c r="Y246" s="19"/>
      <c r="Z246" s="19"/>
      <c r="AA246" s="19"/>
      <c r="AB246" s="39" t="s">
        <v>2</v>
      </c>
      <c r="AC246" s="39" t="s">
        <v>2</v>
      </c>
      <c r="AD246" s="19"/>
      <c r="AE246" s="19"/>
      <c r="AF246" s="6"/>
      <c r="AH246" s="20">
        <f t="shared" si="30"/>
        <v>0</v>
      </c>
      <c r="AI246" s="20">
        <f t="shared" si="31"/>
        <v>0</v>
      </c>
    </row>
    <row r="247" spans="1:35" ht="20.100000000000001" customHeight="1">
      <c r="A247" s="24" t="str">
        <f>ÖSSZES!$A$29</f>
        <v>Holba Imre</v>
      </c>
      <c r="B247" s="19"/>
      <c r="C247" s="19"/>
      <c r="D247" s="39" t="s">
        <v>2</v>
      </c>
      <c r="E247" s="39" t="s">
        <v>2</v>
      </c>
      <c r="F247" s="19"/>
      <c r="G247" s="19"/>
      <c r="H247" s="19"/>
      <c r="I247" s="19"/>
      <c r="J247" s="19"/>
      <c r="K247" s="19"/>
      <c r="L247" s="39" t="s">
        <v>2</v>
      </c>
      <c r="M247" s="39" t="s">
        <v>2</v>
      </c>
      <c r="N247" s="19"/>
      <c r="O247" s="19"/>
      <c r="P247" s="19"/>
      <c r="Q247" s="19"/>
      <c r="R247" s="19"/>
      <c r="S247" s="19"/>
      <c r="T247" s="39" t="s">
        <v>2</v>
      </c>
      <c r="U247" s="39" t="s">
        <v>2</v>
      </c>
      <c r="V247" s="19"/>
      <c r="W247" s="19"/>
      <c r="X247" s="19"/>
      <c r="Y247" s="19"/>
      <c r="Z247" s="19"/>
      <c r="AA247" s="19"/>
      <c r="AB247" s="39" t="s">
        <v>2</v>
      </c>
      <c r="AC247" s="39" t="s">
        <v>2</v>
      </c>
      <c r="AD247" s="19"/>
      <c r="AE247" s="19"/>
      <c r="AF247" s="6"/>
      <c r="AH247" s="20">
        <f t="shared" si="30"/>
        <v>0</v>
      </c>
      <c r="AI247" s="20">
        <f t="shared" si="31"/>
        <v>0</v>
      </c>
    </row>
    <row r="248" spans="1:35" ht="20.100000000000001" customHeight="1">
      <c r="A248" s="24" t="str">
        <f>ÖSSZES!$A$30</f>
        <v>Király Bálint Donát</v>
      </c>
      <c r="B248" s="19"/>
      <c r="C248" s="19"/>
      <c r="D248" s="39" t="s">
        <v>2</v>
      </c>
      <c r="E248" s="39" t="s">
        <v>2</v>
      </c>
      <c r="F248" s="19"/>
      <c r="G248" s="19"/>
      <c r="H248" s="19"/>
      <c r="I248" s="19"/>
      <c r="J248" s="19"/>
      <c r="K248" s="19"/>
      <c r="L248" s="39" t="s">
        <v>2</v>
      </c>
      <c r="M248" s="39" t="s">
        <v>2</v>
      </c>
      <c r="N248" s="19"/>
      <c r="O248" s="19"/>
      <c r="P248" s="19"/>
      <c r="Q248" s="19"/>
      <c r="R248" s="19"/>
      <c r="S248" s="19"/>
      <c r="T248" s="39" t="s">
        <v>2</v>
      </c>
      <c r="U248" s="39" t="s">
        <v>2</v>
      </c>
      <c r="V248" s="19"/>
      <c r="W248" s="19"/>
      <c r="X248" s="19"/>
      <c r="Y248" s="19"/>
      <c r="Z248" s="19"/>
      <c r="AA248" s="19"/>
      <c r="AB248" s="39" t="s">
        <v>2</v>
      </c>
      <c r="AC248" s="39" t="s">
        <v>2</v>
      </c>
      <c r="AD248" s="19"/>
      <c r="AE248" s="19"/>
      <c r="AF248" s="6"/>
      <c r="AH248" s="20">
        <f t="shared" si="30"/>
        <v>0</v>
      </c>
      <c r="AI248" s="20">
        <f t="shared" si="31"/>
        <v>0</v>
      </c>
    </row>
    <row r="249" spans="1:35" ht="20.100000000000001" customHeight="1">
      <c r="A249" s="24" t="str">
        <f>ÖSSZES!$A$31</f>
        <v>Kiss János Tamás</v>
      </c>
      <c r="B249" s="19"/>
      <c r="C249" s="19"/>
      <c r="D249" s="39" t="s">
        <v>2</v>
      </c>
      <c r="E249" s="39" t="s">
        <v>2</v>
      </c>
      <c r="F249" s="19"/>
      <c r="G249" s="19"/>
      <c r="H249" s="19"/>
      <c r="I249" s="19"/>
      <c r="J249" s="19"/>
      <c r="K249" s="19"/>
      <c r="L249" s="39" t="s">
        <v>2</v>
      </c>
      <c r="M249" s="39" t="s">
        <v>2</v>
      </c>
      <c r="N249" s="19"/>
      <c r="O249" s="19"/>
      <c r="P249" s="19"/>
      <c r="Q249" s="19"/>
      <c r="R249" s="19"/>
      <c r="S249" s="19"/>
      <c r="T249" s="39" t="s">
        <v>2</v>
      </c>
      <c r="U249" s="39" t="s">
        <v>2</v>
      </c>
      <c r="V249" s="19"/>
      <c r="W249" s="19"/>
      <c r="X249" s="19"/>
      <c r="Y249" s="19"/>
      <c r="Z249" s="19"/>
      <c r="AA249" s="19"/>
      <c r="AB249" s="39" t="s">
        <v>2</v>
      </c>
      <c r="AC249" s="39" t="s">
        <v>2</v>
      </c>
      <c r="AD249" s="19"/>
      <c r="AE249" s="19"/>
      <c r="AF249" s="6"/>
      <c r="AH249" s="20">
        <f t="shared" si="30"/>
        <v>0</v>
      </c>
      <c r="AI249" s="20">
        <f t="shared" si="31"/>
        <v>0</v>
      </c>
    </row>
    <row r="250" spans="1:35" ht="20.100000000000001" customHeight="1">
      <c r="A250" s="24" t="str">
        <f>ÖSSZES!$A$32</f>
        <v>Mezei Lajos</v>
      </c>
      <c r="B250" s="19"/>
      <c r="C250" s="19"/>
      <c r="D250" s="39" t="s">
        <v>2</v>
      </c>
      <c r="E250" s="39" t="s">
        <v>2</v>
      </c>
      <c r="F250" s="19"/>
      <c r="G250" s="19"/>
      <c r="H250" s="19"/>
      <c r="I250" s="19"/>
      <c r="J250" s="19"/>
      <c r="K250" s="19"/>
      <c r="L250" s="39" t="s">
        <v>2</v>
      </c>
      <c r="M250" s="39" t="s">
        <v>2</v>
      </c>
      <c r="N250" s="19"/>
      <c r="O250" s="19"/>
      <c r="P250" s="19"/>
      <c r="Q250" s="19"/>
      <c r="R250" s="19"/>
      <c r="S250" s="19"/>
      <c r="T250" s="39" t="s">
        <v>2</v>
      </c>
      <c r="U250" s="39" t="s">
        <v>2</v>
      </c>
      <c r="V250" s="19"/>
      <c r="W250" s="19"/>
      <c r="X250" s="19"/>
      <c r="Y250" s="19"/>
      <c r="Z250" s="19"/>
      <c r="AA250" s="19"/>
      <c r="AB250" s="39" t="s">
        <v>2</v>
      </c>
      <c r="AC250" s="39" t="s">
        <v>2</v>
      </c>
      <c r="AD250" s="19"/>
      <c r="AE250" s="19"/>
      <c r="AF250" s="6"/>
      <c r="AH250" s="20">
        <f t="shared" si="30"/>
        <v>0</v>
      </c>
      <c r="AI250" s="20">
        <f t="shared" si="31"/>
        <v>0</v>
      </c>
    </row>
    <row r="251" spans="1:35" ht="20.100000000000001" hidden="1" customHeight="1">
      <c r="A251" s="24" t="str">
        <f>ÖSSZES!$A$33</f>
        <v>Név8</v>
      </c>
      <c r="B251" s="19"/>
      <c r="C251" s="19"/>
      <c r="D251" s="39" t="s">
        <v>2</v>
      </c>
      <c r="E251" s="39" t="s">
        <v>2</v>
      </c>
      <c r="F251" s="19"/>
      <c r="G251" s="19"/>
      <c r="H251" s="19"/>
      <c r="I251" s="19"/>
      <c r="J251" s="19"/>
      <c r="K251" s="19"/>
      <c r="L251" s="39" t="s">
        <v>2</v>
      </c>
      <c r="M251" s="39" t="s">
        <v>2</v>
      </c>
      <c r="N251" s="19"/>
      <c r="O251" s="19"/>
      <c r="P251" s="19"/>
      <c r="Q251" s="19"/>
      <c r="R251" s="19"/>
      <c r="S251" s="19"/>
      <c r="T251" s="39" t="s">
        <v>2</v>
      </c>
      <c r="U251" s="39" t="s">
        <v>2</v>
      </c>
      <c r="V251" s="19"/>
      <c r="W251" s="19"/>
      <c r="X251" s="19"/>
      <c r="Y251" s="19"/>
      <c r="Z251" s="19"/>
      <c r="AA251" s="19"/>
      <c r="AB251" s="39" t="s">
        <v>2</v>
      </c>
      <c r="AC251" s="39" t="s">
        <v>2</v>
      </c>
      <c r="AD251" s="19"/>
      <c r="AE251" s="19"/>
      <c r="AF251" s="6"/>
      <c r="AH251" s="20">
        <f t="shared" si="30"/>
        <v>0</v>
      </c>
      <c r="AI251" s="20">
        <f t="shared" si="31"/>
        <v>0</v>
      </c>
    </row>
    <row r="252" spans="1:35" ht="20.100000000000001" hidden="1" customHeight="1">
      <c r="A252" s="24" t="str">
        <f>ÖSSZES!$A$34</f>
        <v>Név9</v>
      </c>
      <c r="B252" s="19"/>
      <c r="C252" s="19"/>
      <c r="D252" s="39" t="s">
        <v>2</v>
      </c>
      <c r="E252" s="39" t="s">
        <v>2</v>
      </c>
      <c r="F252" s="19"/>
      <c r="G252" s="19"/>
      <c r="H252" s="19"/>
      <c r="I252" s="19"/>
      <c r="J252" s="19"/>
      <c r="K252" s="19"/>
      <c r="L252" s="39" t="s">
        <v>2</v>
      </c>
      <c r="M252" s="39" t="s">
        <v>2</v>
      </c>
      <c r="N252" s="19"/>
      <c r="O252" s="19"/>
      <c r="P252" s="19"/>
      <c r="Q252" s="19"/>
      <c r="R252" s="19"/>
      <c r="S252" s="19"/>
      <c r="T252" s="39" t="s">
        <v>2</v>
      </c>
      <c r="U252" s="39" t="s">
        <v>2</v>
      </c>
      <c r="V252" s="19"/>
      <c r="W252" s="19"/>
      <c r="X252" s="19"/>
      <c r="Y252" s="19"/>
      <c r="Z252" s="19"/>
      <c r="AA252" s="19"/>
      <c r="AB252" s="39" t="s">
        <v>2</v>
      </c>
      <c r="AC252" s="39" t="s">
        <v>2</v>
      </c>
      <c r="AD252" s="19"/>
      <c r="AE252" s="19"/>
      <c r="AF252" s="6"/>
      <c r="AH252" s="20">
        <f t="shared" si="30"/>
        <v>0</v>
      </c>
      <c r="AI252" s="20">
        <f t="shared" si="31"/>
        <v>0</v>
      </c>
    </row>
    <row r="253" spans="1:35" ht="20.100000000000001" hidden="1" customHeight="1">
      <c r="A253" s="24" t="str">
        <f>ÖSSZES!$A$35</f>
        <v>Név10</v>
      </c>
      <c r="B253" s="19"/>
      <c r="C253" s="19"/>
      <c r="D253" s="39" t="s">
        <v>2</v>
      </c>
      <c r="E253" s="39" t="s">
        <v>2</v>
      </c>
      <c r="F253" s="19"/>
      <c r="G253" s="19"/>
      <c r="H253" s="19"/>
      <c r="I253" s="19"/>
      <c r="J253" s="19"/>
      <c r="K253" s="19"/>
      <c r="L253" s="39" t="s">
        <v>2</v>
      </c>
      <c r="M253" s="39" t="s">
        <v>2</v>
      </c>
      <c r="N253" s="19"/>
      <c r="O253" s="19"/>
      <c r="P253" s="19"/>
      <c r="Q253" s="19"/>
      <c r="R253" s="19"/>
      <c r="S253" s="19"/>
      <c r="T253" s="39" t="s">
        <v>2</v>
      </c>
      <c r="U253" s="39" t="s">
        <v>2</v>
      </c>
      <c r="V253" s="19"/>
      <c r="W253" s="19"/>
      <c r="X253" s="19"/>
      <c r="Y253" s="19"/>
      <c r="Z253" s="19"/>
      <c r="AA253" s="19"/>
      <c r="AB253" s="39" t="s">
        <v>2</v>
      </c>
      <c r="AC253" s="39" t="s">
        <v>2</v>
      </c>
      <c r="AD253" s="19"/>
      <c r="AE253" s="19"/>
      <c r="AF253" s="6"/>
      <c r="AH253" s="20">
        <f t="shared" si="30"/>
        <v>0</v>
      </c>
      <c r="AI253" s="20">
        <f t="shared" si="31"/>
        <v>0</v>
      </c>
    </row>
    <row r="254" spans="1:35" ht="20.100000000000001" hidden="1" customHeight="1">
      <c r="A254" s="24" t="str">
        <f>ÖSSZES!$A$36</f>
        <v>Név11</v>
      </c>
      <c r="B254" s="19"/>
      <c r="C254" s="19"/>
      <c r="D254" s="39" t="s">
        <v>2</v>
      </c>
      <c r="E254" s="39" t="s">
        <v>2</v>
      </c>
      <c r="F254" s="19"/>
      <c r="G254" s="19"/>
      <c r="H254" s="19"/>
      <c r="I254" s="19"/>
      <c r="J254" s="19"/>
      <c r="K254" s="19"/>
      <c r="L254" s="39" t="s">
        <v>2</v>
      </c>
      <c r="M254" s="39" t="s">
        <v>2</v>
      </c>
      <c r="N254" s="19"/>
      <c r="O254" s="19"/>
      <c r="P254" s="19"/>
      <c r="Q254" s="19"/>
      <c r="R254" s="19"/>
      <c r="S254" s="19"/>
      <c r="T254" s="39" t="s">
        <v>2</v>
      </c>
      <c r="U254" s="39" t="s">
        <v>2</v>
      </c>
      <c r="V254" s="19"/>
      <c r="W254" s="19"/>
      <c r="X254" s="19"/>
      <c r="Y254" s="19"/>
      <c r="Z254" s="19"/>
      <c r="AA254" s="19"/>
      <c r="AB254" s="39" t="s">
        <v>2</v>
      </c>
      <c r="AC254" s="39" t="s">
        <v>2</v>
      </c>
      <c r="AD254" s="19"/>
      <c r="AE254" s="19"/>
      <c r="AF254" s="6"/>
      <c r="AH254" s="20">
        <f t="shared" si="30"/>
        <v>0</v>
      </c>
      <c r="AI254" s="20">
        <f t="shared" si="31"/>
        <v>0</v>
      </c>
    </row>
    <row r="255" spans="1:35" ht="20.100000000000001" hidden="1" customHeight="1">
      <c r="A255" s="24" t="str">
        <f>ÖSSZES!$A$37</f>
        <v>Név12</v>
      </c>
      <c r="B255" s="19"/>
      <c r="C255" s="19"/>
      <c r="D255" s="39" t="s">
        <v>2</v>
      </c>
      <c r="E255" s="39" t="s">
        <v>2</v>
      </c>
      <c r="F255" s="19"/>
      <c r="G255" s="19"/>
      <c r="H255" s="19"/>
      <c r="I255" s="19"/>
      <c r="J255" s="19"/>
      <c r="K255" s="19"/>
      <c r="L255" s="39" t="s">
        <v>2</v>
      </c>
      <c r="M255" s="39" t="s">
        <v>2</v>
      </c>
      <c r="N255" s="19"/>
      <c r="O255" s="19"/>
      <c r="P255" s="19"/>
      <c r="Q255" s="19"/>
      <c r="R255" s="19"/>
      <c r="S255" s="19"/>
      <c r="T255" s="39" t="s">
        <v>2</v>
      </c>
      <c r="U255" s="39" t="s">
        <v>2</v>
      </c>
      <c r="V255" s="19"/>
      <c r="W255" s="19"/>
      <c r="X255" s="19"/>
      <c r="Y255" s="19"/>
      <c r="Z255" s="19"/>
      <c r="AA255" s="19"/>
      <c r="AB255" s="39" t="s">
        <v>2</v>
      </c>
      <c r="AC255" s="39" t="s">
        <v>2</v>
      </c>
      <c r="AD255" s="19"/>
      <c r="AE255" s="19"/>
      <c r="AF255" s="6"/>
      <c r="AH255" s="20">
        <f t="shared" si="30"/>
        <v>0</v>
      </c>
      <c r="AI255" s="20">
        <f t="shared" si="31"/>
        <v>0</v>
      </c>
    </row>
    <row r="256" spans="1:35" ht="20.100000000000001" hidden="1" customHeight="1">
      <c r="A256" s="24" t="str">
        <f>ÖSSZES!$A$38</f>
        <v>Név13</v>
      </c>
      <c r="B256" s="19"/>
      <c r="C256" s="19"/>
      <c r="D256" s="39" t="s">
        <v>2</v>
      </c>
      <c r="E256" s="39" t="s">
        <v>2</v>
      </c>
      <c r="F256" s="19"/>
      <c r="G256" s="19"/>
      <c r="H256" s="19"/>
      <c r="I256" s="19"/>
      <c r="J256" s="19"/>
      <c r="K256" s="19"/>
      <c r="L256" s="39" t="s">
        <v>2</v>
      </c>
      <c r="M256" s="39" t="s">
        <v>2</v>
      </c>
      <c r="N256" s="19"/>
      <c r="O256" s="19"/>
      <c r="P256" s="19"/>
      <c r="Q256" s="19"/>
      <c r="R256" s="19"/>
      <c r="S256" s="19"/>
      <c r="T256" s="39" t="s">
        <v>2</v>
      </c>
      <c r="U256" s="39" t="s">
        <v>2</v>
      </c>
      <c r="V256" s="19"/>
      <c r="W256" s="19"/>
      <c r="X256" s="19"/>
      <c r="Y256" s="19"/>
      <c r="Z256" s="19"/>
      <c r="AA256" s="19"/>
      <c r="AB256" s="39" t="s">
        <v>2</v>
      </c>
      <c r="AC256" s="39" t="s">
        <v>2</v>
      </c>
      <c r="AD256" s="19"/>
      <c r="AE256" s="19"/>
      <c r="AF256" s="6"/>
      <c r="AH256" s="20">
        <f t="shared" si="30"/>
        <v>0</v>
      </c>
      <c r="AI256" s="20">
        <f t="shared" si="31"/>
        <v>0</v>
      </c>
    </row>
    <row r="257" spans="1:35" ht="20.100000000000001" hidden="1" customHeight="1">
      <c r="A257" s="24" t="str">
        <f>ÖSSZES!$A$39</f>
        <v>Név14</v>
      </c>
      <c r="B257" s="19"/>
      <c r="C257" s="19"/>
      <c r="D257" s="39" t="s">
        <v>2</v>
      </c>
      <c r="E257" s="39" t="s">
        <v>2</v>
      </c>
      <c r="F257" s="19"/>
      <c r="G257" s="19"/>
      <c r="H257" s="19"/>
      <c r="I257" s="19"/>
      <c r="J257" s="19"/>
      <c r="K257" s="19"/>
      <c r="L257" s="39" t="s">
        <v>2</v>
      </c>
      <c r="M257" s="39" t="s">
        <v>2</v>
      </c>
      <c r="N257" s="19"/>
      <c r="O257" s="19"/>
      <c r="P257" s="19"/>
      <c r="Q257" s="19"/>
      <c r="R257" s="19"/>
      <c r="S257" s="19"/>
      <c r="T257" s="39" t="s">
        <v>2</v>
      </c>
      <c r="U257" s="39" t="s">
        <v>2</v>
      </c>
      <c r="V257" s="19"/>
      <c r="W257" s="19"/>
      <c r="X257" s="19"/>
      <c r="Y257" s="19"/>
      <c r="Z257" s="19"/>
      <c r="AA257" s="19"/>
      <c r="AB257" s="39" t="s">
        <v>2</v>
      </c>
      <c r="AC257" s="39" t="s">
        <v>2</v>
      </c>
      <c r="AD257" s="19"/>
      <c r="AE257" s="19"/>
      <c r="AF257" s="6"/>
      <c r="AH257" s="20">
        <f t="shared" si="30"/>
        <v>0</v>
      </c>
      <c r="AI257" s="20">
        <f t="shared" si="31"/>
        <v>0</v>
      </c>
    </row>
    <row r="258" spans="1:35" ht="20.100000000000001" hidden="1" customHeight="1">
      <c r="A258" s="24" t="str">
        <f>ÖSSZES!$A$40</f>
        <v>Név15</v>
      </c>
      <c r="B258" s="19"/>
      <c r="C258" s="19"/>
      <c r="D258" s="39" t="s">
        <v>2</v>
      </c>
      <c r="E258" s="39" t="s">
        <v>2</v>
      </c>
      <c r="F258" s="19"/>
      <c r="G258" s="19"/>
      <c r="H258" s="19"/>
      <c r="I258" s="19"/>
      <c r="J258" s="19"/>
      <c r="K258" s="19"/>
      <c r="L258" s="39" t="s">
        <v>2</v>
      </c>
      <c r="M258" s="39" t="s">
        <v>2</v>
      </c>
      <c r="N258" s="19"/>
      <c r="O258" s="19"/>
      <c r="P258" s="19"/>
      <c r="Q258" s="19"/>
      <c r="R258" s="19"/>
      <c r="S258" s="19"/>
      <c r="T258" s="39" t="s">
        <v>2</v>
      </c>
      <c r="U258" s="39" t="s">
        <v>2</v>
      </c>
      <c r="V258" s="19"/>
      <c r="W258" s="19"/>
      <c r="X258" s="19"/>
      <c r="Y258" s="19"/>
      <c r="Z258" s="19"/>
      <c r="AA258" s="19"/>
      <c r="AB258" s="39" t="s">
        <v>2</v>
      </c>
      <c r="AC258" s="39" t="s">
        <v>2</v>
      </c>
      <c r="AD258" s="19"/>
      <c r="AE258" s="19"/>
      <c r="AF258" s="6"/>
      <c r="AH258" s="20">
        <f t="shared" si="30"/>
        <v>0</v>
      </c>
      <c r="AI258" s="20">
        <f t="shared" si="31"/>
        <v>0</v>
      </c>
    </row>
    <row r="259" spans="1:35" ht="20.100000000000001" hidden="1" customHeight="1">
      <c r="A259" s="24" t="str">
        <f>ÖSSZES!$A$41</f>
        <v>Név16</v>
      </c>
      <c r="B259" s="19"/>
      <c r="C259" s="19"/>
      <c r="D259" s="39" t="s">
        <v>2</v>
      </c>
      <c r="E259" s="39" t="s">
        <v>2</v>
      </c>
      <c r="F259" s="19"/>
      <c r="G259" s="19"/>
      <c r="H259" s="19"/>
      <c r="I259" s="19"/>
      <c r="J259" s="19"/>
      <c r="K259" s="19"/>
      <c r="L259" s="39" t="s">
        <v>2</v>
      </c>
      <c r="M259" s="39" t="s">
        <v>2</v>
      </c>
      <c r="N259" s="19"/>
      <c r="O259" s="19"/>
      <c r="P259" s="19"/>
      <c r="Q259" s="19"/>
      <c r="R259" s="19"/>
      <c r="S259" s="19"/>
      <c r="T259" s="39" t="s">
        <v>2</v>
      </c>
      <c r="U259" s="39" t="s">
        <v>2</v>
      </c>
      <c r="V259" s="19"/>
      <c r="W259" s="19"/>
      <c r="X259" s="19"/>
      <c r="Y259" s="19"/>
      <c r="Z259" s="19"/>
      <c r="AA259" s="19"/>
      <c r="AB259" s="39" t="s">
        <v>2</v>
      </c>
      <c r="AC259" s="39" t="s">
        <v>2</v>
      </c>
      <c r="AD259" s="19"/>
      <c r="AE259" s="19"/>
      <c r="AF259" s="6"/>
      <c r="AH259" s="20">
        <f t="shared" si="30"/>
        <v>0</v>
      </c>
      <c r="AI259" s="20">
        <f t="shared" si="31"/>
        <v>0</v>
      </c>
    </row>
    <row r="260" spans="1:35" ht="20.100000000000001" hidden="1" customHeight="1">
      <c r="A260" s="24" t="str">
        <f>ÖSSZES!$A$42</f>
        <v>Név17</v>
      </c>
      <c r="B260" s="19"/>
      <c r="C260" s="19"/>
      <c r="D260" s="39" t="s">
        <v>2</v>
      </c>
      <c r="E260" s="39" t="s">
        <v>2</v>
      </c>
      <c r="F260" s="19"/>
      <c r="G260" s="19"/>
      <c r="H260" s="19"/>
      <c r="I260" s="19"/>
      <c r="J260" s="19"/>
      <c r="K260" s="19"/>
      <c r="L260" s="39" t="s">
        <v>2</v>
      </c>
      <c r="M260" s="39" t="s">
        <v>2</v>
      </c>
      <c r="N260" s="19"/>
      <c r="O260" s="19"/>
      <c r="P260" s="19"/>
      <c r="Q260" s="19"/>
      <c r="R260" s="19"/>
      <c r="S260" s="19"/>
      <c r="T260" s="39" t="s">
        <v>2</v>
      </c>
      <c r="U260" s="39" t="s">
        <v>2</v>
      </c>
      <c r="V260" s="19"/>
      <c r="W260" s="19"/>
      <c r="X260" s="19"/>
      <c r="Y260" s="19"/>
      <c r="Z260" s="19"/>
      <c r="AA260" s="19"/>
      <c r="AB260" s="39" t="s">
        <v>2</v>
      </c>
      <c r="AC260" s="39" t="s">
        <v>2</v>
      </c>
      <c r="AD260" s="19"/>
      <c r="AE260" s="19"/>
      <c r="AF260" s="6"/>
      <c r="AH260" s="20">
        <f t="shared" si="30"/>
        <v>0</v>
      </c>
      <c r="AI260" s="20">
        <f t="shared" si="31"/>
        <v>0</v>
      </c>
    </row>
    <row r="261" spans="1:35" ht="20.100000000000001" hidden="1" customHeight="1">
      <c r="A261" s="24" t="str">
        <f>ÖSSZES!$A$43</f>
        <v>Név18</v>
      </c>
      <c r="B261" s="19"/>
      <c r="C261" s="19"/>
      <c r="D261" s="39" t="s">
        <v>2</v>
      </c>
      <c r="E261" s="39" t="s">
        <v>2</v>
      </c>
      <c r="F261" s="19"/>
      <c r="G261" s="19"/>
      <c r="H261" s="19"/>
      <c r="I261" s="19"/>
      <c r="J261" s="19"/>
      <c r="K261" s="19"/>
      <c r="L261" s="39" t="s">
        <v>2</v>
      </c>
      <c r="M261" s="39" t="s">
        <v>2</v>
      </c>
      <c r="N261" s="19"/>
      <c r="O261" s="19"/>
      <c r="P261" s="19"/>
      <c r="Q261" s="19"/>
      <c r="R261" s="19"/>
      <c r="S261" s="19"/>
      <c r="T261" s="39" t="s">
        <v>2</v>
      </c>
      <c r="U261" s="39" t="s">
        <v>2</v>
      </c>
      <c r="V261" s="19"/>
      <c r="W261" s="19"/>
      <c r="X261" s="19"/>
      <c r="Y261" s="19"/>
      <c r="Z261" s="19"/>
      <c r="AA261" s="19"/>
      <c r="AB261" s="39" t="s">
        <v>2</v>
      </c>
      <c r="AC261" s="39" t="s">
        <v>2</v>
      </c>
      <c r="AD261" s="19"/>
      <c r="AE261" s="19"/>
      <c r="AF261" s="6"/>
      <c r="AH261" s="20">
        <f t="shared" si="30"/>
        <v>0</v>
      </c>
      <c r="AI261" s="20">
        <f t="shared" si="31"/>
        <v>0</v>
      </c>
    </row>
    <row r="262" spans="1:35" ht="20.100000000000001" hidden="1" customHeight="1">
      <c r="A262" s="24" t="str">
        <f>ÖSSZES!$A$44</f>
        <v>Név19</v>
      </c>
      <c r="B262" s="19"/>
      <c r="C262" s="19"/>
      <c r="D262" s="39" t="s">
        <v>2</v>
      </c>
      <c r="E262" s="39" t="s">
        <v>2</v>
      </c>
      <c r="F262" s="19"/>
      <c r="G262" s="19"/>
      <c r="H262" s="19"/>
      <c r="I262" s="19"/>
      <c r="J262" s="19"/>
      <c r="K262" s="19"/>
      <c r="L262" s="39" t="s">
        <v>2</v>
      </c>
      <c r="M262" s="39" t="s">
        <v>2</v>
      </c>
      <c r="N262" s="19"/>
      <c r="O262" s="19"/>
      <c r="P262" s="19"/>
      <c r="Q262" s="19"/>
      <c r="R262" s="19"/>
      <c r="S262" s="19"/>
      <c r="T262" s="39" t="s">
        <v>2</v>
      </c>
      <c r="U262" s="39" t="s">
        <v>2</v>
      </c>
      <c r="V262" s="19"/>
      <c r="W262" s="19"/>
      <c r="X262" s="19"/>
      <c r="Y262" s="19"/>
      <c r="Z262" s="19"/>
      <c r="AA262" s="19"/>
      <c r="AB262" s="39" t="s">
        <v>2</v>
      </c>
      <c r="AC262" s="39" t="s">
        <v>2</v>
      </c>
      <c r="AD262" s="19"/>
      <c r="AE262" s="19"/>
      <c r="AF262" s="6"/>
      <c r="AH262" s="20">
        <f t="shared" si="30"/>
        <v>0</v>
      </c>
      <c r="AI262" s="20">
        <f t="shared" si="31"/>
        <v>0</v>
      </c>
    </row>
    <row r="263" spans="1:35" ht="20.100000000000001" hidden="1" customHeight="1">
      <c r="A263" s="24" t="str">
        <f>ÖSSZES!$A$45</f>
        <v>Név20</v>
      </c>
      <c r="B263" s="19"/>
      <c r="C263" s="19"/>
      <c r="D263" s="39" t="s">
        <v>2</v>
      </c>
      <c r="E263" s="39" t="s">
        <v>2</v>
      </c>
      <c r="F263" s="19"/>
      <c r="G263" s="19"/>
      <c r="H263" s="19"/>
      <c r="I263" s="19"/>
      <c r="J263" s="19"/>
      <c r="K263" s="19"/>
      <c r="L263" s="39" t="s">
        <v>2</v>
      </c>
      <c r="M263" s="39" t="s">
        <v>2</v>
      </c>
      <c r="N263" s="19"/>
      <c r="O263" s="19"/>
      <c r="P263" s="19"/>
      <c r="Q263" s="19"/>
      <c r="R263" s="19"/>
      <c r="S263" s="19"/>
      <c r="T263" s="39" t="s">
        <v>2</v>
      </c>
      <c r="U263" s="39" t="s">
        <v>2</v>
      </c>
      <c r="V263" s="19"/>
      <c r="W263" s="19"/>
      <c r="X263" s="19"/>
      <c r="Y263" s="19"/>
      <c r="Z263" s="19"/>
      <c r="AA263" s="19"/>
      <c r="AB263" s="39" t="s">
        <v>2</v>
      </c>
      <c r="AC263" s="39" t="s">
        <v>2</v>
      </c>
      <c r="AD263" s="19"/>
      <c r="AE263" s="19"/>
      <c r="AF263" s="6"/>
      <c r="AH263" s="20">
        <f t="shared" si="30"/>
        <v>0</v>
      </c>
      <c r="AI263" s="20">
        <f t="shared" si="31"/>
        <v>0</v>
      </c>
    </row>
    <row r="264" spans="1:35" ht="20.100000000000001" customHeight="1"/>
    <row r="265" spans="1:35" s="11" customFormat="1" ht="20.100000000000001" customHeight="1">
      <c r="A265" s="57" t="s">
        <v>16</v>
      </c>
      <c r="B265" s="23">
        <v>1</v>
      </c>
      <c r="C265" s="23">
        <v>2</v>
      </c>
      <c r="D265" s="23">
        <v>3</v>
      </c>
      <c r="E265" s="23">
        <v>4</v>
      </c>
      <c r="F265" s="23">
        <v>5</v>
      </c>
      <c r="G265" s="23">
        <v>6</v>
      </c>
      <c r="H265" s="23">
        <v>7</v>
      </c>
      <c r="I265" s="23">
        <v>8</v>
      </c>
      <c r="J265" s="23">
        <v>9</v>
      </c>
      <c r="K265" s="23">
        <v>10</v>
      </c>
      <c r="L265" s="23">
        <v>11</v>
      </c>
      <c r="M265" s="23">
        <v>12</v>
      </c>
      <c r="N265" s="23">
        <v>13</v>
      </c>
      <c r="O265" s="23">
        <v>14</v>
      </c>
      <c r="P265" s="23">
        <v>15</v>
      </c>
      <c r="Q265" s="23">
        <v>16</v>
      </c>
      <c r="R265" s="23">
        <v>17</v>
      </c>
      <c r="S265" s="23">
        <v>18</v>
      </c>
      <c r="T265" s="23">
        <v>19</v>
      </c>
      <c r="U265" s="23">
        <v>20</v>
      </c>
      <c r="V265" s="23">
        <v>21</v>
      </c>
      <c r="W265" s="23">
        <v>22</v>
      </c>
      <c r="X265" s="23">
        <v>23</v>
      </c>
      <c r="Y265" s="23">
        <v>24</v>
      </c>
      <c r="Z265" s="25">
        <v>25</v>
      </c>
      <c r="AA265" s="25">
        <v>26</v>
      </c>
      <c r="AB265" s="23">
        <v>27</v>
      </c>
      <c r="AC265" s="23">
        <v>28</v>
      </c>
      <c r="AD265" s="23">
        <v>29</v>
      </c>
      <c r="AE265" s="23">
        <v>30</v>
      </c>
      <c r="AF265" s="23">
        <v>31</v>
      </c>
      <c r="AH265" s="59" t="s">
        <v>18</v>
      </c>
      <c r="AI265" s="59" t="s">
        <v>19</v>
      </c>
    </row>
    <row r="266" spans="1:35" ht="20.100000000000001" customHeight="1">
      <c r="A266" s="58"/>
      <c r="B266" s="15" t="str">
        <f>'2021'!B92</f>
        <v>Sze</v>
      </c>
      <c r="C266" s="15" t="str">
        <f>'2021'!C92</f>
        <v>Cs</v>
      </c>
      <c r="D266" s="15" t="str">
        <f>'2021'!D92</f>
        <v>P</v>
      </c>
      <c r="E266" s="15" t="str">
        <f>'2021'!E92</f>
        <v>Szo</v>
      </c>
      <c r="F266" s="15" t="str">
        <f>'2021'!F92</f>
        <v>V</v>
      </c>
      <c r="G266" s="15" t="str">
        <f>'2021'!G92</f>
        <v>H</v>
      </c>
      <c r="H266" s="15" t="str">
        <f>'2021'!H92</f>
        <v>K</v>
      </c>
      <c r="I266" s="15" t="str">
        <f>'2021'!I92</f>
        <v>Sze</v>
      </c>
      <c r="J266" s="15" t="str">
        <f>'2021'!J92</f>
        <v>Cs</v>
      </c>
      <c r="K266" s="15" t="str">
        <f>'2021'!K92</f>
        <v>P</v>
      </c>
      <c r="L266" s="15" t="str">
        <f>'2021'!L92</f>
        <v>Szo</v>
      </c>
      <c r="M266" s="15" t="str">
        <f>'2021'!M92</f>
        <v>V</v>
      </c>
      <c r="N266" s="15" t="str">
        <f>'2021'!N92</f>
        <v>H</v>
      </c>
      <c r="O266" s="15" t="str">
        <f>'2021'!O92</f>
        <v>K</v>
      </c>
      <c r="P266" s="15" t="str">
        <f>'2021'!P92</f>
        <v>Sze</v>
      </c>
      <c r="Q266" s="15" t="str">
        <f>'2021'!Q92</f>
        <v>Cs</v>
      </c>
      <c r="R266" s="15" t="str">
        <f>'2021'!R92</f>
        <v>P</v>
      </c>
      <c r="S266" s="15" t="str">
        <f>'2021'!S92</f>
        <v>Szo</v>
      </c>
      <c r="T266" s="15" t="str">
        <f>'2021'!T92</f>
        <v>V</v>
      </c>
      <c r="U266" s="15" t="str">
        <f>'2021'!U92</f>
        <v>H</v>
      </c>
      <c r="V266" s="15" t="str">
        <f>'2021'!V92</f>
        <v>K</v>
      </c>
      <c r="W266" s="15" t="str">
        <f>'2021'!W92</f>
        <v>Sze</v>
      </c>
      <c r="X266" s="15" t="str">
        <f>'2021'!X92</f>
        <v>Cs</v>
      </c>
      <c r="Y266" s="15" t="str">
        <f>'2021'!Y92</f>
        <v>P</v>
      </c>
      <c r="Z266" s="15" t="str">
        <f>'2021'!Z92</f>
        <v>Szo</v>
      </c>
      <c r="AA266" s="15" t="str">
        <f>'2021'!AA92</f>
        <v>V</v>
      </c>
      <c r="AB266" s="15" t="str">
        <f>'2021'!AB92</f>
        <v>H</v>
      </c>
      <c r="AC266" s="15" t="str">
        <f>'2021'!AC92</f>
        <v>K</v>
      </c>
      <c r="AD266" s="15" t="str">
        <f>'2021'!AD92</f>
        <v>Sze</v>
      </c>
      <c r="AE266" s="15" t="str">
        <f>'2021'!AE92</f>
        <v>Cs</v>
      </c>
      <c r="AF266" s="15" t="str">
        <f>'2021'!AF92</f>
        <v>P</v>
      </c>
      <c r="AH266" s="60"/>
      <c r="AI266" s="60"/>
    </row>
    <row r="267" spans="1:35" ht="20.100000000000001" customHeight="1">
      <c r="A267" s="58"/>
      <c r="B267" s="15">
        <f>'2021'!B94</f>
        <v>3</v>
      </c>
      <c r="C267" s="15">
        <f>'2021'!C94</f>
        <v>3</v>
      </c>
      <c r="D267" s="15">
        <f>'2021'!D94</f>
        <v>3</v>
      </c>
      <c r="E267" s="15">
        <f>'2021'!E94</f>
        <v>3</v>
      </c>
      <c r="F267" s="15" t="str">
        <f>'2021'!F94</f>
        <v>X</v>
      </c>
      <c r="G267" s="15" t="str">
        <f>'2021'!G94</f>
        <v>X</v>
      </c>
      <c r="H267" s="15">
        <f>'2021'!H94</f>
        <v>2</v>
      </c>
      <c r="I267" s="15">
        <f>'2021'!I94</f>
        <v>2</v>
      </c>
      <c r="J267" s="15">
        <f>'2021'!J94</f>
        <v>2</v>
      </c>
      <c r="K267" s="15">
        <f>'2021'!K94</f>
        <v>2</v>
      </c>
      <c r="L267" s="15">
        <f>'2021'!L94</f>
        <v>2</v>
      </c>
      <c r="M267" s="15">
        <f>'2021'!M94</f>
        <v>2</v>
      </c>
      <c r="N267" s="15" t="str">
        <f>'2021'!N94</f>
        <v>X</v>
      </c>
      <c r="O267" s="15" t="str">
        <f>'2021'!O94</f>
        <v>X</v>
      </c>
      <c r="P267" s="15">
        <f>'2021'!P94</f>
        <v>1</v>
      </c>
      <c r="Q267" s="15">
        <f>'2021'!Q94</f>
        <v>1</v>
      </c>
      <c r="R267" s="15">
        <f>'2021'!R94</f>
        <v>1</v>
      </c>
      <c r="S267" s="15">
        <f>'2021'!S94</f>
        <v>1</v>
      </c>
      <c r="T267" s="15">
        <f>'2021'!T94</f>
        <v>1</v>
      </c>
      <c r="U267" s="15">
        <f>'2021'!U94</f>
        <v>1</v>
      </c>
      <c r="V267" s="15" t="str">
        <f>'2021'!V94</f>
        <v>X</v>
      </c>
      <c r="W267" s="15" t="str">
        <f>'2021'!W94</f>
        <v>X</v>
      </c>
      <c r="X267" s="15">
        <f>'2021'!X94</f>
        <v>3</v>
      </c>
      <c r="Y267" s="15">
        <f>'2021'!Y94</f>
        <v>3</v>
      </c>
      <c r="Z267" s="15">
        <f>'2021'!Z94</f>
        <v>3</v>
      </c>
      <c r="AA267" s="15">
        <f>'2021'!AA94</f>
        <v>3</v>
      </c>
      <c r="AB267" s="15">
        <f>'2021'!AB94</f>
        <v>3</v>
      </c>
      <c r="AC267" s="15">
        <f>'2021'!AC94</f>
        <v>3</v>
      </c>
      <c r="AD267" s="15" t="str">
        <f>'2021'!AD94</f>
        <v>X</v>
      </c>
      <c r="AE267" s="15" t="str">
        <f>'2021'!AE94</f>
        <v>X</v>
      </c>
      <c r="AF267" s="15">
        <f>'2021'!AF94</f>
        <v>2</v>
      </c>
      <c r="AH267" s="60"/>
      <c r="AI267" s="60"/>
    </row>
    <row r="268" spans="1:35" ht="20.100000000000001" customHeight="1">
      <c r="A268" s="24" t="str">
        <f>ÖSSZES!$A$26</f>
        <v>Katona László</v>
      </c>
      <c r="B268" s="12"/>
      <c r="C268" s="12"/>
      <c r="D268" s="12"/>
      <c r="E268" s="12"/>
      <c r="F268" s="39" t="s">
        <v>2</v>
      </c>
      <c r="G268" s="39" t="s">
        <v>2</v>
      </c>
      <c r="H268" s="12"/>
      <c r="I268" s="12"/>
      <c r="J268" s="12"/>
      <c r="K268" s="12"/>
      <c r="L268" s="12"/>
      <c r="M268" s="12"/>
      <c r="N268" s="39" t="s">
        <v>2</v>
      </c>
      <c r="O268" s="39" t="s">
        <v>2</v>
      </c>
      <c r="P268" s="12"/>
      <c r="Q268" s="12"/>
      <c r="R268" s="12"/>
      <c r="S268" s="12"/>
      <c r="T268" s="12"/>
      <c r="U268" s="12"/>
      <c r="V268" s="39" t="s">
        <v>2</v>
      </c>
      <c r="W268" s="39" t="s">
        <v>2</v>
      </c>
      <c r="X268" s="12"/>
      <c r="Y268" s="12"/>
      <c r="Z268" s="12"/>
      <c r="AA268" s="12"/>
      <c r="AB268" s="12"/>
      <c r="AC268" s="12"/>
      <c r="AD268" s="39" t="s">
        <v>2</v>
      </c>
      <c r="AE268" s="39" t="s">
        <v>2</v>
      </c>
      <c r="AF268" s="12"/>
      <c r="AH268" s="20">
        <f>1*COUNTIF(A268:AF268,"+")</f>
        <v>0</v>
      </c>
      <c r="AI268" s="20">
        <f t="shared" ref="AI268" si="32">1*COUNTIF(B268:AF268,"szf")</f>
        <v>0</v>
      </c>
    </row>
    <row r="269" spans="1:35" ht="20.100000000000001" customHeight="1">
      <c r="A269" s="24" t="str">
        <f>ÖSSZES!$A$27</f>
        <v>Fényi László</v>
      </c>
      <c r="B269" s="12"/>
      <c r="C269" s="12"/>
      <c r="D269" s="12"/>
      <c r="E269" s="12"/>
      <c r="F269" s="39" t="s">
        <v>2</v>
      </c>
      <c r="G269" s="39" t="s">
        <v>2</v>
      </c>
      <c r="H269" s="12"/>
      <c r="I269" s="12"/>
      <c r="J269" s="12"/>
      <c r="K269" s="12"/>
      <c r="L269" s="12"/>
      <c r="M269" s="12"/>
      <c r="N269" s="39" t="s">
        <v>2</v>
      </c>
      <c r="O269" s="39" t="s">
        <v>2</v>
      </c>
      <c r="P269" s="12"/>
      <c r="Q269" s="12"/>
      <c r="R269" s="12"/>
      <c r="S269" s="12"/>
      <c r="T269" s="12"/>
      <c r="U269" s="12"/>
      <c r="V269" s="39" t="s">
        <v>2</v>
      </c>
      <c r="W269" s="39" t="s">
        <v>2</v>
      </c>
      <c r="X269" s="12"/>
      <c r="Y269" s="12"/>
      <c r="Z269" s="12"/>
      <c r="AA269" s="12"/>
      <c r="AB269" s="12"/>
      <c r="AC269" s="12"/>
      <c r="AD269" s="39" t="s">
        <v>2</v>
      </c>
      <c r="AE269" s="39" t="s">
        <v>2</v>
      </c>
      <c r="AF269" s="12"/>
      <c r="AH269" s="20">
        <f t="shared" ref="AH269:AH287" si="33">1*COUNTIF(A269:AF269,"+")</f>
        <v>0</v>
      </c>
      <c r="AI269" s="20">
        <f t="shared" ref="AI269:AI287" si="34">1*COUNTIF(B269:AF269,"szf")</f>
        <v>0</v>
      </c>
    </row>
    <row r="270" spans="1:35" ht="20.100000000000001" customHeight="1">
      <c r="A270" s="24" t="str">
        <f>ÖSSZES!$A$28</f>
        <v>Habara Gábor</v>
      </c>
      <c r="B270" s="12"/>
      <c r="C270" s="12"/>
      <c r="D270" s="12"/>
      <c r="E270" s="12"/>
      <c r="F270" s="39" t="s">
        <v>2</v>
      </c>
      <c r="G270" s="39" t="s">
        <v>2</v>
      </c>
      <c r="H270" s="12"/>
      <c r="I270" s="12"/>
      <c r="J270" s="12"/>
      <c r="K270" s="12"/>
      <c r="L270" s="12"/>
      <c r="M270" s="12"/>
      <c r="N270" s="39" t="s">
        <v>2</v>
      </c>
      <c r="O270" s="39" t="s">
        <v>2</v>
      </c>
      <c r="P270" s="12"/>
      <c r="Q270" s="12"/>
      <c r="R270" s="12"/>
      <c r="S270" s="12"/>
      <c r="T270" s="12"/>
      <c r="U270" s="12"/>
      <c r="V270" s="39" t="s">
        <v>2</v>
      </c>
      <c r="W270" s="39" t="s">
        <v>2</v>
      </c>
      <c r="X270" s="12"/>
      <c r="Y270" s="12"/>
      <c r="Z270" s="12"/>
      <c r="AA270" s="12"/>
      <c r="AB270" s="12"/>
      <c r="AC270" s="12"/>
      <c r="AD270" s="39" t="s">
        <v>2</v>
      </c>
      <c r="AE270" s="39" t="s">
        <v>2</v>
      </c>
      <c r="AF270" s="12"/>
      <c r="AH270" s="20">
        <f t="shared" si="33"/>
        <v>0</v>
      </c>
      <c r="AI270" s="20">
        <f t="shared" si="34"/>
        <v>0</v>
      </c>
    </row>
    <row r="271" spans="1:35" ht="20.100000000000001" customHeight="1">
      <c r="A271" s="24" t="str">
        <f>ÖSSZES!$A$29</f>
        <v>Holba Imre</v>
      </c>
      <c r="B271" s="12"/>
      <c r="C271" s="12"/>
      <c r="D271" s="12"/>
      <c r="E271" s="12"/>
      <c r="F271" s="39" t="s">
        <v>2</v>
      </c>
      <c r="G271" s="39" t="s">
        <v>2</v>
      </c>
      <c r="H271" s="12"/>
      <c r="I271" s="12"/>
      <c r="J271" s="12"/>
      <c r="K271" s="12"/>
      <c r="L271" s="12"/>
      <c r="M271" s="12"/>
      <c r="N271" s="39" t="s">
        <v>2</v>
      </c>
      <c r="O271" s="39" t="s">
        <v>2</v>
      </c>
      <c r="P271" s="12"/>
      <c r="Q271" s="12"/>
      <c r="R271" s="12"/>
      <c r="S271" s="12"/>
      <c r="T271" s="12"/>
      <c r="U271" s="12"/>
      <c r="V271" s="39" t="s">
        <v>2</v>
      </c>
      <c r="W271" s="39" t="s">
        <v>2</v>
      </c>
      <c r="X271" s="12"/>
      <c r="Y271" s="12"/>
      <c r="Z271" s="12"/>
      <c r="AA271" s="12"/>
      <c r="AB271" s="12"/>
      <c r="AC271" s="12"/>
      <c r="AD271" s="39" t="s">
        <v>2</v>
      </c>
      <c r="AE271" s="39" t="s">
        <v>2</v>
      </c>
      <c r="AF271" s="12"/>
      <c r="AH271" s="20">
        <f t="shared" si="33"/>
        <v>0</v>
      </c>
      <c r="AI271" s="20">
        <f t="shared" si="34"/>
        <v>0</v>
      </c>
    </row>
    <row r="272" spans="1:35" ht="20.100000000000001" customHeight="1">
      <c r="A272" s="24" t="str">
        <f>ÖSSZES!$A$30</f>
        <v>Király Bálint Donát</v>
      </c>
      <c r="B272" s="12"/>
      <c r="C272" s="12"/>
      <c r="D272" s="12"/>
      <c r="E272" s="12"/>
      <c r="F272" s="39" t="s">
        <v>2</v>
      </c>
      <c r="G272" s="39" t="s">
        <v>2</v>
      </c>
      <c r="H272" s="12"/>
      <c r="I272" s="12"/>
      <c r="J272" s="12"/>
      <c r="K272" s="12"/>
      <c r="L272" s="12"/>
      <c r="M272" s="12"/>
      <c r="N272" s="39" t="s">
        <v>2</v>
      </c>
      <c r="O272" s="39" t="s">
        <v>2</v>
      </c>
      <c r="P272" s="12"/>
      <c r="Q272" s="12"/>
      <c r="R272" s="12"/>
      <c r="S272" s="12"/>
      <c r="T272" s="12"/>
      <c r="U272" s="12"/>
      <c r="V272" s="39" t="s">
        <v>2</v>
      </c>
      <c r="W272" s="39" t="s">
        <v>2</v>
      </c>
      <c r="X272" s="12"/>
      <c r="Y272" s="12"/>
      <c r="Z272" s="12"/>
      <c r="AA272" s="12"/>
      <c r="AB272" s="12"/>
      <c r="AC272" s="12"/>
      <c r="AD272" s="39" t="s">
        <v>2</v>
      </c>
      <c r="AE272" s="39" t="s">
        <v>2</v>
      </c>
      <c r="AF272" s="12"/>
      <c r="AH272" s="20">
        <f t="shared" si="33"/>
        <v>0</v>
      </c>
      <c r="AI272" s="20">
        <f t="shared" si="34"/>
        <v>0</v>
      </c>
    </row>
    <row r="273" spans="1:35" ht="20.100000000000001" customHeight="1">
      <c r="A273" s="24" t="str">
        <f>ÖSSZES!$A$31</f>
        <v>Kiss János Tamás</v>
      </c>
      <c r="B273" s="12"/>
      <c r="C273" s="12"/>
      <c r="D273" s="12"/>
      <c r="E273" s="12"/>
      <c r="F273" s="39" t="s">
        <v>2</v>
      </c>
      <c r="G273" s="39" t="s">
        <v>2</v>
      </c>
      <c r="H273" s="12"/>
      <c r="I273" s="12"/>
      <c r="J273" s="12"/>
      <c r="K273" s="12"/>
      <c r="L273" s="12"/>
      <c r="M273" s="12"/>
      <c r="N273" s="39" t="s">
        <v>2</v>
      </c>
      <c r="O273" s="39" t="s">
        <v>2</v>
      </c>
      <c r="P273" s="12"/>
      <c r="Q273" s="12"/>
      <c r="R273" s="12"/>
      <c r="S273" s="12"/>
      <c r="T273" s="12"/>
      <c r="U273" s="12"/>
      <c r="V273" s="39" t="s">
        <v>2</v>
      </c>
      <c r="W273" s="39" t="s">
        <v>2</v>
      </c>
      <c r="X273" s="12"/>
      <c r="Y273" s="12"/>
      <c r="Z273" s="12"/>
      <c r="AA273" s="12"/>
      <c r="AB273" s="12"/>
      <c r="AC273" s="12"/>
      <c r="AD273" s="39" t="s">
        <v>2</v>
      </c>
      <c r="AE273" s="39" t="s">
        <v>2</v>
      </c>
      <c r="AF273" s="12"/>
      <c r="AH273" s="20">
        <f t="shared" si="33"/>
        <v>0</v>
      </c>
      <c r="AI273" s="20">
        <f t="shared" si="34"/>
        <v>0</v>
      </c>
    </row>
    <row r="274" spans="1:35" ht="20.100000000000001" customHeight="1">
      <c r="A274" s="24" t="str">
        <f>ÖSSZES!$A$32</f>
        <v>Mezei Lajos</v>
      </c>
      <c r="B274" s="12"/>
      <c r="C274" s="12"/>
      <c r="D274" s="12"/>
      <c r="E274" s="12"/>
      <c r="F274" s="39" t="s">
        <v>2</v>
      </c>
      <c r="G274" s="39" t="s">
        <v>2</v>
      </c>
      <c r="H274" s="12"/>
      <c r="I274" s="12"/>
      <c r="J274" s="12"/>
      <c r="K274" s="12"/>
      <c r="L274" s="12"/>
      <c r="M274" s="12"/>
      <c r="N274" s="39" t="s">
        <v>2</v>
      </c>
      <c r="O274" s="39" t="s">
        <v>2</v>
      </c>
      <c r="P274" s="12"/>
      <c r="Q274" s="12"/>
      <c r="R274" s="12"/>
      <c r="S274" s="12"/>
      <c r="T274" s="12"/>
      <c r="U274" s="12"/>
      <c r="V274" s="39" t="s">
        <v>2</v>
      </c>
      <c r="W274" s="39" t="s">
        <v>2</v>
      </c>
      <c r="X274" s="12"/>
      <c r="Y274" s="12"/>
      <c r="Z274" s="12"/>
      <c r="AA274" s="12"/>
      <c r="AB274" s="12"/>
      <c r="AC274" s="12"/>
      <c r="AD274" s="39" t="s">
        <v>2</v>
      </c>
      <c r="AE274" s="39" t="s">
        <v>2</v>
      </c>
      <c r="AF274" s="12"/>
      <c r="AH274" s="20">
        <f t="shared" si="33"/>
        <v>0</v>
      </c>
      <c r="AI274" s="20">
        <f t="shared" si="34"/>
        <v>0</v>
      </c>
    </row>
    <row r="275" spans="1:35" ht="20.100000000000001" hidden="1" customHeight="1">
      <c r="A275" s="24" t="str">
        <f>ÖSSZES!$A$33</f>
        <v>Név8</v>
      </c>
      <c r="B275" s="12"/>
      <c r="C275" s="12"/>
      <c r="D275" s="12"/>
      <c r="E275" s="12"/>
      <c r="F275" s="39" t="s">
        <v>2</v>
      </c>
      <c r="G275" s="39" t="s">
        <v>2</v>
      </c>
      <c r="H275" s="12"/>
      <c r="I275" s="12"/>
      <c r="J275" s="12"/>
      <c r="K275" s="12"/>
      <c r="L275" s="12"/>
      <c r="M275" s="12"/>
      <c r="N275" s="39" t="s">
        <v>2</v>
      </c>
      <c r="O275" s="39" t="s">
        <v>2</v>
      </c>
      <c r="P275" s="12"/>
      <c r="Q275" s="12"/>
      <c r="R275" s="12"/>
      <c r="S275" s="12"/>
      <c r="T275" s="12"/>
      <c r="U275" s="12"/>
      <c r="V275" s="39" t="s">
        <v>2</v>
      </c>
      <c r="W275" s="39" t="s">
        <v>2</v>
      </c>
      <c r="X275" s="12"/>
      <c r="Y275" s="12"/>
      <c r="Z275" s="12"/>
      <c r="AA275" s="12"/>
      <c r="AB275" s="12"/>
      <c r="AC275" s="12"/>
      <c r="AD275" s="39" t="s">
        <v>2</v>
      </c>
      <c r="AE275" s="39" t="s">
        <v>2</v>
      </c>
      <c r="AF275" s="12"/>
      <c r="AH275" s="20">
        <f t="shared" si="33"/>
        <v>0</v>
      </c>
      <c r="AI275" s="20">
        <f t="shared" si="34"/>
        <v>0</v>
      </c>
    </row>
    <row r="276" spans="1:35" ht="20.100000000000001" hidden="1" customHeight="1">
      <c r="A276" s="24" t="str">
        <f>ÖSSZES!$A$34</f>
        <v>Név9</v>
      </c>
      <c r="B276" s="12"/>
      <c r="C276" s="12"/>
      <c r="D276" s="12"/>
      <c r="E276" s="12"/>
      <c r="F276" s="39" t="s">
        <v>2</v>
      </c>
      <c r="G276" s="39" t="s">
        <v>2</v>
      </c>
      <c r="H276" s="12"/>
      <c r="I276" s="12"/>
      <c r="J276" s="12"/>
      <c r="K276" s="12"/>
      <c r="L276" s="12"/>
      <c r="M276" s="12"/>
      <c r="N276" s="39" t="s">
        <v>2</v>
      </c>
      <c r="O276" s="39" t="s">
        <v>2</v>
      </c>
      <c r="P276" s="12"/>
      <c r="Q276" s="12"/>
      <c r="R276" s="12"/>
      <c r="S276" s="12"/>
      <c r="T276" s="12"/>
      <c r="U276" s="12"/>
      <c r="V276" s="39" t="s">
        <v>2</v>
      </c>
      <c r="W276" s="39" t="s">
        <v>2</v>
      </c>
      <c r="X276" s="12"/>
      <c r="Y276" s="12"/>
      <c r="Z276" s="12"/>
      <c r="AA276" s="12"/>
      <c r="AB276" s="12"/>
      <c r="AC276" s="12"/>
      <c r="AD276" s="39" t="s">
        <v>2</v>
      </c>
      <c r="AE276" s="39" t="s">
        <v>2</v>
      </c>
      <c r="AF276" s="12"/>
      <c r="AH276" s="20">
        <f t="shared" si="33"/>
        <v>0</v>
      </c>
      <c r="AI276" s="20">
        <f t="shared" si="34"/>
        <v>0</v>
      </c>
    </row>
    <row r="277" spans="1:35" ht="20.100000000000001" hidden="1" customHeight="1">
      <c r="A277" s="24" t="str">
        <f>ÖSSZES!$A$35</f>
        <v>Név10</v>
      </c>
      <c r="B277" s="12"/>
      <c r="C277" s="12"/>
      <c r="D277" s="12"/>
      <c r="E277" s="12"/>
      <c r="F277" s="39" t="s">
        <v>2</v>
      </c>
      <c r="G277" s="39" t="s">
        <v>2</v>
      </c>
      <c r="H277" s="12"/>
      <c r="I277" s="12"/>
      <c r="J277" s="12"/>
      <c r="K277" s="12"/>
      <c r="L277" s="12"/>
      <c r="M277" s="12"/>
      <c r="N277" s="39" t="s">
        <v>2</v>
      </c>
      <c r="O277" s="39" t="s">
        <v>2</v>
      </c>
      <c r="P277" s="12"/>
      <c r="Q277" s="12"/>
      <c r="R277" s="12"/>
      <c r="S277" s="12"/>
      <c r="T277" s="12"/>
      <c r="U277" s="12"/>
      <c r="V277" s="39" t="s">
        <v>2</v>
      </c>
      <c r="W277" s="39" t="s">
        <v>2</v>
      </c>
      <c r="X277" s="12"/>
      <c r="Y277" s="12"/>
      <c r="Z277" s="12"/>
      <c r="AA277" s="12"/>
      <c r="AB277" s="12"/>
      <c r="AC277" s="12"/>
      <c r="AD277" s="39" t="s">
        <v>2</v>
      </c>
      <c r="AE277" s="39" t="s">
        <v>2</v>
      </c>
      <c r="AF277" s="12"/>
      <c r="AH277" s="20">
        <f t="shared" si="33"/>
        <v>0</v>
      </c>
      <c r="AI277" s="20">
        <f t="shared" si="34"/>
        <v>0</v>
      </c>
    </row>
    <row r="278" spans="1:35" ht="20.100000000000001" hidden="1" customHeight="1">
      <c r="A278" s="24" t="str">
        <f>ÖSSZES!$A$36</f>
        <v>Név11</v>
      </c>
      <c r="B278" s="12"/>
      <c r="C278" s="12"/>
      <c r="D278" s="12"/>
      <c r="E278" s="12"/>
      <c r="F278" s="39" t="s">
        <v>2</v>
      </c>
      <c r="G278" s="39" t="s">
        <v>2</v>
      </c>
      <c r="H278" s="12"/>
      <c r="I278" s="12"/>
      <c r="J278" s="12"/>
      <c r="K278" s="12"/>
      <c r="L278" s="12"/>
      <c r="M278" s="12"/>
      <c r="N278" s="39" t="s">
        <v>2</v>
      </c>
      <c r="O278" s="39" t="s">
        <v>2</v>
      </c>
      <c r="P278" s="12"/>
      <c r="Q278" s="12"/>
      <c r="R278" s="12"/>
      <c r="S278" s="12"/>
      <c r="T278" s="12"/>
      <c r="U278" s="12"/>
      <c r="V278" s="39" t="s">
        <v>2</v>
      </c>
      <c r="W278" s="39" t="s">
        <v>2</v>
      </c>
      <c r="X278" s="12"/>
      <c r="Y278" s="12"/>
      <c r="Z278" s="12"/>
      <c r="AA278" s="12"/>
      <c r="AB278" s="12"/>
      <c r="AC278" s="12"/>
      <c r="AD278" s="39" t="s">
        <v>2</v>
      </c>
      <c r="AE278" s="39" t="s">
        <v>2</v>
      </c>
      <c r="AF278" s="12"/>
      <c r="AH278" s="20">
        <f t="shared" si="33"/>
        <v>0</v>
      </c>
      <c r="AI278" s="20">
        <f t="shared" si="34"/>
        <v>0</v>
      </c>
    </row>
    <row r="279" spans="1:35" ht="20.100000000000001" hidden="1" customHeight="1">
      <c r="A279" s="24" t="str">
        <f>ÖSSZES!$A$37</f>
        <v>Név12</v>
      </c>
      <c r="B279" s="12"/>
      <c r="C279" s="12"/>
      <c r="D279" s="12"/>
      <c r="E279" s="12"/>
      <c r="F279" s="39" t="s">
        <v>2</v>
      </c>
      <c r="G279" s="39" t="s">
        <v>2</v>
      </c>
      <c r="H279" s="12"/>
      <c r="I279" s="12"/>
      <c r="J279" s="12"/>
      <c r="K279" s="12"/>
      <c r="L279" s="12"/>
      <c r="M279" s="12"/>
      <c r="N279" s="39" t="s">
        <v>2</v>
      </c>
      <c r="O279" s="39" t="s">
        <v>2</v>
      </c>
      <c r="P279" s="12"/>
      <c r="Q279" s="12"/>
      <c r="R279" s="12"/>
      <c r="S279" s="12"/>
      <c r="T279" s="12"/>
      <c r="U279" s="12"/>
      <c r="V279" s="39" t="s">
        <v>2</v>
      </c>
      <c r="W279" s="39" t="s">
        <v>2</v>
      </c>
      <c r="X279" s="12"/>
      <c r="Y279" s="12"/>
      <c r="Z279" s="12"/>
      <c r="AA279" s="12"/>
      <c r="AB279" s="12"/>
      <c r="AC279" s="12"/>
      <c r="AD279" s="39" t="s">
        <v>2</v>
      </c>
      <c r="AE279" s="39" t="s">
        <v>2</v>
      </c>
      <c r="AF279" s="12"/>
      <c r="AH279" s="20">
        <f t="shared" si="33"/>
        <v>0</v>
      </c>
      <c r="AI279" s="20">
        <f t="shared" si="34"/>
        <v>0</v>
      </c>
    </row>
    <row r="280" spans="1:35" ht="20.100000000000001" hidden="1" customHeight="1">
      <c r="A280" s="24" t="str">
        <f>ÖSSZES!$A$38</f>
        <v>Név13</v>
      </c>
      <c r="B280" s="12"/>
      <c r="C280" s="12"/>
      <c r="D280" s="12"/>
      <c r="E280" s="12"/>
      <c r="F280" s="39" t="s">
        <v>2</v>
      </c>
      <c r="G280" s="39" t="s">
        <v>2</v>
      </c>
      <c r="H280" s="12"/>
      <c r="I280" s="12"/>
      <c r="J280" s="12"/>
      <c r="K280" s="12"/>
      <c r="L280" s="12"/>
      <c r="M280" s="12"/>
      <c r="N280" s="39" t="s">
        <v>2</v>
      </c>
      <c r="O280" s="39" t="s">
        <v>2</v>
      </c>
      <c r="P280" s="12"/>
      <c r="Q280" s="12"/>
      <c r="R280" s="12"/>
      <c r="S280" s="12"/>
      <c r="T280" s="12"/>
      <c r="U280" s="12"/>
      <c r="V280" s="39" t="s">
        <v>2</v>
      </c>
      <c r="W280" s="39" t="s">
        <v>2</v>
      </c>
      <c r="X280" s="12"/>
      <c r="Y280" s="12"/>
      <c r="Z280" s="12"/>
      <c r="AA280" s="12"/>
      <c r="AB280" s="12"/>
      <c r="AC280" s="12"/>
      <c r="AD280" s="39" t="s">
        <v>2</v>
      </c>
      <c r="AE280" s="39" t="s">
        <v>2</v>
      </c>
      <c r="AF280" s="12"/>
      <c r="AH280" s="20">
        <f t="shared" si="33"/>
        <v>0</v>
      </c>
      <c r="AI280" s="20">
        <f t="shared" si="34"/>
        <v>0</v>
      </c>
    </row>
    <row r="281" spans="1:35" ht="20.100000000000001" hidden="1" customHeight="1">
      <c r="A281" s="24" t="str">
        <f>ÖSSZES!$A$39</f>
        <v>Név14</v>
      </c>
      <c r="B281" s="12"/>
      <c r="C281" s="12"/>
      <c r="D281" s="12"/>
      <c r="E281" s="12"/>
      <c r="F281" s="39" t="s">
        <v>2</v>
      </c>
      <c r="G281" s="39" t="s">
        <v>2</v>
      </c>
      <c r="H281" s="12"/>
      <c r="I281" s="12"/>
      <c r="J281" s="12"/>
      <c r="K281" s="12"/>
      <c r="L281" s="12"/>
      <c r="M281" s="12"/>
      <c r="N281" s="39" t="s">
        <v>2</v>
      </c>
      <c r="O281" s="39" t="s">
        <v>2</v>
      </c>
      <c r="P281" s="12"/>
      <c r="Q281" s="12"/>
      <c r="R281" s="12"/>
      <c r="S281" s="12"/>
      <c r="T281" s="12"/>
      <c r="U281" s="12"/>
      <c r="V281" s="39" t="s">
        <v>2</v>
      </c>
      <c r="W281" s="39" t="s">
        <v>2</v>
      </c>
      <c r="X281" s="12"/>
      <c r="Y281" s="12"/>
      <c r="Z281" s="12"/>
      <c r="AA281" s="12"/>
      <c r="AB281" s="12"/>
      <c r="AC281" s="12"/>
      <c r="AD281" s="39" t="s">
        <v>2</v>
      </c>
      <c r="AE281" s="39" t="s">
        <v>2</v>
      </c>
      <c r="AF281" s="12"/>
      <c r="AH281" s="20">
        <f t="shared" si="33"/>
        <v>0</v>
      </c>
      <c r="AI281" s="20">
        <f t="shared" si="34"/>
        <v>0</v>
      </c>
    </row>
    <row r="282" spans="1:35" ht="20.100000000000001" hidden="1" customHeight="1">
      <c r="A282" s="24" t="str">
        <f>ÖSSZES!$A$40</f>
        <v>Név15</v>
      </c>
      <c r="B282" s="12"/>
      <c r="C282" s="12"/>
      <c r="D282" s="12"/>
      <c r="E282" s="12"/>
      <c r="F282" s="39" t="s">
        <v>2</v>
      </c>
      <c r="G282" s="39" t="s">
        <v>2</v>
      </c>
      <c r="H282" s="12"/>
      <c r="I282" s="12"/>
      <c r="J282" s="12"/>
      <c r="K282" s="12"/>
      <c r="L282" s="12"/>
      <c r="M282" s="12"/>
      <c r="N282" s="39" t="s">
        <v>2</v>
      </c>
      <c r="O282" s="39" t="s">
        <v>2</v>
      </c>
      <c r="P282" s="12"/>
      <c r="Q282" s="12"/>
      <c r="R282" s="12"/>
      <c r="S282" s="12"/>
      <c r="T282" s="12"/>
      <c r="U282" s="12"/>
      <c r="V282" s="39" t="s">
        <v>2</v>
      </c>
      <c r="W282" s="39" t="s">
        <v>2</v>
      </c>
      <c r="X282" s="12"/>
      <c r="Y282" s="12"/>
      <c r="Z282" s="12"/>
      <c r="AA282" s="12"/>
      <c r="AB282" s="12"/>
      <c r="AC282" s="12"/>
      <c r="AD282" s="39" t="s">
        <v>2</v>
      </c>
      <c r="AE282" s="39" t="s">
        <v>2</v>
      </c>
      <c r="AF282" s="12"/>
      <c r="AH282" s="20">
        <f t="shared" si="33"/>
        <v>0</v>
      </c>
      <c r="AI282" s="20">
        <f t="shared" si="34"/>
        <v>0</v>
      </c>
    </row>
    <row r="283" spans="1:35" ht="20.100000000000001" hidden="1" customHeight="1">
      <c r="A283" s="24" t="str">
        <f>ÖSSZES!$A$41</f>
        <v>Név16</v>
      </c>
      <c r="B283" s="12"/>
      <c r="C283" s="12"/>
      <c r="D283" s="12"/>
      <c r="E283" s="12"/>
      <c r="F283" s="39" t="s">
        <v>2</v>
      </c>
      <c r="G283" s="39" t="s">
        <v>2</v>
      </c>
      <c r="H283" s="12"/>
      <c r="I283" s="12"/>
      <c r="J283" s="12"/>
      <c r="K283" s="12"/>
      <c r="L283" s="12"/>
      <c r="M283" s="12"/>
      <c r="N283" s="39" t="s">
        <v>2</v>
      </c>
      <c r="O283" s="39" t="s">
        <v>2</v>
      </c>
      <c r="P283" s="12"/>
      <c r="Q283" s="12"/>
      <c r="R283" s="12"/>
      <c r="S283" s="12"/>
      <c r="T283" s="12"/>
      <c r="U283" s="12"/>
      <c r="V283" s="39" t="s">
        <v>2</v>
      </c>
      <c r="W283" s="39" t="s">
        <v>2</v>
      </c>
      <c r="X283" s="12"/>
      <c r="Y283" s="12"/>
      <c r="Z283" s="12"/>
      <c r="AA283" s="12"/>
      <c r="AB283" s="12"/>
      <c r="AC283" s="12"/>
      <c r="AD283" s="39" t="s">
        <v>2</v>
      </c>
      <c r="AE283" s="39" t="s">
        <v>2</v>
      </c>
      <c r="AF283" s="12"/>
      <c r="AH283" s="20">
        <f t="shared" si="33"/>
        <v>0</v>
      </c>
      <c r="AI283" s="20">
        <f t="shared" si="34"/>
        <v>0</v>
      </c>
    </row>
    <row r="284" spans="1:35" ht="20.100000000000001" hidden="1" customHeight="1">
      <c r="A284" s="24" t="str">
        <f>ÖSSZES!$A$42</f>
        <v>Név17</v>
      </c>
      <c r="B284" s="12"/>
      <c r="C284" s="12"/>
      <c r="D284" s="12"/>
      <c r="E284" s="12"/>
      <c r="F284" s="39" t="s">
        <v>2</v>
      </c>
      <c r="G284" s="39" t="s">
        <v>2</v>
      </c>
      <c r="H284" s="12"/>
      <c r="I284" s="12"/>
      <c r="J284" s="12"/>
      <c r="K284" s="12"/>
      <c r="L284" s="12"/>
      <c r="M284" s="12"/>
      <c r="N284" s="39" t="s">
        <v>2</v>
      </c>
      <c r="O284" s="39" t="s">
        <v>2</v>
      </c>
      <c r="P284" s="12"/>
      <c r="Q284" s="12"/>
      <c r="R284" s="12"/>
      <c r="S284" s="12"/>
      <c r="T284" s="12"/>
      <c r="U284" s="12"/>
      <c r="V284" s="39" t="s">
        <v>2</v>
      </c>
      <c r="W284" s="39" t="s">
        <v>2</v>
      </c>
      <c r="X284" s="12"/>
      <c r="Y284" s="12"/>
      <c r="Z284" s="12"/>
      <c r="AA284" s="12"/>
      <c r="AB284" s="12"/>
      <c r="AC284" s="12"/>
      <c r="AD284" s="39" t="s">
        <v>2</v>
      </c>
      <c r="AE284" s="39" t="s">
        <v>2</v>
      </c>
      <c r="AF284" s="12"/>
      <c r="AH284" s="20">
        <f t="shared" si="33"/>
        <v>0</v>
      </c>
      <c r="AI284" s="20">
        <f t="shared" si="34"/>
        <v>0</v>
      </c>
    </row>
    <row r="285" spans="1:35" ht="20.100000000000001" hidden="1" customHeight="1">
      <c r="A285" s="24" t="str">
        <f>ÖSSZES!$A$43</f>
        <v>Név18</v>
      </c>
      <c r="B285" s="12"/>
      <c r="C285" s="12"/>
      <c r="D285" s="12"/>
      <c r="E285" s="12"/>
      <c r="F285" s="39" t="s">
        <v>2</v>
      </c>
      <c r="G285" s="39" t="s">
        <v>2</v>
      </c>
      <c r="H285" s="12"/>
      <c r="I285" s="12"/>
      <c r="J285" s="12"/>
      <c r="K285" s="12"/>
      <c r="L285" s="12"/>
      <c r="M285" s="12"/>
      <c r="N285" s="39" t="s">
        <v>2</v>
      </c>
      <c r="O285" s="39" t="s">
        <v>2</v>
      </c>
      <c r="P285" s="12"/>
      <c r="Q285" s="12"/>
      <c r="R285" s="12"/>
      <c r="S285" s="12"/>
      <c r="T285" s="12"/>
      <c r="U285" s="12"/>
      <c r="V285" s="39" t="s">
        <v>2</v>
      </c>
      <c r="W285" s="39" t="s">
        <v>2</v>
      </c>
      <c r="X285" s="12"/>
      <c r="Y285" s="12"/>
      <c r="Z285" s="12"/>
      <c r="AA285" s="12"/>
      <c r="AB285" s="12"/>
      <c r="AC285" s="12"/>
      <c r="AD285" s="39" t="s">
        <v>2</v>
      </c>
      <c r="AE285" s="39" t="s">
        <v>2</v>
      </c>
      <c r="AF285" s="12"/>
      <c r="AH285" s="20">
        <f t="shared" si="33"/>
        <v>0</v>
      </c>
      <c r="AI285" s="20">
        <f t="shared" si="34"/>
        <v>0</v>
      </c>
    </row>
    <row r="286" spans="1:35" ht="20.100000000000001" hidden="1" customHeight="1">
      <c r="A286" s="24" t="str">
        <f>ÖSSZES!$A$44</f>
        <v>Név19</v>
      </c>
      <c r="B286" s="12"/>
      <c r="C286" s="12"/>
      <c r="D286" s="12"/>
      <c r="E286" s="12"/>
      <c r="F286" s="39" t="s">
        <v>2</v>
      </c>
      <c r="G286" s="39" t="s">
        <v>2</v>
      </c>
      <c r="H286" s="12"/>
      <c r="I286" s="12"/>
      <c r="J286" s="12"/>
      <c r="K286" s="12"/>
      <c r="L286" s="12"/>
      <c r="M286" s="12"/>
      <c r="N286" s="39" t="s">
        <v>2</v>
      </c>
      <c r="O286" s="39" t="s">
        <v>2</v>
      </c>
      <c r="P286" s="12"/>
      <c r="Q286" s="12"/>
      <c r="R286" s="12"/>
      <c r="S286" s="12"/>
      <c r="T286" s="12"/>
      <c r="U286" s="12"/>
      <c r="V286" s="39" t="s">
        <v>2</v>
      </c>
      <c r="W286" s="39" t="s">
        <v>2</v>
      </c>
      <c r="X286" s="12"/>
      <c r="Y286" s="12"/>
      <c r="Z286" s="12"/>
      <c r="AA286" s="12"/>
      <c r="AB286" s="12"/>
      <c r="AC286" s="12"/>
      <c r="AD286" s="39" t="s">
        <v>2</v>
      </c>
      <c r="AE286" s="39" t="s">
        <v>2</v>
      </c>
      <c r="AF286" s="12"/>
      <c r="AH286" s="20">
        <f t="shared" si="33"/>
        <v>0</v>
      </c>
      <c r="AI286" s="20">
        <f t="shared" si="34"/>
        <v>0</v>
      </c>
    </row>
    <row r="287" spans="1:35" ht="20.100000000000001" hidden="1" customHeight="1">
      <c r="A287" s="24" t="str">
        <f>ÖSSZES!$A$45</f>
        <v>Név20</v>
      </c>
      <c r="B287" s="12"/>
      <c r="C287" s="12"/>
      <c r="D287" s="12"/>
      <c r="E287" s="12"/>
      <c r="F287" s="39" t="s">
        <v>2</v>
      </c>
      <c r="G287" s="39" t="s">
        <v>2</v>
      </c>
      <c r="H287" s="12"/>
      <c r="I287" s="12"/>
      <c r="J287" s="12"/>
      <c r="K287" s="12"/>
      <c r="L287" s="12"/>
      <c r="M287" s="12"/>
      <c r="N287" s="39" t="s">
        <v>2</v>
      </c>
      <c r="O287" s="39" t="s">
        <v>2</v>
      </c>
      <c r="P287" s="12"/>
      <c r="Q287" s="12"/>
      <c r="R287" s="12"/>
      <c r="S287" s="12"/>
      <c r="T287" s="12"/>
      <c r="U287" s="12"/>
      <c r="V287" s="39" t="s">
        <v>2</v>
      </c>
      <c r="W287" s="39" t="s">
        <v>2</v>
      </c>
      <c r="X287" s="12"/>
      <c r="Y287" s="12"/>
      <c r="Z287" s="12"/>
      <c r="AA287" s="12"/>
      <c r="AB287" s="12"/>
      <c r="AC287" s="12"/>
      <c r="AD287" s="39" t="s">
        <v>2</v>
      </c>
      <c r="AE287" s="39" t="s">
        <v>2</v>
      </c>
      <c r="AF287" s="12"/>
      <c r="AH287" s="20">
        <f t="shared" si="33"/>
        <v>0</v>
      </c>
      <c r="AI287" s="20">
        <f t="shared" si="34"/>
        <v>0</v>
      </c>
    </row>
  </sheetData>
  <sheetProtection password="DD6F" sheet="1" objects="1" scenarios="1"/>
  <mergeCells count="36">
    <mergeCell ref="AH241:AH243"/>
    <mergeCell ref="AI241:AI243"/>
    <mergeCell ref="AH265:AH267"/>
    <mergeCell ref="AI265:AI267"/>
    <mergeCell ref="AH193:AH195"/>
    <mergeCell ref="AI193:AI195"/>
    <mergeCell ref="AH217:AH219"/>
    <mergeCell ref="AI217:AI219"/>
    <mergeCell ref="AH145:AH147"/>
    <mergeCell ref="AI145:AI147"/>
    <mergeCell ref="AH169:AH171"/>
    <mergeCell ref="AI169:AI171"/>
    <mergeCell ref="AH97:AH99"/>
    <mergeCell ref="AI97:AI99"/>
    <mergeCell ref="AH121:AH123"/>
    <mergeCell ref="AI121:AI123"/>
    <mergeCell ref="AH49:AH51"/>
    <mergeCell ref="AI49:AI51"/>
    <mergeCell ref="AH73:AH75"/>
    <mergeCell ref="AI73:AI75"/>
    <mergeCell ref="AH1:AH3"/>
    <mergeCell ref="AI1:AI3"/>
    <mergeCell ref="AH25:AH27"/>
    <mergeCell ref="AI25:AI27"/>
    <mergeCell ref="A217:A219"/>
    <mergeCell ref="A241:A243"/>
    <mergeCell ref="A265:A267"/>
    <mergeCell ref="A97:A99"/>
    <mergeCell ref="A121:A123"/>
    <mergeCell ref="A145:A147"/>
    <mergeCell ref="A169:A171"/>
    <mergeCell ref="A1:A3"/>
    <mergeCell ref="A25:A27"/>
    <mergeCell ref="A49:A51"/>
    <mergeCell ref="A73:A75"/>
    <mergeCell ref="A193:A195"/>
  </mergeCells>
  <phoneticPr fontId="0" type="noConversion"/>
  <conditionalFormatting sqref="A1:XFD3 A24:XFD27 A4:C23 F4:K23 N4:S23 V4:AA23 AD4:XFD23 A48:XFD51 A28:D47 G28:L47 O28:T47 W28:AB47 AD28:XFD47 A72:XFD75 A52:A71 C52:H71 K52:P71 S52:X71 AA52:XFD71 A96:XFD99 A76:A95 D76:I95 L76:Q95 T76:Y95 AB76:XFD95 A120:XFD123 A100:C119 F100:K119 N100:S119 V100:AA119 AD100:XFD119 A144:XFD147 A124:D143 G124:L143 O124:T143 W124:AB143 AE124:XFD143 A168:XFD171 A148:F167 I148:N167 Q148:V167 Y148:AD167 AG148:XFD167 A192:XFD195 A172:G191 J172:O191 R172:W191 Z172:AE191 AG172:XFD191 A216:XFD219 A196:A215 C196:H215 K196:P215 S196:X215 AA196:XFD215 A240:XFD243 A220:B239 E220:J239 M220:R239 U220:Z239 AC220:XFD239 A264:XFD267 A244:C263 F244:K263 N244:S263 V244:AA263 AD244:XFD263 A288:XFD1048576 A268:E287 H268:M287 P268:U287 X268:AC287 AF268:XFD287">
    <cfRule type="cellIs" dxfId="3791" priority="1012" operator="equal">
      <formula>"szf"</formula>
    </cfRule>
    <cfRule type="cellIs" dxfId="3790" priority="1013" operator="equal">
      <formula>"+"</formula>
    </cfRule>
  </conditionalFormatting>
  <conditionalFormatting sqref="B1:AF3 B24:AF27 B4:C23 F4:K23 N4:S23 V4:AA23 AD4:AF23 B48:AF51 B28:D47 G28:L47 O28:T47 W28:AB47 AD28:AF47 B72:AF75 C52:H71 K52:P71 S52:X71 AA52:AF71 B96:AF99 D76:I95 L76:Q95 T76:Y95 AB76:AF95 B120:AF123 B100:C119 F100:K119 N100:S119 V100:AA119 AD100:AF119 B144:AF147 B124:D143 G124:L143 O124:T143 W124:AB143 AE124:AF143 B168:AF171 B148:F167 I148:N167 Q148:V167 Y148:AD167 B192:AF195 B172:G191 J172:O191 R172:W191 Z172:AE191 B216:AF219 C196:H215 K196:P215 S196:X215 AA196:AF215 B240:AF243 B220:B239 E220:J239 M220:R239 U220:Z239 AC220:AF239 B264:AF267 B244:C263 F244:K263 N244:S263 V244:AA263 AD244:AF263 B288:AF1048576 B268:E287 H268:M287 P268:U287 X268:AC287 AF268:AF287">
    <cfRule type="cellIs" dxfId="3789" priority="829" operator="equal">
      <formula>"X"</formula>
    </cfRule>
    <cfRule type="cellIs" dxfId="3788" priority="830" operator="equal">
      <formula>"V"</formula>
    </cfRule>
    <cfRule type="cellIs" dxfId="3787" priority="831" operator="equal">
      <formula>"Szo"</formula>
    </cfRule>
  </conditionalFormatting>
  <conditionalFormatting sqref="D4">
    <cfRule type="cellIs" dxfId="3786" priority="827" operator="equal">
      <formula>"+"</formula>
    </cfRule>
    <cfRule type="cellIs" dxfId="3785" priority="828" operator="equal">
      <formula>"szf"</formula>
    </cfRule>
  </conditionalFormatting>
  <conditionalFormatting sqref="D4">
    <cfRule type="cellIs" dxfId="3784" priority="826" operator="equal">
      <formula>"+"</formula>
    </cfRule>
  </conditionalFormatting>
  <conditionalFormatting sqref="D4:D23">
    <cfRule type="cellIs" dxfId="3783" priority="824" operator="equal">
      <formula>"+"</formula>
    </cfRule>
    <cfRule type="cellIs" dxfId="3782" priority="825" operator="equal">
      <formula>"szf"</formula>
    </cfRule>
  </conditionalFormatting>
  <conditionalFormatting sqref="D4:D23">
    <cfRule type="cellIs" dxfId="3781" priority="820" operator="equal">
      <formula>"V"</formula>
    </cfRule>
    <cfRule type="cellIs" dxfId="3780" priority="821" operator="equal">
      <formula>"Szo"</formula>
    </cfRule>
    <cfRule type="cellIs" dxfId="3779" priority="822" operator="equal">
      <formula>"X"</formula>
    </cfRule>
    <cfRule type="cellIs" dxfId="3778" priority="823" operator="equal">
      <formula>"X"</formula>
    </cfRule>
  </conditionalFormatting>
  <conditionalFormatting sqref="E4">
    <cfRule type="cellIs" dxfId="3777" priority="818" operator="equal">
      <formula>"+"</formula>
    </cfRule>
    <cfRule type="cellIs" dxfId="3776" priority="819" operator="equal">
      <formula>"szf"</formula>
    </cfRule>
  </conditionalFormatting>
  <conditionalFormatting sqref="E4">
    <cfRule type="cellIs" dxfId="3775" priority="817" operator="equal">
      <formula>"+"</formula>
    </cfRule>
  </conditionalFormatting>
  <conditionalFormatting sqref="E4:E23">
    <cfRule type="cellIs" dxfId="3774" priority="815" operator="equal">
      <formula>"+"</formula>
    </cfRule>
    <cfRule type="cellIs" dxfId="3773" priority="816" operator="equal">
      <formula>"szf"</formula>
    </cfRule>
  </conditionalFormatting>
  <conditionalFormatting sqref="E4:E23">
    <cfRule type="cellIs" dxfId="3772" priority="811" operator="equal">
      <formula>"V"</formula>
    </cfRule>
    <cfRule type="cellIs" dxfId="3771" priority="812" operator="equal">
      <formula>"Szo"</formula>
    </cfRule>
    <cfRule type="cellIs" dxfId="3770" priority="813" operator="equal">
      <formula>"X"</formula>
    </cfRule>
    <cfRule type="cellIs" dxfId="3769" priority="814" operator="equal">
      <formula>"X"</formula>
    </cfRule>
  </conditionalFormatting>
  <conditionalFormatting sqref="L4">
    <cfRule type="cellIs" dxfId="3768" priority="809" operator="equal">
      <formula>"+"</formula>
    </cfRule>
    <cfRule type="cellIs" dxfId="3767" priority="810" operator="equal">
      <formula>"szf"</formula>
    </cfRule>
  </conditionalFormatting>
  <conditionalFormatting sqref="L4">
    <cfRule type="cellIs" dxfId="3766" priority="808" operator="equal">
      <formula>"+"</formula>
    </cfRule>
  </conditionalFormatting>
  <conditionalFormatting sqref="L4:L23">
    <cfRule type="cellIs" dxfId="3765" priority="806" operator="equal">
      <formula>"+"</formula>
    </cfRule>
    <cfRule type="cellIs" dxfId="3764" priority="807" operator="equal">
      <formula>"szf"</formula>
    </cfRule>
  </conditionalFormatting>
  <conditionalFormatting sqref="L4:L23">
    <cfRule type="cellIs" dxfId="3763" priority="802" operator="equal">
      <formula>"V"</formula>
    </cfRule>
    <cfRule type="cellIs" dxfId="3762" priority="803" operator="equal">
      <formula>"Szo"</formula>
    </cfRule>
    <cfRule type="cellIs" dxfId="3761" priority="804" operator="equal">
      <formula>"X"</formula>
    </cfRule>
    <cfRule type="cellIs" dxfId="3760" priority="805" operator="equal">
      <formula>"X"</formula>
    </cfRule>
  </conditionalFormatting>
  <conditionalFormatting sqref="M4">
    <cfRule type="cellIs" dxfId="3759" priority="800" operator="equal">
      <formula>"+"</formula>
    </cfRule>
    <cfRule type="cellIs" dxfId="3758" priority="801" operator="equal">
      <formula>"szf"</formula>
    </cfRule>
  </conditionalFormatting>
  <conditionalFormatting sqref="M4">
    <cfRule type="cellIs" dxfId="3757" priority="799" operator="equal">
      <formula>"+"</formula>
    </cfRule>
  </conditionalFormatting>
  <conditionalFormatting sqref="M4:M23">
    <cfRule type="cellIs" dxfId="3756" priority="797" operator="equal">
      <formula>"+"</formula>
    </cfRule>
    <cfRule type="cellIs" dxfId="3755" priority="798" operator="equal">
      <formula>"szf"</formula>
    </cfRule>
  </conditionalFormatting>
  <conditionalFormatting sqref="M4:M23">
    <cfRule type="cellIs" dxfId="3754" priority="793" operator="equal">
      <formula>"V"</formula>
    </cfRule>
    <cfRule type="cellIs" dxfId="3753" priority="794" operator="equal">
      <formula>"Szo"</formula>
    </cfRule>
    <cfRule type="cellIs" dxfId="3752" priority="795" operator="equal">
      <formula>"X"</formula>
    </cfRule>
    <cfRule type="cellIs" dxfId="3751" priority="796" operator="equal">
      <formula>"X"</formula>
    </cfRule>
  </conditionalFormatting>
  <conditionalFormatting sqref="T4">
    <cfRule type="cellIs" dxfId="3750" priority="791" operator="equal">
      <formula>"+"</formula>
    </cfRule>
    <cfRule type="cellIs" dxfId="3749" priority="792" operator="equal">
      <formula>"szf"</formula>
    </cfRule>
  </conditionalFormatting>
  <conditionalFormatting sqref="T4">
    <cfRule type="cellIs" dxfId="3748" priority="790" operator="equal">
      <formula>"+"</formula>
    </cfRule>
  </conditionalFormatting>
  <conditionalFormatting sqref="T4:T23">
    <cfRule type="cellIs" dxfId="3747" priority="788" operator="equal">
      <formula>"+"</formula>
    </cfRule>
    <cfRule type="cellIs" dxfId="3746" priority="789" operator="equal">
      <formula>"szf"</formula>
    </cfRule>
  </conditionalFormatting>
  <conditionalFormatting sqref="T4:T23">
    <cfRule type="cellIs" dxfId="3745" priority="784" operator="equal">
      <formula>"V"</formula>
    </cfRule>
    <cfRule type="cellIs" dxfId="3744" priority="785" operator="equal">
      <formula>"Szo"</formula>
    </cfRule>
    <cfRule type="cellIs" dxfId="3743" priority="786" operator="equal">
      <formula>"X"</formula>
    </cfRule>
    <cfRule type="cellIs" dxfId="3742" priority="787" operator="equal">
      <formula>"X"</formula>
    </cfRule>
  </conditionalFormatting>
  <conditionalFormatting sqref="U4">
    <cfRule type="cellIs" dxfId="3741" priority="782" operator="equal">
      <formula>"+"</formula>
    </cfRule>
    <cfRule type="cellIs" dxfId="3740" priority="783" operator="equal">
      <formula>"szf"</formula>
    </cfRule>
  </conditionalFormatting>
  <conditionalFormatting sqref="U4">
    <cfRule type="cellIs" dxfId="3739" priority="781" operator="equal">
      <formula>"+"</formula>
    </cfRule>
  </conditionalFormatting>
  <conditionalFormatting sqref="U4:U23">
    <cfRule type="cellIs" dxfId="3738" priority="779" operator="equal">
      <formula>"+"</formula>
    </cfRule>
    <cfRule type="cellIs" dxfId="3737" priority="780" operator="equal">
      <formula>"szf"</formula>
    </cfRule>
  </conditionalFormatting>
  <conditionalFormatting sqref="U4:U23">
    <cfRule type="cellIs" dxfId="3736" priority="775" operator="equal">
      <formula>"V"</formula>
    </cfRule>
    <cfRule type="cellIs" dxfId="3735" priority="776" operator="equal">
      <formula>"Szo"</formula>
    </cfRule>
    <cfRule type="cellIs" dxfId="3734" priority="777" operator="equal">
      <formula>"X"</formula>
    </cfRule>
    <cfRule type="cellIs" dxfId="3733" priority="778" operator="equal">
      <formula>"X"</formula>
    </cfRule>
  </conditionalFormatting>
  <conditionalFormatting sqref="AB4">
    <cfRule type="cellIs" dxfId="3732" priority="773" operator="equal">
      <formula>"+"</formula>
    </cfRule>
    <cfRule type="cellIs" dxfId="3731" priority="774" operator="equal">
      <formula>"szf"</formula>
    </cfRule>
  </conditionalFormatting>
  <conditionalFormatting sqref="AB4">
    <cfRule type="cellIs" dxfId="3730" priority="772" operator="equal">
      <formula>"+"</formula>
    </cfRule>
  </conditionalFormatting>
  <conditionalFormatting sqref="AB4:AB23">
    <cfRule type="cellIs" dxfId="3729" priority="770" operator="equal">
      <formula>"+"</formula>
    </cfRule>
    <cfRule type="cellIs" dxfId="3728" priority="771" operator="equal">
      <formula>"szf"</formula>
    </cfRule>
  </conditionalFormatting>
  <conditionalFormatting sqref="AB4:AB23">
    <cfRule type="cellIs" dxfId="3727" priority="766" operator="equal">
      <formula>"V"</formula>
    </cfRule>
    <cfRule type="cellIs" dxfId="3726" priority="767" operator="equal">
      <formula>"Szo"</formula>
    </cfRule>
    <cfRule type="cellIs" dxfId="3725" priority="768" operator="equal">
      <formula>"X"</formula>
    </cfRule>
    <cfRule type="cellIs" dxfId="3724" priority="769" operator="equal">
      <formula>"X"</formula>
    </cfRule>
  </conditionalFormatting>
  <conditionalFormatting sqref="AC4">
    <cfRule type="cellIs" dxfId="3723" priority="764" operator="equal">
      <formula>"+"</formula>
    </cfRule>
    <cfRule type="cellIs" dxfId="3722" priority="765" operator="equal">
      <formula>"szf"</formula>
    </cfRule>
  </conditionalFormatting>
  <conditionalFormatting sqref="AC4">
    <cfRule type="cellIs" dxfId="3721" priority="763" operator="equal">
      <formula>"+"</formula>
    </cfRule>
  </conditionalFormatting>
  <conditionalFormatting sqref="AC4:AC23">
    <cfRule type="cellIs" dxfId="3720" priority="761" operator="equal">
      <formula>"+"</formula>
    </cfRule>
    <cfRule type="cellIs" dxfId="3719" priority="762" operator="equal">
      <formula>"szf"</formula>
    </cfRule>
  </conditionalFormatting>
  <conditionalFormatting sqref="AC4:AC23">
    <cfRule type="cellIs" dxfId="3718" priority="757" operator="equal">
      <formula>"V"</formula>
    </cfRule>
    <cfRule type="cellIs" dxfId="3717" priority="758" operator="equal">
      <formula>"Szo"</formula>
    </cfRule>
    <cfRule type="cellIs" dxfId="3716" priority="759" operator="equal">
      <formula>"X"</formula>
    </cfRule>
    <cfRule type="cellIs" dxfId="3715" priority="760" operator="equal">
      <formula>"X"</formula>
    </cfRule>
  </conditionalFormatting>
  <conditionalFormatting sqref="E28">
    <cfRule type="cellIs" dxfId="3714" priority="755" operator="equal">
      <formula>"+"</formula>
    </cfRule>
    <cfRule type="cellIs" dxfId="3713" priority="756" operator="equal">
      <formula>"szf"</formula>
    </cfRule>
  </conditionalFormatting>
  <conditionalFormatting sqref="E28">
    <cfRule type="cellIs" dxfId="3712" priority="754" operator="equal">
      <formula>"+"</formula>
    </cfRule>
  </conditionalFormatting>
  <conditionalFormatting sqref="E28:E47">
    <cfRule type="cellIs" dxfId="3711" priority="752" operator="equal">
      <formula>"+"</formula>
    </cfRule>
    <cfRule type="cellIs" dxfId="3710" priority="753" operator="equal">
      <formula>"szf"</formula>
    </cfRule>
  </conditionalFormatting>
  <conditionalFormatting sqref="E28:E47">
    <cfRule type="cellIs" dxfId="3709" priority="748" operator="equal">
      <formula>"V"</formula>
    </cfRule>
    <cfRule type="cellIs" dxfId="3708" priority="749" operator="equal">
      <formula>"Szo"</formula>
    </cfRule>
    <cfRule type="cellIs" dxfId="3707" priority="750" operator="equal">
      <formula>"X"</formula>
    </cfRule>
    <cfRule type="cellIs" dxfId="3706" priority="751" operator="equal">
      <formula>"X"</formula>
    </cfRule>
  </conditionalFormatting>
  <conditionalFormatting sqref="F28">
    <cfRule type="cellIs" dxfId="3705" priority="746" operator="equal">
      <formula>"+"</formula>
    </cfRule>
    <cfRule type="cellIs" dxfId="3704" priority="747" operator="equal">
      <formula>"szf"</formula>
    </cfRule>
  </conditionalFormatting>
  <conditionalFormatting sqref="F28">
    <cfRule type="cellIs" dxfId="3703" priority="745" operator="equal">
      <formula>"+"</formula>
    </cfRule>
  </conditionalFormatting>
  <conditionalFormatting sqref="F28:F47">
    <cfRule type="cellIs" dxfId="3702" priority="743" operator="equal">
      <formula>"+"</formula>
    </cfRule>
    <cfRule type="cellIs" dxfId="3701" priority="744" operator="equal">
      <formula>"szf"</formula>
    </cfRule>
  </conditionalFormatting>
  <conditionalFormatting sqref="F28:F47">
    <cfRule type="cellIs" dxfId="3700" priority="739" operator="equal">
      <formula>"V"</formula>
    </cfRule>
    <cfRule type="cellIs" dxfId="3699" priority="740" operator="equal">
      <formula>"Szo"</formula>
    </cfRule>
    <cfRule type="cellIs" dxfId="3698" priority="741" operator="equal">
      <formula>"X"</formula>
    </cfRule>
    <cfRule type="cellIs" dxfId="3697" priority="742" operator="equal">
      <formula>"X"</formula>
    </cfRule>
  </conditionalFormatting>
  <conditionalFormatting sqref="M28">
    <cfRule type="cellIs" dxfId="3696" priority="737" operator="equal">
      <formula>"+"</formula>
    </cfRule>
    <cfRule type="cellIs" dxfId="3695" priority="738" operator="equal">
      <formula>"szf"</formula>
    </cfRule>
  </conditionalFormatting>
  <conditionalFormatting sqref="M28">
    <cfRule type="cellIs" dxfId="3694" priority="736" operator="equal">
      <formula>"+"</formula>
    </cfRule>
  </conditionalFormatting>
  <conditionalFormatting sqref="M28:M47">
    <cfRule type="cellIs" dxfId="3693" priority="734" operator="equal">
      <formula>"+"</formula>
    </cfRule>
    <cfRule type="cellIs" dxfId="3692" priority="735" operator="equal">
      <formula>"szf"</formula>
    </cfRule>
  </conditionalFormatting>
  <conditionalFormatting sqref="M28:M47">
    <cfRule type="cellIs" dxfId="3691" priority="730" operator="equal">
      <formula>"V"</formula>
    </cfRule>
    <cfRule type="cellIs" dxfId="3690" priority="731" operator="equal">
      <formula>"Szo"</formula>
    </cfRule>
    <cfRule type="cellIs" dxfId="3689" priority="732" operator="equal">
      <formula>"X"</formula>
    </cfRule>
    <cfRule type="cellIs" dxfId="3688" priority="733" operator="equal">
      <formula>"X"</formula>
    </cfRule>
  </conditionalFormatting>
  <conditionalFormatting sqref="N28">
    <cfRule type="cellIs" dxfId="3687" priority="728" operator="equal">
      <formula>"+"</formula>
    </cfRule>
    <cfRule type="cellIs" dxfId="3686" priority="729" operator="equal">
      <formula>"szf"</formula>
    </cfRule>
  </conditionalFormatting>
  <conditionalFormatting sqref="N28">
    <cfRule type="cellIs" dxfId="3685" priority="727" operator="equal">
      <formula>"+"</formula>
    </cfRule>
  </conditionalFormatting>
  <conditionalFormatting sqref="N28:N47">
    <cfRule type="cellIs" dxfId="3684" priority="725" operator="equal">
      <formula>"+"</formula>
    </cfRule>
    <cfRule type="cellIs" dxfId="3683" priority="726" operator="equal">
      <formula>"szf"</formula>
    </cfRule>
  </conditionalFormatting>
  <conditionalFormatting sqref="N28:N47">
    <cfRule type="cellIs" dxfId="3682" priority="721" operator="equal">
      <formula>"V"</formula>
    </cfRule>
    <cfRule type="cellIs" dxfId="3681" priority="722" operator="equal">
      <formula>"Szo"</formula>
    </cfRule>
    <cfRule type="cellIs" dxfId="3680" priority="723" operator="equal">
      <formula>"X"</formula>
    </cfRule>
    <cfRule type="cellIs" dxfId="3679" priority="724" operator="equal">
      <formula>"X"</formula>
    </cfRule>
  </conditionalFormatting>
  <conditionalFormatting sqref="U28">
    <cfRule type="cellIs" dxfId="3678" priority="719" operator="equal">
      <formula>"+"</formula>
    </cfRule>
    <cfRule type="cellIs" dxfId="3677" priority="720" operator="equal">
      <formula>"szf"</formula>
    </cfRule>
  </conditionalFormatting>
  <conditionalFormatting sqref="U28">
    <cfRule type="cellIs" dxfId="3676" priority="718" operator="equal">
      <formula>"+"</formula>
    </cfRule>
  </conditionalFormatting>
  <conditionalFormatting sqref="U28:U47">
    <cfRule type="cellIs" dxfId="3675" priority="716" operator="equal">
      <formula>"+"</formula>
    </cfRule>
    <cfRule type="cellIs" dxfId="3674" priority="717" operator="equal">
      <formula>"szf"</formula>
    </cfRule>
  </conditionalFormatting>
  <conditionalFormatting sqref="U28:U47">
    <cfRule type="cellIs" dxfId="3673" priority="712" operator="equal">
      <formula>"V"</formula>
    </cfRule>
    <cfRule type="cellIs" dxfId="3672" priority="713" operator="equal">
      <formula>"Szo"</formula>
    </cfRule>
    <cfRule type="cellIs" dxfId="3671" priority="714" operator="equal">
      <formula>"X"</formula>
    </cfRule>
    <cfRule type="cellIs" dxfId="3670" priority="715" operator="equal">
      <formula>"X"</formula>
    </cfRule>
  </conditionalFormatting>
  <conditionalFormatting sqref="V28">
    <cfRule type="cellIs" dxfId="3669" priority="710" operator="equal">
      <formula>"+"</formula>
    </cfRule>
    <cfRule type="cellIs" dxfId="3668" priority="711" operator="equal">
      <formula>"szf"</formula>
    </cfRule>
  </conditionalFormatting>
  <conditionalFormatting sqref="V28">
    <cfRule type="cellIs" dxfId="3667" priority="709" operator="equal">
      <formula>"+"</formula>
    </cfRule>
  </conditionalFormatting>
  <conditionalFormatting sqref="V28:V47">
    <cfRule type="cellIs" dxfId="3666" priority="707" operator="equal">
      <formula>"+"</formula>
    </cfRule>
    <cfRule type="cellIs" dxfId="3665" priority="708" operator="equal">
      <formula>"szf"</formula>
    </cfRule>
  </conditionalFormatting>
  <conditionalFormatting sqref="V28:V47">
    <cfRule type="cellIs" dxfId="3664" priority="703" operator="equal">
      <formula>"V"</formula>
    </cfRule>
    <cfRule type="cellIs" dxfId="3663" priority="704" operator="equal">
      <formula>"Szo"</formula>
    </cfRule>
    <cfRule type="cellIs" dxfId="3662" priority="705" operator="equal">
      <formula>"X"</formula>
    </cfRule>
    <cfRule type="cellIs" dxfId="3661" priority="706" operator="equal">
      <formula>"X"</formula>
    </cfRule>
  </conditionalFormatting>
  <conditionalFormatting sqref="AC28">
    <cfRule type="cellIs" dxfId="3660" priority="701" operator="equal">
      <formula>"+"</formula>
    </cfRule>
    <cfRule type="cellIs" dxfId="3659" priority="702" operator="equal">
      <formula>"szf"</formula>
    </cfRule>
  </conditionalFormatting>
  <conditionalFormatting sqref="AC28">
    <cfRule type="cellIs" dxfId="3658" priority="700" operator="equal">
      <formula>"+"</formula>
    </cfRule>
  </conditionalFormatting>
  <conditionalFormatting sqref="AC28:AC47">
    <cfRule type="cellIs" dxfId="3657" priority="698" operator="equal">
      <formula>"+"</formula>
    </cfRule>
    <cfRule type="cellIs" dxfId="3656" priority="699" operator="equal">
      <formula>"szf"</formula>
    </cfRule>
  </conditionalFormatting>
  <conditionalFormatting sqref="AC28:AC47">
    <cfRule type="cellIs" dxfId="3655" priority="694" operator="equal">
      <formula>"V"</formula>
    </cfRule>
    <cfRule type="cellIs" dxfId="3654" priority="695" operator="equal">
      <formula>"Szo"</formula>
    </cfRule>
    <cfRule type="cellIs" dxfId="3653" priority="696" operator="equal">
      <formula>"X"</formula>
    </cfRule>
    <cfRule type="cellIs" dxfId="3652" priority="697" operator="equal">
      <formula>"X"</formula>
    </cfRule>
  </conditionalFormatting>
  <conditionalFormatting sqref="B52">
    <cfRule type="cellIs" dxfId="3651" priority="692" operator="equal">
      <formula>"+"</formula>
    </cfRule>
    <cfRule type="cellIs" dxfId="3650" priority="693" operator="equal">
      <formula>"szf"</formula>
    </cfRule>
  </conditionalFormatting>
  <conditionalFormatting sqref="B52">
    <cfRule type="cellIs" dxfId="3649" priority="691" operator="equal">
      <formula>"+"</formula>
    </cfRule>
  </conditionalFormatting>
  <conditionalFormatting sqref="B52:B71">
    <cfRule type="cellIs" dxfId="3648" priority="689" operator="equal">
      <formula>"+"</formula>
    </cfRule>
    <cfRule type="cellIs" dxfId="3647" priority="690" operator="equal">
      <formula>"szf"</formula>
    </cfRule>
  </conditionalFormatting>
  <conditionalFormatting sqref="B52:B71">
    <cfRule type="cellIs" dxfId="3646" priority="685" operator="equal">
      <formula>"V"</formula>
    </cfRule>
    <cfRule type="cellIs" dxfId="3645" priority="686" operator="equal">
      <formula>"Szo"</formula>
    </cfRule>
    <cfRule type="cellIs" dxfId="3644" priority="687" operator="equal">
      <formula>"X"</formula>
    </cfRule>
    <cfRule type="cellIs" dxfId="3643" priority="688" operator="equal">
      <formula>"X"</formula>
    </cfRule>
  </conditionalFormatting>
  <conditionalFormatting sqref="I52">
    <cfRule type="cellIs" dxfId="3642" priority="683" operator="equal">
      <formula>"+"</formula>
    </cfRule>
    <cfRule type="cellIs" dxfId="3641" priority="684" operator="equal">
      <formula>"szf"</formula>
    </cfRule>
  </conditionalFormatting>
  <conditionalFormatting sqref="I52">
    <cfRule type="cellIs" dxfId="3640" priority="682" operator="equal">
      <formula>"+"</formula>
    </cfRule>
  </conditionalFormatting>
  <conditionalFormatting sqref="I52:I71">
    <cfRule type="cellIs" dxfId="3639" priority="680" operator="equal">
      <formula>"+"</formula>
    </cfRule>
    <cfRule type="cellIs" dxfId="3638" priority="681" operator="equal">
      <formula>"szf"</formula>
    </cfRule>
  </conditionalFormatting>
  <conditionalFormatting sqref="I52:I71">
    <cfRule type="cellIs" dxfId="3637" priority="676" operator="equal">
      <formula>"V"</formula>
    </cfRule>
    <cfRule type="cellIs" dxfId="3636" priority="677" operator="equal">
      <formula>"Szo"</formula>
    </cfRule>
    <cfRule type="cellIs" dxfId="3635" priority="678" operator="equal">
      <formula>"X"</formula>
    </cfRule>
    <cfRule type="cellIs" dxfId="3634" priority="679" operator="equal">
      <formula>"X"</formula>
    </cfRule>
  </conditionalFormatting>
  <conditionalFormatting sqref="J52">
    <cfRule type="cellIs" dxfId="3633" priority="674" operator="equal">
      <formula>"+"</formula>
    </cfRule>
    <cfRule type="cellIs" dxfId="3632" priority="675" operator="equal">
      <formula>"szf"</formula>
    </cfRule>
  </conditionalFormatting>
  <conditionalFormatting sqref="J52">
    <cfRule type="cellIs" dxfId="3631" priority="673" operator="equal">
      <formula>"+"</formula>
    </cfRule>
  </conditionalFormatting>
  <conditionalFormatting sqref="J52:J71">
    <cfRule type="cellIs" dxfId="3630" priority="671" operator="equal">
      <formula>"+"</formula>
    </cfRule>
    <cfRule type="cellIs" dxfId="3629" priority="672" operator="equal">
      <formula>"szf"</formula>
    </cfRule>
  </conditionalFormatting>
  <conditionalFormatting sqref="J52:J71">
    <cfRule type="cellIs" dxfId="3628" priority="667" operator="equal">
      <formula>"V"</formula>
    </cfRule>
    <cfRule type="cellIs" dxfId="3627" priority="668" operator="equal">
      <formula>"Szo"</formula>
    </cfRule>
    <cfRule type="cellIs" dxfId="3626" priority="669" operator="equal">
      <formula>"X"</formula>
    </cfRule>
    <cfRule type="cellIs" dxfId="3625" priority="670" operator="equal">
      <formula>"X"</formula>
    </cfRule>
  </conditionalFormatting>
  <conditionalFormatting sqref="Q52">
    <cfRule type="cellIs" dxfId="3624" priority="665" operator="equal">
      <formula>"+"</formula>
    </cfRule>
    <cfRule type="cellIs" dxfId="3623" priority="666" operator="equal">
      <formula>"szf"</formula>
    </cfRule>
  </conditionalFormatting>
  <conditionalFormatting sqref="Q52">
    <cfRule type="cellIs" dxfId="3622" priority="664" operator="equal">
      <formula>"+"</formula>
    </cfRule>
  </conditionalFormatting>
  <conditionalFormatting sqref="Q52:Q71">
    <cfRule type="cellIs" dxfId="3621" priority="662" operator="equal">
      <formula>"+"</formula>
    </cfRule>
    <cfRule type="cellIs" dxfId="3620" priority="663" operator="equal">
      <formula>"szf"</formula>
    </cfRule>
  </conditionalFormatting>
  <conditionalFormatting sqref="Q52:Q71">
    <cfRule type="cellIs" dxfId="3619" priority="658" operator="equal">
      <formula>"V"</formula>
    </cfRule>
    <cfRule type="cellIs" dxfId="3618" priority="659" operator="equal">
      <formula>"Szo"</formula>
    </cfRule>
    <cfRule type="cellIs" dxfId="3617" priority="660" operator="equal">
      <formula>"X"</formula>
    </cfRule>
    <cfRule type="cellIs" dxfId="3616" priority="661" operator="equal">
      <formula>"X"</formula>
    </cfRule>
  </conditionalFormatting>
  <conditionalFormatting sqref="R52">
    <cfRule type="cellIs" dxfId="3615" priority="656" operator="equal">
      <formula>"+"</formula>
    </cfRule>
    <cfRule type="cellIs" dxfId="3614" priority="657" operator="equal">
      <formula>"szf"</formula>
    </cfRule>
  </conditionalFormatting>
  <conditionalFormatting sqref="R52">
    <cfRule type="cellIs" dxfId="3613" priority="655" operator="equal">
      <formula>"+"</formula>
    </cfRule>
  </conditionalFormatting>
  <conditionalFormatting sqref="R52:R71">
    <cfRule type="cellIs" dxfId="3612" priority="653" operator="equal">
      <formula>"+"</formula>
    </cfRule>
    <cfRule type="cellIs" dxfId="3611" priority="654" operator="equal">
      <formula>"szf"</formula>
    </cfRule>
  </conditionalFormatting>
  <conditionalFormatting sqref="R52:R71">
    <cfRule type="cellIs" dxfId="3610" priority="649" operator="equal">
      <formula>"V"</formula>
    </cfRule>
    <cfRule type="cellIs" dxfId="3609" priority="650" operator="equal">
      <formula>"Szo"</formula>
    </cfRule>
    <cfRule type="cellIs" dxfId="3608" priority="651" operator="equal">
      <formula>"X"</formula>
    </cfRule>
    <cfRule type="cellIs" dxfId="3607" priority="652" operator="equal">
      <formula>"X"</formula>
    </cfRule>
  </conditionalFormatting>
  <conditionalFormatting sqref="Y52">
    <cfRule type="cellIs" dxfId="3606" priority="647" operator="equal">
      <formula>"+"</formula>
    </cfRule>
    <cfRule type="cellIs" dxfId="3605" priority="648" operator="equal">
      <formula>"szf"</formula>
    </cfRule>
  </conditionalFormatting>
  <conditionalFormatting sqref="Y52">
    <cfRule type="cellIs" dxfId="3604" priority="646" operator="equal">
      <formula>"+"</formula>
    </cfRule>
  </conditionalFormatting>
  <conditionalFormatting sqref="Y52:Y71">
    <cfRule type="cellIs" dxfId="3603" priority="644" operator="equal">
      <formula>"+"</formula>
    </cfRule>
    <cfRule type="cellIs" dxfId="3602" priority="645" operator="equal">
      <formula>"szf"</formula>
    </cfRule>
  </conditionalFormatting>
  <conditionalFormatting sqref="Y52:Y71">
    <cfRule type="cellIs" dxfId="3601" priority="640" operator="equal">
      <formula>"V"</formula>
    </cfRule>
    <cfRule type="cellIs" dxfId="3600" priority="641" operator="equal">
      <formula>"Szo"</formula>
    </cfRule>
    <cfRule type="cellIs" dxfId="3599" priority="642" operator="equal">
      <formula>"X"</formula>
    </cfRule>
    <cfRule type="cellIs" dxfId="3598" priority="643" operator="equal">
      <formula>"X"</formula>
    </cfRule>
  </conditionalFormatting>
  <conditionalFormatting sqref="Z52">
    <cfRule type="cellIs" dxfId="3597" priority="638" operator="equal">
      <formula>"+"</formula>
    </cfRule>
    <cfRule type="cellIs" dxfId="3596" priority="639" operator="equal">
      <formula>"szf"</formula>
    </cfRule>
  </conditionalFormatting>
  <conditionalFormatting sqref="Z52">
    <cfRule type="cellIs" dxfId="3595" priority="637" operator="equal">
      <formula>"+"</formula>
    </cfRule>
  </conditionalFormatting>
  <conditionalFormatting sqref="Z52:Z71">
    <cfRule type="cellIs" dxfId="3594" priority="635" operator="equal">
      <formula>"+"</formula>
    </cfRule>
    <cfRule type="cellIs" dxfId="3593" priority="636" operator="equal">
      <formula>"szf"</formula>
    </cfRule>
  </conditionalFormatting>
  <conditionalFormatting sqref="Z52:Z71">
    <cfRule type="cellIs" dxfId="3592" priority="631" operator="equal">
      <formula>"V"</formula>
    </cfRule>
    <cfRule type="cellIs" dxfId="3591" priority="632" operator="equal">
      <formula>"Szo"</formula>
    </cfRule>
    <cfRule type="cellIs" dxfId="3590" priority="633" operator="equal">
      <formula>"X"</formula>
    </cfRule>
    <cfRule type="cellIs" dxfId="3589" priority="634" operator="equal">
      <formula>"X"</formula>
    </cfRule>
  </conditionalFormatting>
  <conditionalFormatting sqref="B76">
    <cfRule type="cellIs" dxfId="3588" priority="629" operator="equal">
      <formula>"+"</formula>
    </cfRule>
    <cfRule type="cellIs" dxfId="3587" priority="630" operator="equal">
      <formula>"szf"</formula>
    </cfRule>
  </conditionalFormatting>
  <conditionalFormatting sqref="B76">
    <cfRule type="cellIs" dxfId="3586" priority="628" operator="equal">
      <formula>"+"</formula>
    </cfRule>
  </conditionalFormatting>
  <conditionalFormatting sqref="B76:B95">
    <cfRule type="cellIs" dxfId="3585" priority="626" operator="equal">
      <formula>"+"</formula>
    </cfRule>
    <cfRule type="cellIs" dxfId="3584" priority="627" operator="equal">
      <formula>"szf"</formula>
    </cfRule>
  </conditionalFormatting>
  <conditionalFormatting sqref="B76:B95">
    <cfRule type="cellIs" dxfId="3583" priority="622" operator="equal">
      <formula>"V"</formula>
    </cfRule>
    <cfRule type="cellIs" dxfId="3582" priority="623" operator="equal">
      <formula>"Szo"</formula>
    </cfRule>
    <cfRule type="cellIs" dxfId="3581" priority="624" operator="equal">
      <formula>"X"</formula>
    </cfRule>
    <cfRule type="cellIs" dxfId="3580" priority="625" operator="equal">
      <formula>"X"</formula>
    </cfRule>
  </conditionalFormatting>
  <conditionalFormatting sqref="C76">
    <cfRule type="cellIs" dxfId="3579" priority="620" operator="equal">
      <formula>"+"</formula>
    </cfRule>
    <cfRule type="cellIs" dxfId="3578" priority="621" operator="equal">
      <formula>"szf"</formula>
    </cfRule>
  </conditionalFormatting>
  <conditionalFormatting sqref="C76">
    <cfRule type="cellIs" dxfId="3577" priority="619" operator="equal">
      <formula>"+"</formula>
    </cfRule>
  </conditionalFormatting>
  <conditionalFormatting sqref="C76:C95">
    <cfRule type="cellIs" dxfId="3576" priority="617" operator="equal">
      <formula>"+"</formula>
    </cfRule>
    <cfRule type="cellIs" dxfId="3575" priority="618" operator="equal">
      <formula>"szf"</formula>
    </cfRule>
  </conditionalFormatting>
  <conditionalFormatting sqref="C76:C95">
    <cfRule type="cellIs" dxfId="3574" priority="613" operator="equal">
      <formula>"V"</formula>
    </cfRule>
    <cfRule type="cellIs" dxfId="3573" priority="614" operator="equal">
      <formula>"Szo"</formula>
    </cfRule>
    <cfRule type="cellIs" dxfId="3572" priority="615" operator="equal">
      <formula>"X"</formula>
    </cfRule>
    <cfRule type="cellIs" dxfId="3571" priority="616" operator="equal">
      <formula>"X"</formula>
    </cfRule>
  </conditionalFormatting>
  <conditionalFormatting sqref="J76">
    <cfRule type="cellIs" dxfId="3570" priority="611" operator="equal">
      <formula>"+"</formula>
    </cfRule>
    <cfRule type="cellIs" dxfId="3569" priority="612" operator="equal">
      <formula>"szf"</formula>
    </cfRule>
  </conditionalFormatting>
  <conditionalFormatting sqref="J76">
    <cfRule type="cellIs" dxfId="3568" priority="610" operator="equal">
      <formula>"+"</formula>
    </cfRule>
  </conditionalFormatting>
  <conditionalFormatting sqref="J76:J95">
    <cfRule type="cellIs" dxfId="3567" priority="608" operator="equal">
      <formula>"+"</formula>
    </cfRule>
    <cfRule type="cellIs" dxfId="3566" priority="609" operator="equal">
      <formula>"szf"</formula>
    </cfRule>
  </conditionalFormatting>
  <conditionalFormatting sqref="J76:J95">
    <cfRule type="cellIs" dxfId="3565" priority="604" operator="equal">
      <formula>"V"</formula>
    </cfRule>
    <cfRule type="cellIs" dxfId="3564" priority="605" operator="equal">
      <formula>"Szo"</formula>
    </cfRule>
    <cfRule type="cellIs" dxfId="3563" priority="606" operator="equal">
      <formula>"X"</formula>
    </cfRule>
    <cfRule type="cellIs" dxfId="3562" priority="607" operator="equal">
      <formula>"X"</formula>
    </cfRule>
  </conditionalFormatting>
  <conditionalFormatting sqref="K76">
    <cfRule type="cellIs" dxfId="3561" priority="602" operator="equal">
      <formula>"+"</formula>
    </cfRule>
    <cfRule type="cellIs" dxfId="3560" priority="603" operator="equal">
      <formula>"szf"</formula>
    </cfRule>
  </conditionalFormatting>
  <conditionalFormatting sqref="K76">
    <cfRule type="cellIs" dxfId="3559" priority="601" operator="equal">
      <formula>"+"</formula>
    </cfRule>
  </conditionalFormatting>
  <conditionalFormatting sqref="K76:K95">
    <cfRule type="cellIs" dxfId="3558" priority="599" operator="equal">
      <formula>"+"</formula>
    </cfRule>
    <cfRule type="cellIs" dxfId="3557" priority="600" operator="equal">
      <formula>"szf"</formula>
    </cfRule>
  </conditionalFormatting>
  <conditionalFormatting sqref="K76:K95">
    <cfRule type="cellIs" dxfId="3556" priority="595" operator="equal">
      <formula>"V"</formula>
    </cfRule>
    <cfRule type="cellIs" dxfId="3555" priority="596" operator="equal">
      <formula>"Szo"</formula>
    </cfRule>
    <cfRule type="cellIs" dxfId="3554" priority="597" operator="equal">
      <formula>"X"</formula>
    </cfRule>
    <cfRule type="cellIs" dxfId="3553" priority="598" operator="equal">
      <formula>"X"</formula>
    </cfRule>
  </conditionalFormatting>
  <conditionalFormatting sqref="S76">
    <cfRule type="cellIs" dxfId="3552" priority="593" operator="equal">
      <formula>"+"</formula>
    </cfRule>
    <cfRule type="cellIs" dxfId="3551" priority="594" operator="equal">
      <formula>"szf"</formula>
    </cfRule>
  </conditionalFormatting>
  <conditionalFormatting sqref="S76">
    <cfRule type="cellIs" dxfId="3550" priority="592" operator="equal">
      <formula>"+"</formula>
    </cfRule>
  </conditionalFormatting>
  <conditionalFormatting sqref="S76:S95">
    <cfRule type="cellIs" dxfId="3549" priority="590" operator="equal">
      <formula>"+"</formula>
    </cfRule>
    <cfRule type="cellIs" dxfId="3548" priority="591" operator="equal">
      <formula>"szf"</formula>
    </cfRule>
  </conditionalFormatting>
  <conditionalFormatting sqref="S76:S95">
    <cfRule type="cellIs" dxfId="3547" priority="586" operator="equal">
      <formula>"V"</formula>
    </cfRule>
    <cfRule type="cellIs" dxfId="3546" priority="587" operator="equal">
      <formula>"Szo"</formula>
    </cfRule>
    <cfRule type="cellIs" dxfId="3545" priority="588" operator="equal">
      <formula>"X"</formula>
    </cfRule>
    <cfRule type="cellIs" dxfId="3544" priority="589" operator="equal">
      <formula>"X"</formula>
    </cfRule>
  </conditionalFormatting>
  <conditionalFormatting sqref="R76">
    <cfRule type="cellIs" dxfId="3543" priority="584" operator="equal">
      <formula>"+"</formula>
    </cfRule>
    <cfRule type="cellIs" dxfId="3542" priority="585" operator="equal">
      <formula>"szf"</formula>
    </cfRule>
  </conditionalFormatting>
  <conditionalFormatting sqref="R76">
    <cfRule type="cellIs" dxfId="3541" priority="583" operator="equal">
      <formula>"+"</formula>
    </cfRule>
  </conditionalFormatting>
  <conditionalFormatting sqref="R76:R95">
    <cfRule type="cellIs" dxfId="3540" priority="581" operator="equal">
      <formula>"+"</formula>
    </cfRule>
    <cfRule type="cellIs" dxfId="3539" priority="582" operator="equal">
      <formula>"szf"</formula>
    </cfRule>
  </conditionalFormatting>
  <conditionalFormatting sqref="R76:R95">
    <cfRule type="cellIs" dxfId="3538" priority="577" operator="equal">
      <formula>"V"</formula>
    </cfRule>
    <cfRule type="cellIs" dxfId="3537" priority="578" operator="equal">
      <formula>"Szo"</formula>
    </cfRule>
    <cfRule type="cellIs" dxfId="3536" priority="579" operator="equal">
      <formula>"X"</formula>
    </cfRule>
    <cfRule type="cellIs" dxfId="3535" priority="580" operator="equal">
      <formula>"X"</formula>
    </cfRule>
  </conditionalFormatting>
  <conditionalFormatting sqref="AA76">
    <cfRule type="cellIs" dxfId="3534" priority="575" operator="equal">
      <formula>"+"</formula>
    </cfRule>
    <cfRule type="cellIs" dxfId="3533" priority="576" operator="equal">
      <formula>"szf"</formula>
    </cfRule>
  </conditionalFormatting>
  <conditionalFormatting sqref="AA76">
    <cfRule type="cellIs" dxfId="3532" priority="574" operator="equal">
      <formula>"+"</formula>
    </cfRule>
  </conditionalFormatting>
  <conditionalFormatting sqref="AA76:AA95">
    <cfRule type="cellIs" dxfId="3531" priority="572" operator="equal">
      <formula>"+"</formula>
    </cfRule>
    <cfRule type="cellIs" dxfId="3530" priority="573" operator="equal">
      <formula>"szf"</formula>
    </cfRule>
  </conditionalFormatting>
  <conditionalFormatting sqref="AA76:AA95">
    <cfRule type="cellIs" dxfId="3529" priority="568" operator="equal">
      <formula>"V"</formula>
    </cfRule>
    <cfRule type="cellIs" dxfId="3528" priority="569" operator="equal">
      <formula>"Szo"</formula>
    </cfRule>
    <cfRule type="cellIs" dxfId="3527" priority="570" operator="equal">
      <formula>"X"</formula>
    </cfRule>
    <cfRule type="cellIs" dxfId="3526" priority="571" operator="equal">
      <formula>"X"</formula>
    </cfRule>
  </conditionalFormatting>
  <conditionalFormatting sqref="Z76">
    <cfRule type="cellIs" dxfId="3525" priority="566" operator="equal">
      <formula>"+"</formula>
    </cfRule>
    <cfRule type="cellIs" dxfId="3524" priority="567" operator="equal">
      <formula>"szf"</formula>
    </cfRule>
  </conditionalFormatting>
  <conditionalFormatting sqref="Z76">
    <cfRule type="cellIs" dxfId="3523" priority="565" operator="equal">
      <formula>"+"</formula>
    </cfRule>
  </conditionalFormatting>
  <conditionalFormatting sqref="Z76:Z95">
    <cfRule type="cellIs" dxfId="3522" priority="563" operator="equal">
      <formula>"+"</formula>
    </cfRule>
    <cfRule type="cellIs" dxfId="3521" priority="564" operator="equal">
      <formula>"szf"</formula>
    </cfRule>
  </conditionalFormatting>
  <conditionalFormatting sqref="Z76:Z95">
    <cfRule type="cellIs" dxfId="3520" priority="559" operator="equal">
      <formula>"V"</formula>
    </cfRule>
    <cfRule type="cellIs" dxfId="3519" priority="560" operator="equal">
      <formula>"Szo"</formula>
    </cfRule>
    <cfRule type="cellIs" dxfId="3518" priority="561" operator="equal">
      <formula>"X"</formula>
    </cfRule>
    <cfRule type="cellIs" dxfId="3517" priority="562" operator="equal">
      <formula>"X"</formula>
    </cfRule>
  </conditionalFormatting>
  <conditionalFormatting sqref="D100">
    <cfRule type="cellIs" dxfId="3516" priority="557" operator="equal">
      <formula>"+"</formula>
    </cfRule>
    <cfRule type="cellIs" dxfId="3515" priority="558" operator="equal">
      <formula>"szf"</formula>
    </cfRule>
  </conditionalFormatting>
  <conditionalFormatting sqref="D100">
    <cfRule type="cellIs" dxfId="3514" priority="556" operator="equal">
      <formula>"+"</formula>
    </cfRule>
  </conditionalFormatting>
  <conditionalFormatting sqref="D100:D119">
    <cfRule type="cellIs" dxfId="3513" priority="554" operator="equal">
      <formula>"+"</formula>
    </cfRule>
    <cfRule type="cellIs" dxfId="3512" priority="555" operator="equal">
      <formula>"szf"</formula>
    </cfRule>
  </conditionalFormatting>
  <conditionalFormatting sqref="D100:D119">
    <cfRule type="cellIs" dxfId="3511" priority="550" operator="equal">
      <formula>"V"</formula>
    </cfRule>
    <cfRule type="cellIs" dxfId="3510" priority="551" operator="equal">
      <formula>"Szo"</formula>
    </cfRule>
    <cfRule type="cellIs" dxfId="3509" priority="552" operator="equal">
      <formula>"X"</formula>
    </cfRule>
    <cfRule type="cellIs" dxfId="3508" priority="553" operator="equal">
      <formula>"X"</formula>
    </cfRule>
  </conditionalFormatting>
  <conditionalFormatting sqref="E100">
    <cfRule type="cellIs" dxfId="3507" priority="548" operator="equal">
      <formula>"+"</formula>
    </cfRule>
    <cfRule type="cellIs" dxfId="3506" priority="549" operator="equal">
      <formula>"szf"</formula>
    </cfRule>
  </conditionalFormatting>
  <conditionalFormatting sqref="E100">
    <cfRule type="cellIs" dxfId="3505" priority="547" operator="equal">
      <formula>"+"</formula>
    </cfRule>
  </conditionalFormatting>
  <conditionalFormatting sqref="E100:E119">
    <cfRule type="cellIs" dxfId="3504" priority="545" operator="equal">
      <formula>"+"</formula>
    </cfRule>
    <cfRule type="cellIs" dxfId="3503" priority="546" operator="equal">
      <formula>"szf"</formula>
    </cfRule>
  </conditionalFormatting>
  <conditionalFormatting sqref="E100:E119">
    <cfRule type="cellIs" dxfId="3502" priority="541" operator="equal">
      <formula>"V"</formula>
    </cfRule>
    <cfRule type="cellIs" dxfId="3501" priority="542" operator="equal">
      <formula>"Szo"</formula>
    </cfRule>
    <cfRule type="cellIs" dxfId="3500" priority="543" operator="equal">
      <formula>"X"</formula>
    </cfRule>
    <cfRule type="cellIs" dxfId="3499" priority="544" operator="equal">
      <formula>"X"</formula>
    </cfRule>
  </conditionalFormatting>
  <conditionalFormatting sqref="L100">
    <cfRule type="cellIs" dxfId="3498" priority="539" operator="equal">
      <formula>"+"</formula>
    </cfRule>
    <cfRule type="cellIs" dxfId="3497" priority="540" operator="equal">
      <formula>"szf"</formula>
    </cfRule>
  </conditionalFormatting>
  <conditionalFormatting sqref="L100">
    <cfRule type="cellIs" dxfId="3496" priority="538" operator="equal">
      <formula>"+"</formula>
    </cfRule>
  </conditionalFormatting>
  <conditionalFormatting sqref="L100:L119">
    <cfRule type="cellIs" dxfId="3495" priority="536" operator="equal">
      <formula>"+"</formula>
    </cfRule>
    <cfRule type="cellIs" dxfId="3494" priority="537" operator="equal">
      <formula>"szf"</formula>
    </cfRule>
  </conditionalFormatting>
  <conditionalFormatting sqref="L100:L119">
    <cfRule type="cellIs" dxfId="3493" priority="532" operator="equal">
      <formula>"V"</formula>
    </cfRule>
    <cfRule type="cellIs" dxfId="3492" priority="533" operator="equal">
      <formula>"Szo"</formula>
    </cfRule>
    <cfRule type="cellIs" dxfId="3491" priority="534" operator="equal">
      <formula>"X"</formula>
    </cfRule>
    <cfRule type="cellIs" dxfId="3490" priority="535" operator="equal">
      <formula>"X"</formula>
    </cfRule>
  </conditionalFormatting>
  <conditionalFormatting sqref="M100">
    <cfRule type="cellIs" dxfId="3489" priority="530" operator="equal">
      <formula>"+"</formula>
    </cfRule>
    <cfRule type="cellIs" dxfId="3488" priority="531" operator="equal">
      <formula>"szf"</formula>
    </cfRule>
  </conditionalFormatting>
  <conditionalFormatting sqref="M100">
    <cfRule type="cellIs" dxfId="3487" priority="529" operator="equal">
      <formula>"+"</formula>
    </cfRule>
  </conditionalFormatting>
  <conditionalFormatting sqref="M100:M119">
    <cfRule type="cellIs" dxfId="3486" priority="527" operator="equal">
      <formula>"+"</formula>
    </cfRule>
    <cfRule type="cellIs" dxfId="3485" priority="528" operator="equal">
      <formula>"szf"</formula>
    </cfRule>
  </conditionalFormatting>
  <conditionalFormatting sqref="M100:M119">
    <cfRule type="cellIs" dxfId="3484" priority="523" operator="equal">
      <formula>"V"</formula>
    </cfRule>
    <cfRule type="cellIs" dxfId="3483" priority="524" operator="equal">
      <formula>"Szo"</formula>
    </cfRule>
    <cfRule type="cellIs" dxfId="3482" priority="525" operator="equal">
      <formula>"X"</formula>
    </cfRule>
    <cfRule type="cellIs" dxfId="3481" priority="526" operator="equal">
      <formula>"X"</formula>
    </cfRule>
  </conditionalFormatting>
  <conditionalFormatting sqref="T100">
    <cfRule type="cellIs" dxfId="3480" priority="521" operator="equal">
      <formula>"+"</formula>
    </cfRule>
    <cfRule type="cellIs" dxfId="3479" priority="522" operator="equal">
      <formula>"szf"</formula>
    </cfRule>
  </conditionalFormatting>
  <conditionalFormatting sqref="T100">
    <cfRule type="cellIs" dxfId="3478" priority="520" operator="equal">
      <formula>"+"</formula>
    </cfRule>
  </conditionalFormatting>
  <conditionalFormatting sqref="T100:T119">
    <cfRule type="cellIs" dxfId="3477" priority="518" operator="equal">
      <formula>"+"</formula>
    </cfRule>
    <cfRule type="cellIs" dxfId="3476" priority="519" operator="equal">
      <formula>"szf"</formula>
    </cfRule>
  </conditionalFormatting>
  <conditionalFormatting sqref="T100:T119">
    <cfRule type="cellIs" dxfId="3475" priority="514" operator="equal">
      <formula>"V"</formula>
    </cfRule>
    <cfRule type="cellIs" dxfId="3474" priority="515" operator="equal">
      <formula>"Szo"</formula>
    </cfRule>
    <cfRule type="cellIs" dxfId="3473" priority="516" operator="equal">
      <formula>"X"</formula>
    </cfRule>
    <cfRule type="cellIs" dxfId="3472" priority="517" operator="equal">
      <formula>"X"</formula>
    </cfRule>
  </conditionalFormatting>
  <conditionalFormatting sqref="U100">
    <cfRule type="cellIs" dxfId="3471" priority="512" operator="equal">
      <formula>"+"</formula>
    </cfRule>
    <cfRule type="cellIs" dxfId="3470" priority="513" operator="equal">
      <formula>"szf"</formula>
    </cfRule>
  </conditionalFormatting>
  <conditionalFormatting sqref="U100">
    <cfRule type="cellIs" dxfId="3469" priority="511" operator="equal">
      <formula>"+"</formula>
    </cfRule>
  </conditionalFormatting>
  <conditionalFormatting sqref="U100:U119">
    <cfRule type="cellIs" dxfId="3468" priority="509" operator="equal">
      <formula>"+"</formula>
    </cfRule>
    <cfRule type="cellIs" dxfId="3467" priority="510" operator="equal">
      <formula>"szf"</formula>
    </cfRule>
  </conditionalFormatting>
  <conditionalFormatting sqref="U100:U119">
    <cfRule type="cellIs" dxfId="3466" priority="505" operator="equal">
      <formula>"V"</formula>
    </cfRule>
    <cfRule type="cellIs" dxfId="3465" priority="506" operator="equal">
      <formula>"Szo"</formula>
    </cfRule>
    <cfRule type="cellIs" dxfId="3464" priority="507" operator="equal">
      <formula>"X"</formula>
    </cfRule>
    <cfRule type="cellIs" dxfId="3463" priority="508" operator="equal">
      <formula>"X"</formula>
    </cfRule>
  </conditionalFormatting>
  <conditionalFormatting sqref="AB100">
    <cfRule type="cellIs" dxfId="3462" priority="503" operator="equal">
      <formula>"+"</formula>
    </cfRule>
    <cfRule type="cellIs" dxfId="3461" priority="504" operator="equal">
      <formula>"szf"</formula>
    </cfRule>
  </conditionalFormatting>
  <conditionalFormatting sqref="AB100">
    <cfRule type="cellIs" dxfId="3460" priority="502" operator="equal">
      <formula>"+"</formula>
    </cfRule>
  </conditionalFormatting>
  <conditionalFormatting sqref="AB100:AB119">
    <cfRule type="cellIs" dxfId="3459" priority="500" operator="equal">
      <formula>"+"</formula>
    </cfRule>
    <cfRule type="cellIs" dxfId="3458" priority="501" operator="equal">
      <formula>"szf"</formula>
    </cfRule>
  </conditionalFormatting>
  <conditionalFormatting sqref="AB100:AB119">
    <cfRule type="cellIs" dxfId="3457" priority="496" operator="equal">
      <formula>"V"</formula>
    </cfRule>
    <cfRule type="cellIs" dxfId="3456" priority="497" operator="equal">
      <formula>"Szo"</formula>
    </cfRule>
    <cfRule type="cellIs" dxfId="3455" priority="498" operator="equal">
      <formula>"X"</formula>
    </cfRule>
    <cfRule type="cellIs" dxfId="3454" priority="499" operator="equal">
      <formula>"X"</formula>
    </cfRule>
  </conditionalFormatting>
  <conditionalFormatting sqref="AC100">
    <cfRule type="cellIs" dxfId="3453" priority="494" operator="equal">
      <formula>"+"</formula>
    </cfRule>
    <cfRule type="cellIs" dxfId="3452" priority="495" operator="equal">
      <formula>"szf"</formula>
    </cfRule>
  </conditionalFormatting>
  <conditionalFormatting sqref="AC100">
    <cfRule type="cellIs" dxfId="3451" priority="493" operator="equal">
      <formula>"+"</formula>
    </cfRule>
  </conditionalFormatting>
  <conditionalFormatting sqref="AC100:AC119">
    <cfRule type="cellIs" dxfId="3450" priority="491" operator="equal">
      <formula>"+"</formula>
    </cfRule>
    <cfRule type="cellIs" dxfId="3449" priority="492" operator="equal">
      <formula>"szf"</formula>
    </cfRule>
  </conditionalFormatting>
  <conditionalFormatting sqref="AC100:AC119">
    <cfRule type="cellIs" dxfId="3448" priority="487" operator="equal">
      <formula>"V"</formula>
    </cfRule>
    <cfRule type="cellIs" dxfId="3447" priority="488" operator="equal">
      <formula>"Szo"</formula>
    </cfRule>
    <cfRule type="cellIs" dxfId="3446" priority="489" operator="equal">
      <formula>"X"</formula>
    </cfRule>
    <cfRule type="cellIs" dxfId="3445" priority="490" operator="equal">
      <formula>"X"</formula>
    </cfRule>
  </conditionalFormatting>
  <conditionalFormatting sqref="E124">
    <cfRule type="cellIs" dxfId="3444" priority="485" operator="equal">
      <formula>"+"</formula>
    </cfRule>
    <cfRule type="cellIs" dxfId="3443" priority="486" operator="equal">
      <formula>"szf"</formula>
    </cfRule>
  </conditionalFormatting>
  <conditionalFormatting sqref="E124">
    <cfRule type="cellIs" dxfId="3442" priority="484" operator="equal">
      <formula>"+"</formula>
    </cfRule>
  </conditionalFormatting>
  <conditionalFormatting sqref="E124:E143">
    <cfRule type="cellIs" dxfId="3441" priority="482" operator="equal">
      <formula>"+"</formula>
    </cfRule>
    <cfRule type="cellIs" dxfId="3440" priority="483" operator="equal">
      <formula>"szf"</formula>
    </cfRule>
  </conditionalFormatting>
  <conditionalFormatting sqref="E124:E143">
    <cfRule type="cellIs" dxfId="3439" priority="478" operator="equal">
      <formula>"V"</formula>
    </cfRule>
    <cfRule type="cellIs" dxfId="3438" priority="479" operator="equal">
      <formula>"Szo"</formula>
    </cfRule>
    <cfRule type="cellIs" dxfId="3437" priority="480" operator="equal">
      <formula>"X"</formula>
    </cfRule>
    <cfRule type="cellIs" dxfId="3436" priority="481" operator="equal">
      <formula>"X"</formula>
    </cfRule>
  </conditionalFormatting>
  <conditionalFormatting sqref="F124">
    <cfRule type="cellIs" dxfId="3435" priority="476" operator="equal">
      <formula>"+"</formula>
    </cfRule>
    <cfRule type="cellIs" dxfId="3434" priority="477" operator="equal">
      <formula>"szf"</formula>
    </cfRule>
  </conditionalFormatting>
  <conditionalFormatting sqref="F124">
    <cfRule type="cellIs" dxfId="3433" priority="475" operator="equal">
      <formula>"+"</formula>
    </cfRule>
  </conditionalFormatting>
  <conditionalFormatting sqref="F124:F143">
    <cfRule type="cellIs" dxfId="3432" priority="473" operator="equal">
      <formula>"+"</formula>
    </cfRule>
    <cfRule type="cellIs" dxfId="3431" priority="474" operator="equal">
      <formula>"szf"</formula>
    </cfRule>
  </conditionalFormatting>
  <conditionalFormatting sqref="F124:F143">
    <cfRule type="cellIs" dxfId="3430" priority="469" operator="equal">
      <formula>"V"</formula>
    </cfRule>
    <cfRule type="cellIs" dxfId="3429" priority="470" operator="equal">
      <formula>"Szo"</formula>
    </cfRule>
    <cfRule type="cellIs" dxfId="3428" priority="471" operator="equal">
      <formula>"X"</formula>
    </cfRule>
    <cfRule type="cellIs" dxfId="3427" priority="472" operator="equal">
      <formula>"X"</formula>
    </cfRule>
  </conditionalFormatting>
  <conditionalFormatting sqref="M124">
    <cfRule type="cellIs" dxfId="3426" priority="467" operator="equal">
      <formula>"+"</formula>
    </cfRule>
    <cfRule type="cellIs" dxfId="3425" priority="468" operator="equal">
      <formula>"szf"</formula>
    </cfRule>
  </conditionalFormatting>
  <conditionalFormatting sqref="M124">
    <cfRule type="cellIs" dxfId="3424" priority="466" operator="equal">
      <formula>"+"</formula>
    </cfRule>
  </conditionalFormatting>
  <conditionalFormatting sqref="M124:M143">
    <cfRule type="cellIs" dxfId="3423" priority="464" operator="equal">
      <formula>"+"</formula>
    </cfRule>
    <cfRule type="cellIs" dxfId="3422" priority="465" operator="equal">
      <formula>"szf"</formula>
    </cfRule>
  </conditionalFormatting>
  <conditionalFormatting sqref="M124:M143">
    <cfRule type="cellIs" dxfId="3421" priority="460" operator="equal">
      <formula>"V"</formula>
    </cfRule>
    <cfRule type="cellIs" dxfId="3420" priority="461" operator="equal">
      <formula>"Szo"</formula>
    </cfRule>
    <cfRule type="cellIs" dxfId="3419" priority="462" operator="equal">
      <formula>"X"</formula>
    </cfRule>
    <cfRule type="cellIs" dxfId="3418" priority="463" operator="equal">
      <formula>"X"</formula>
    </cfRule>
  </conditionalFormatting>
  <conditionalFormatting sqref="N124">
    <cfRule type="cellIs" dxfId="3417" priority="458" operator="equal">
      <formula>"+"</formula>
    </cfRule>
    <cfRule type="cellIs" dxfId="3416" priority="459" operator="equal">
      <formula>"szf"</formula>
    </cfRule>
  </conditionalFormatting>
  <conditionalFormatting sqref="N124">
    <cfRule type="cellIs" dxfId="3415" priority="457" operator="equal">
      <formula>"+"</formula>
    </cfRule>
  </conditionalFormatting>
  <conditionalFormatting sqref="N124:N143">
    <cfRule type="cellIs" dxfId="3414" priority="455" operator="equal">
      <formula>"+"</formula>
    </cfRule>
    <cfRule type="cellIs" dxfId="3413" priority="456" operator="equal">
      <formula>"szf"</formula>
    </cfRule>
  </conditionalFormatting>
  <conditionalFormatting sqref="N124:N143">
    <cfRule type="cellIs" dxfId="3412" priority="451" operator="equal">
      <formula>"V"</formula>
    </cfRule>
    <cfRule type="cellIs" dxfId="3411" priority="452" operator="equal">
      <formula>"Szo"</formula>
    </cfRule>
    <cfRule type="cellIs" dxfId="3410" priority="453" operator="equal">
      <formula>"X"</formula>
    </cfRule>
    <cfRule type="cellIs" dxfId="3409" priority="454" operator="equal">
      <formula>"X"</formula>
    </cfRule>
  </conditionalFormatting>
  <conditionalFormatting sqref="U124">
    <cfRule type="cellIs" dxfId="3408" priority="449" operator="equal">
      <formula>"+"</formula>
    </cfRule>
    <cfRule type="cellIs" dxfId="3407" priority="450" operator="equal">
      <formula>"szf"</formula>
    </cfRule>
  </conditionalFormatting>
  <conditionalFormatting sqref="U124">
    <cfRule type="cellIs" dxfId="3406" priority="448" operator="equal">
      <formula>"+"</formula>
    </cfRule>
  </conditionalFormatting>
  <conditionalFormatting sqref="U124:U143">
    <cfRule type="cellIs" dxfId="3405" priority="446" operator="equal">
      <formula>"+"</formula>
    </cfRule>
    <cfRule type="cellIs" dxfId="3404" priority="447" operator="equal">
      <formula>"szf"</formula>
    </cfRule>
  </conditionalFormatting>
  <conditionalFormatting sqref="U124:U143">
    <cfRule type="cellIs" dxfId="3403" priority="442" operator="equal">
      <formula>"V"</formula>
    </cfRule>
    <cfRule type="cellIs" dxfId="3402" priority="443" operator="equal">
      <formula>"Szo"</formula>
    </cfRule>
    <cfRule type="cellIs" dxfId="3401" priority="444" operator="equal">
      <formula>"X"</formula>
    </cfRule>
    <cfRule type="cellIs" dxfId="3400" priority="445" operator="equal">
      <formula>"X"</formula>
    </cfRule>
  </conditionalFormatting>
  <conditionalFormatting sqref="V124">
    <cfRule type="cellIs" dxfId="3399" priority="440" operator="equal">
      <formula>"+"</formula>
    </cfRule>
    <cfRule type="cellIs" dxfId="3398" priority="441" operator="equal">
      <formula>"szf"</formula>
    </cfRule>
  </conditionalFormatting>
  <conditionalFormatting sqref="V124">
    <cfRule type="cellIs" dxfId="3397" priority="439" operator="equal">
      <formula>"+"</formula>
    </cfRule>
  </conditionalFormatting>
  <conditionalFormatting sqref="V124:V143">
    <cfRule type="cellIs" dxfId="3396" priority="437" operator="equal">
      <formula>"+"</formula>
    </cfRule>
    <cfRule type="cellIs" dxfId="3395" priority="438" operator="equal">
      <formula>"szf"</formula>
    </cfRule>
  </conditionalFormatting>
  <conditionalFormatting sqref="V124:V143">
    <cfRule type="cellIs" dxfId="3394" priority="433" operator="equal">
      <formula>"V"</formula>
    </cfRule>
    <cfRule type="cellIs" dxfId="3393" priority="434" operator="equal">
      <formula>"Szo"</formula>
    </cfRule>
    <cfRule type="cellIs" dxfId="3392" priority="435" operator="equal">
      <formula>"X"</formula>
    </cfRule>
    <cfRule type="cellIs" dxfId="3391" priority="436" operator="equal">
      <formula>"X"</formula>
    </cfRule>
  </conditionalFormatting>
  <conditionalFormatting sqref="AD124">
    <cfRule type="cellIs" dxfId="3390" priority="431" operator="equal">
      <formula>"+"</formula>
    </cfRule>
    <cfRule type="cellIs" dxfId="3389" priority="432" operator="equal">
      <formula>"szf"</formula>
    </cfRule>
  </conditionalFormatting>
  <conditionalFormatting sqref="AD124">
    <cfRule type="cellIs" dxfId="3388" priority="430" operator="equal">
      <formula>"+"</formula>
    </cfRule>
  </conditionalFormatting>
  <conditionalFormatting sqref="AD124:AD143">
    <cfRule type="cellIs" dxfId="3387" priority="428" operator="equal">
      <formula>"+"</formula>
    </cfRule>
    <cfRule type="cellIs" dxfId="3386" priority="429" operator="equal">
      <formula>"szf"</formula>
    </cfRule>
  </conditionalFormatting>
  <conditionalFormatting sqref="AD124:AD143">
    <cfRule type="cellIs" dxfId="3385" priority="424" operator="equal">
      <formula>"V"</formula>
    </cfRule>
    <cfRule type="cellIs" dxfId="3384" priority="425" operator="equal">
      <formula>"Szo"</formula>
    </cfRule>
    <cfRule type="cellIs" dxfId="3383" priority="426" operator="equal">
      <formula>"X"</formula>
    </cfRule>
    <cfRule type="cellIs" dxfId="3382" priority="427" operator="equal">
      <formula>"X"</formula>
    </cfRule>
  </conditionalFormatting>
  <conditionalFormatting sqref="AC124">
    <cfRule type="cellIs" dxfId="3381" priority="422" operator="equal">
      <formula>"+"</formula>
    </cfRule>
    <cfRule type="cellIs" dxfId="3380" priority="423" operator="equal">
      <formula>"szf"</formula>
    </cfRule>
  </conditionalFormatting>
  <conditionalFormatting sqref="AC124">
    <cfRule type="cellIs" dxfId="3379" priority="421" operator="equal">
      <formula>"+"</formula>
    </cfRule>
  </conditionalFormatting>
  <conditionalFormatting sqref="AC124:AC143">
    <cfRule type="cellIs" dxfId="3378" priority="419" operator="equal">
      <formula>"+"</formula>
    </cfRule>
    <cfRule type="cellIs" dxfId="3377" priority="420" operator="equal">
      <formula>"szf"</formula>
    </cfRule>
  </conditionalFormatting>
  <conditionalFormatting sqref="AC124:AC143">
    <cfRule type="cellIs" dxfId="3376" priority="415" operator="equal">
      <formula>"V"</formula>
    </cfRule>
    <cfRule type="cellIs" dxfId="3375" priority="416" operator="equal">
      <formula>"Szo"</formula>
    </cfRule>
    <cfRule type="cellIs" dxfId="3374" priority="417" operator="equal">
      <formula>"X"</formula>
    </cfRule>
    <cfRule type="cellIs" dxfId="3373" priority="418" operator="equal">
      <formula>"X"</formula>
    </cfRule>
  </conditionalFormatting>
  <conditionalFormatting sqref="G148">
    <cfRule type="cellIs" dxfId="3372" priority="413" operator="equal">
      <formula>"+"</formula>
    </cfRule>
    <cfRule type="cellIs" dxfId="3371" priority="414" operator="equal">
      <formula>"szf"</formula>
    </cfRule>
  </conditionalFormatting>
  <conditionalFormatting sqref="G148">
    <cfRule type="cellIs" dxfId="3370" priority="412" operator="equal">
      <formula>"+"</formula>
    </cfRule>
  </conditionalFormatting>
  <conditionalFormatting sqref="G148:G167">
    <cfRule type="cellIs" dxfId="3369" priority="410" operator="equal">
      <formula>"+"</formula>
    </cfRule>
    <cfRule type="cellIs" dxfId="3368" priority="411" operator="equal">
      <formula>"szf"</formula>
    </cfRule>
  </conditionalFormatting>
  <conditionalFormatting sqref="G148:G167">
    <cfRule type="cellIs" dxfId="3367" priority="406" operator="equal">
      <formula>"V"</formula>
    </cfRule>
    <cfRule type="cellIs" dxfId="3366" priority="407" operator="equal">
      <formula>"Szo"</formula>
    </cfRule>
    <cfRule type="cellIs" dxfId="3365" priority="408" operator="equal">
      <formula>"X"</formula>
    </cfRule>
    <cfRule type="cellIs" dxfId="3364" priority="409" operator="equal">
      <formula>"X"</formula>
    </cfRule>
  </conditionalFormatting>
  <conditionalFormatting sqref="H148">
    <cfRule type="cellIs" dxfId="3363" priority="404" operator="equal">
      <formula>"+"</formula>
    </cfRule>
    <cfRule type="cellIs" dxfId="3362" priority="405" operator="equal">
      <formula>"szf"</formula>
    </cfRule>
  </conditionalFormatting>
  <conditionalFormatting sqref="H148">
    <cfRule type="cellIs" dxfId="3361" priority="403" operator="equal">
      <formula>"+"</formula>
    </cfRule>
  </conditionalFormatting>
  <conditionalFormatting sqref="H148:H167">
    <cfRule type="cellIs" dxfId="3360" priority="401" operator="equal">
      <formula>"+"</formula>
    </cfRule>
    <cfRule type="cellIs" dxfId="3359" priority="402" operator="equal">
      <formula>"szf"</formula>
    </cfRule>
  </conditionalFormatting>
  <conditionalFormatting sqref="H148:H167">
    <cfRule type="cellIs" dxfId="3358" priority="397" operator="equal">
      <formula>"V"</formula>
    </cfRule>
    <cfRule type="cellIs" dxfId="3357" priority="398" operator="equal">
      <formula>"Szo"</formula>
    </cfRule>
    <cfRule type="cellIs" dxfId="3356" priority="399" operator="equal">
      <formula>"X"</formula>
    </cfRule>
    <cfRule type="cellIs" dxfId="3355" priority="400" operator="equal">
      <formula>"X"</formula>
    </cfRule>
  </conditionalFormatting>
  <conditionalFormatting sqref="O148">
    <cfRule type="cellIs" dxfId="3354" priority="395" operator="equal">
      <formula>"+"</formula>
    </cfRule>
    <cfRule type="cellIs" dxfId="3353" priority="396" operator="equal">
      <formula>"szf"</formula>
    </cfRule>
  </conditionalFormatting>
  <conditionalFormatting sqref="O148">
    <cfRule type="cellIs" dxfId="3352" priority="394" operator="equal">
      <formula>"+"</formula>
    </cfRule>
  </conditionalFormatting>
  <conditionalFormatting sqref="O148:O167">
    <cfRule type="cellIs" dxfId="3351" priority="392" operator="equal">
      <formula>"+"</formula>
    </cfRule>
    <cfRule type="cellIs" dxfId="3350" priority="393" operator="equal">
      <formula>"szf"</formula>
    </cfRule>
  </conditionalFormatting>
  <conditionalFormatting sqref="O148:O167">
    <cfRule type="cellIs" dxfId="3349" priority="388" operator="equal">
      <formula>"V"</formula>
    </cfRule>
    <cfRule type="cellIs" dxfId="3348" priority="389" operator="equal">
      <formula>"Szo"</formula>
    </cfRule>
    <cfRule type="cellIs" dxfId="3347" priority="390" operator="equal">
      <formula>"X"</formula>
    </cfRule>
    <cfRule type="cellIs" dxfId="3346" priority="391" operator="equal">
      <formula>"X"</formula>
    </cfRule>
  </conditionalFormatting>
  <conditionalFormatting sqref="P148">
    <cfRule type="cellIs" dxfId="3345" priority="386" operator="equal">
      <formula>"+"</formula>
    </cfRule>
    <cfRule type="cellIs" dxfId="3344" priority="387" operator="equal">
      <formula>"szf"</formula>
    </cfRule>
  </conditionalFormatting>
  <conditionalFormatting sqref="P148">
    <cfRule type="cellIs" dxfId="3343" priority="385" operator="equal">
      <formula>"+"</formula>
    </cfRule>
  </conditionalFormatting>
  <conditionalFormatting sqref="P148:P167">
    <cfRule type="cellIs" dxfId="3342" priority="383" operator="equal">
      <formula>"+"</formula>
    </cfRule>
    <cfRule type="cellIs" dxfId="3341" priority="384" operator="equal">
      <formula>"szf"</formula>
    </cfRule>
  </conditionalFormatting>
  <conditionalFormatting sqref="P148:P167">
    <cfRule type="cellIs" dxfId="3340" priority="379" operator="equal">
      <formula>"V"</formula>
    </cfRule>
    <cfRule type="cellIs" dxfId="3339" priority="380" operator="equal">
      <formula>"Szo"</formula>
    </cfRule>
    <cfRule type="cellIs" dxfId="3338" priority="381" operator="equal">
      <formula>"X"</formula>
    </cfRule>
    <cfRule type="cellIs" dxfId="3337" priority="382" operator="equal">
      <formula>"X"</formula>
    </cfRule>
  </conditionalFormatting>
  <conditionalFormatting sqref="W148">
    <cfRule type="cellIs" dxfId="3336" priority="377" operator="equal">
      <formula>"+"</formula>
    </cfRule>
    <cfRule type="cellIs" dxfId="3335" priority="378" operator="equal">
      <formula>"szf"</formula>
    </cfRule>
  </conditionalFormatting>
  <conditionalFormatting sqref="W148">
    <cfRule type="cellIs" dxfId="3334" priority="376" operator="equal">
      <formula>"+"</formula>
    </cfRule>
  </conditionalFormatting>
  <conditionalFormatting sqref="W148:W167">
    <cfRule type="cellIs" dxfId="3333" priority="374" operator="equal">
      <formula>"+"</formula>
    </cfRule>
    <cfRule type="cellIs" dxfId="3332" priority="375" operator="equal">
      <formula>"szf"</formula>
    </cfRule>
  </conditionalFormatting>
  <conditionalFormatting sqref="W148:W167">
    <cfRule type="cellIs" dxfId="3331" priority="370" operator="equal">
      <formula>"V"</formula>
    </cfRule>
    <cfRule type="cellIs" dxfId="3330" priority="371" operator="equal">
      <formula>"Szo"</formula>
    </cfRule>
    <cfRule type="cellIs" dxfId="3329" priority="372" operator="equal">
      <formula>"X"</formula>
    </cfRule>
    <cfRule type="cellIs" dxfId="3328" priority="373" operator="equal">
      <formula>"X"</formula>
    </cfRule>
  </conditionalFormatting>
  <conditionalFormatting sqref="X148">
    <cfRule type="cellIs" dxfId="3327" priority="368" operator="equal">
      <formula>"+"</formula>
    </cfRule>
    <cfRule type="cellIs" dxfId="3326" priority="369" operator="equal">
      <formula>"szf"</formula>
    </cfRule>
  </conditionalFormatting>
  <conditionalFormatting sqref="X148">
    <cfRule type="cellIs" dxfId="3325" priority="367" operator="equal">
      <formula>"+"</formula>
    </cfRule>
  </conditionalFormatting>
  <conditionalFormatting sqref="X148:X167">
    <cfRule type="cellIs" dxfId="3324" priority="365" operator="equal">
      <formula>"+"</formula>
    </cfRule>
    <cfRule type="cellIs" dxfId="3323" priority="366" operator="equal">
      <formula>"szf"</formula>
    </cfRule>
  </conditionalFormatting>
  <conditionalFormatting sqref="X148:X167">
    <cfRule type="cellIs" dxfId="3322" priority="361" operator="equal">
      <formula>"V"</formula>
    </cfRule>
    <cfRule type="cellIs" dxfId="3321" priority="362" operator="equal">
      <formula>"Szo"</formula>
    </cfRule>
    <cfRule type="cellIs" dxfId="3320" priority="363" operator="equal">
      <formula>"X"</formula>
    </cfRule>
    <cfRule type="cellIs" dxfId="3319" priority="364" operator="equal">
      <formula>"X"</formula>
    </cfRule>
  </conditionalFormatting>
  <conditionalFormatting sqref="AE148">
    <cfRule type="cellIs" dxfId="3318" priority="359" operator="equal">
      <formula>"+"</formula>
    </cfRule>
    <cfRule type="cellIs" dxfId="3317" priority="360" operator="equal">
      <formula>"szf"</formula>
    </cfRule>
  </conditionalFormatting>
  <conditionalFormatting sqref="AE148">
    <cfRule type="cellIs" dxfId="3316" priority="358" operator="equal">
      <formula>"+"</formula>
    </cfRule>
  </conditionalFormatting>
  <conditionalFormatting sqref="AE148:AE167">
    <cfRule type="cellIs" dxfId="3315" priority="356" operator="equal">
      <formula>"+"</formula>
    </cfRule>
    <cfRule type="cellIs" dxfId="3314" priority="357" operator="equal">
      <formula>"szf"</formula>
    </cfRule>
  </conditionalFormatting>
  <conditionalFormatting sqref="AE148:AE167">
    <cfRule type="cellIs" dxfId="3313" priority="352" operator="equal">
      <formula>"V"</formula>
    </cfRule>
    <cfRule type="cellIs" dxfId="3312" priority="353" operator="equal">
      <formula>"Szo"</formula>
    </cfRule>
    <cfRule type="cellIs" dxfId="3311" priority="354" operator="equal">
      <formula>"X"</formula>
    </cfRule>
    <cfRule type="cellIs" dxfId="3310" priority="355" operator="equal">
      <formula>"X"</formula>
    </cfRule>
  </conditionalFormatting>
  <conditionalFormatting sqref="AF148">
    <cfRule type="cellIs" dxfId="3309" priority="350" operator="equal">
      <formula>"+"</formula>
    </cfRule>
    <cfRule type="cellIs" dxfId="3308" priority="351" operator="equal">
      <formula>"szf"</formula>
    </cfRule>
  </conditionalFormatting>
  <conditionalFormatting sqref="AF148">
    <cfRule type="cellIs" dxfId="3307" priority="349" operator="equal">
      <formula>"+"</formula>
    </cfRule>
  </conditionalFormatting>
  <conditionalFormatting sqref="AF148:AF167">
    <cfRule type="cellIs" dxfId="3306" priority="347" operator="equal">
      <formula>"+"</formula>
    </cfRule>
    <cfRule type="cellIs" dxfId="3305" priority="348" operator="equal">
      <formula>"szf"</formula>
    </cfRule>
  </conditionalFormatting>
  <conditionalFormatting sqref="AF148:AF167">
    <cfRule type="cellIs" dxfId="3304" priority="343" operator="equal">
      <formula>"V"</formula>
    </cfRule>
    <cfRule type="cellIs" dxfId="3303" priority="344" operator="equal">
      <formula>"Szo"</formula>
    </cfRule>
    <cfRule type="cellIs" dxfId="3302" priority="345" operator="equal">
      <formula>"X"</formula>
    </cfRule>
    <cfRule type="cellIs" dxfId="3301" priority="346" operator="equal">
      <formula>"X"</formula>
    </cfRule>
  </conditionalFormatting>
  <conditionalFormatting sqref="H172">
    <cfRule type="cellIs" dxfId="3300" priority="341" operator="equal">
      <formula>"+"</formula>
    </cfRule>
    <cfRule type="cellIs" dxfId="3299" priority="342" operator="equal">
      <formula>"szf"</formula>
    </cfRule>
  </conditionalFormatting>
  <conditionalFormatting sqref="H172">
    <cfRule type="cellIs" dxfId="3298" priority="340" operator="equal">
      <formula>"+"</formula>
    </cfRule>
  </conditionalFormatting>
  <conditionalFormatting sqref="H172:H191">
    <cfRule type="cellIs" dxfId="3297" priority="338" operator="equal">
      <formula>"+"</formula>
    </cfRule>
    <cfRule type="cellIs" dxfId="3296" priority="339" operator="equal">
      <formula>"szf"</formula>
    </cfRule>
  </conditionalFormatting>
  <conditionalFormatting sqref="H172:H191">
    <cfRule type="cellIs" dxfId="3295" priority="334" operator="equal">
      <formula>"V"</formula>
    </cfRule>
    <cfRule type="cellIs" dxfId="3294" priority="335" operator="equal">
      <formula>"Szo"</formula>
    </cfRule>
    <cfRule type="cellIs" dxfId="3293" priority="336" operator="equal">
      <formula>"X"</formula>
    </cfRule>
    <cfRule type="cellIs" dxfId="3292" priority="337" operator="equal">
      <formula>"X"</formula>
    </cfRule>
  </conditionalFormatting>
  <conditionalFormatting sqref="I172">
    <cfRule type="cellIs" dxfId="3291" priority="332" operator="equal">
      <formula>"+"</formula>
    </cfRule>
    <cfRule type="cellIs" dxfId="3290" priority="333" operator="equal">
      <formula>"szf"</formula>
    </cfRule>
  </conditionalFormatting>
  <conditionalFormatting sqref="I172">
    <cfRule type="cellIs" dxfId="3289" priority="331" operator="equal">
      <formula>"+"</formula>
    </cfRule>
  </conditionalFormatting>
  <conditionalFormatting sqref="I172:I191">
    <cfRule type="cellIs" dxfId="3288" priority="329" operator="equal">
      <formula>"+"</formula>
    </cfRule>
    <cfRule type="cellIs" dxfId="3287" priority="330" operator="equal">
      <formula>"szf"</formula>
    </cfRule>
  </conditionalFormatting>
  <conditionalFormatting sqref="I172:I191">
    <cfRule type="cellIs" dxfId="3286" priority="325" operator="equal">
      <formula>"V"</formula>
    </cfRule>
    <cfRule type="cellIs" dxfId="3285" priority="326" operator="equal">
      <formula>"Szo"</formula>
    </cfRule>
    <cfRule type="cellIs" dxfId="3284" priority="327" operator="equal">
      <formula>"X"</formula>
    </cfRule>
    <cfRule type="cellIs" dxfId="3283" priority="328" operator="equal">
      <formula>"X"</formula>
    </cfRule>
  </conditionalFormatting>
  <conditionalFormatting sqref="P172">
    <cfRule type="cellIs" dxfId="3282" priority="323" operator="equal">
      <formula>"+"</formula>
    </cfRule>
    <cfRule type="cellIs" dxfId="3281" priority="324" operator="equal">
      <formula>"szf"</formula>
    </cfRule>
  </conditionalFormatting>
  <conditionalFormatting sqref="P172">
    <cfRule type="cellIs" dxfId="3280" priority="322" operator="equal">
      <formula>"+"</formula>
    </cfRule>
  </conditionalFormatting>
  <conditionalFormatting sqref="P172:P191">
    <cfRule type="cellIs" dxfId="3279" priority="320" operator="equal">
      <formula>"+"</formula>
    </cfRule>
    <cfRule type="cellIs" dxfId="3278" priority="321" operator="equal">
      <formula>"szf"</formula>
    </cfRule>
  </conditionalFormatting>
  <conditionalFormatting sqref="P172:P191">
    <cfRule type="cellIs" dxfId="3277" priority="316" operator="equal">
      <formula>"V"</formula>
    </cfRule>
    <cfRule type="cellIs" dxfId="3276" priority="317" operator="equal">
      <formula>"Szo"</formula>
    </cfRule>
    <cfRule type="cellIs" dxfId="3275" priority="318" operator="equal">
      <formula>"X"</formula>
    </cfRule>
    <cfRule type="cellIs" dxfId="3274" priority="319" operator="equal">
      <formula>"X"</formula>
    </cfRule>
  </conditionalFormatting>
  <conditionalFormatting sqref="Q172">
    <cfRule type="cellIs" dxfId="3273" priority="314" operator="equal">
      <formula>"+"</formula>
    </cfRule>
    <cfRule type="cellIs" dxfId="3272" priority="315" operator="equal">
      <formula>"szf"</formula>
    </cfRule>
  </conditionalFormatting>
  <conditionalFormatting sqref="Q172">
    <cfRule type="cellIs" dxfId="3271" priority="313" operator="equal">
      <formula>"+"</formula>
    </cfRule>
  </conditionalFormatting>
  <conditionalFormatting sqref="Q172:Q191">
    <cfRule type="cellIs" dxfId="3270" priority="311" operator="equal">
      <formula>"+"</formula>
    </cfRule>
    <cfRule type="cellIs" dxfId="3269" priority="312" operator="equal">
      <formula>"szf"</formula>
    </cfRule>
  </conditionalFormatting>
  <conditionalFormatting sqref="Q172:Q191">
    <cfRule type="cellIs" dxfId="3268" priority="307" operator="equal">
      <formula>"V"</formula>
    </cfRule>
    <cfRule type="cellIs" dxfId="3267" priority="308" operator="equal">
      <formula>"Szo"</formula>
    </cfRule>
    <cfRule type="cellIs" dxfId="3266" priority="309" operator="equal">
      <formula>"X"</formula>
    </cfRule>
    <cfRule type="cellIs" dxfId="3265" priority="310" operator="equal">
      <formula>"X"</formula>
    </cfRule>
  </conditionalFormatting>
  <conditionalFormatting sqref="X172">
    <cfRule type="cellIs" dxfId="3264" priority="305" operator="equal">
      <formula>"+"</formula>
    </cfRule>
    <cfRule type="cellIs" dxfId="3263" priority="306" operator="equal">
      <formula>"szf"</formula>
    </cfRule>
  </conditionalFormatting>
  <conditionalFormatting sqref="X172">
    <cfRule type="cellIs" dxfId="3262" priority="304" operator="equal">
      <formula>"+"</formula>
    </cfRule>
  </conditionalFormatting>
  <conditionalFormatting sqref="X172:X191">
    <cfRule type="cellIs" dxfId="3261" priority="302" operator="equal">
      <formula>"+"</formula>
    </cfRule>
    <cfRule type="cellIs" dxfId="3260" priority="303" operator="equal">
      <formula>"szf"</formula>
    </cfRule>
  </conditionalFormatting>
  <conditionalFormatting sqref="X172:X191">
    <cfRule type="cellIs" dxfId="3259" priority="298" operator="equal">
      <formula>"V"</formula>
    </cfRule>
    <cfRule type="cellIs" dxfId="3258" priority="299" operator="equal">
      <formula>"Szo"</formula>
    </cfRule>
    <cfRule type="cellIs" dxfId="3257" priority="300" operator="equal">
      <formula>"X"</formula>
    </cfRule>
    <cfRule type="cellIs" dxfId="3256" priority="301" operator="equal">
      <formula>"X"</formula>
    </cfRule>
  </conditionalFormatting>
  <conditionalFormatting sqref="Y172">
    <cfRule type="cellIs" dxfId="3255" priority="296" operator="equal">
      <formula>"+"</formula>
    </cfRule>
    <cfRule type="cellIs" dxfId="3254" priority="297" operator="equal">
      <formula>"szf"</formula>
    </cfRule>
  </conditionalFormatting>
  <conditionalFormatting sqref="Y172">
    <cfRule type="cellIs" dxfId="3253" priority="295" operator="equal">
      <formula>"+"</formula>
    </cfRule>
  </conditionalFormatting>
  <conditionalFormatting sqref="Y172:Y191">
    <cfRule type="cellIs" dxfId="3252" priority="293" operator="equal">
      <formula>"+"</formula>
    </cfRule>
    <cfRule type="cellIs" dxfId="3251" priority="294" operator="equal">
      <formula>"szf"</formula>
    </cfRule>
  </conditionalFormatting>
  <conditionalFormatting sqref="Y172:Y191">
    <cfRule type="cellIs" dxfId="3250" priority="289" operator="equal">
      <formula>"V"</formula>
    </cfRule>
    <cfRule type="cellIs" dxfId="3249" priority="290" operator="equal">
      <formula>"Szo"</formula>
    </cfRule>
    <cfRule type="cellIs" dxfId="3248" priority="291" operator="equal">
      <formula>"X"</formula>
    </cfRule>
    <cfRule type="cellIs" dxfId="3247" priority="292" operator="equal">
      <formula>"X"</formula>
    </cfRule>
  </conditionalFormatting>
  <conditionalFormatting sqref="AF172">
    <cfRule type="cellIs" dxfId="3246" priority="287" operator="equal">
      <formula>"+"</formula>
    </cfRule>
    <cfRule type="cellIs" dxfId="3245" priority="288" operator="equal">
      <formula>"szf"</formula>
    </cfRule>
  </conditionalFormatting>
  <conditionalFormatting sqref="AF172">
    <cfRule type="cellIs" dxfId="3244" priority="286" operator="equal">
      <formula>"+"</formula>
    </cfRule>
  </conditionalFormatting>
  <conditionalFormatting sqref="AF172:AF191">
    <cfRule type="cellIs" dxfId="3243" priority="284" operator="equal">
      <formula>"+"</formula>
    </cfRule>
    <cfRule type="cellIs" dxfId="3242" priority="285" operator="equal">
      <formula>"szf"</formula>
    </cfRule>
  </conditionalFormatting>
  <conditionalFormatting sqref="AF172:AF191">
    <cfRule type="cellIs" dxfId="3241" priority="280" operator="equal">
      <formula>"V"</formula>
    </cfRule>
    <cfRule type="cellIs" dxfId="3240" priority="281" operator="equal">
      <formula>"Szo"</formula>
    </cfRule>
    <cfRule type="cellIs" dxfId="3239" priority="282" operator="equal">
      <formula>"X"</formula>
    </cfRule>
    <cfRule type="cellIs" dxfId="3238" priority="283" operator="equal">
      <formula>"X"</formula>
    </cfRule>
  </conditionalFormatting>
  <conditionalFormatting sqref="B196">
    <cfRule type="cellIs" dxfId="3237" priority="278" operator="equal">
      <formula>"+"</formula>
    </cfRule>
    <cfRule type="cellIs" dxfId="3236" priority="279" operator="equal">
      <formula>"szf"</formula>
    </cfRule>
  </conditionalFormatting>
  <conditionalFormatting sqref="B196">
    <cfRule type="cellIs" dxfId="3235" priority="277" operator="equal">
      <formula>"+"</formula>
    </cfRule>
  </conditionalFormatting>
  <conditionalFormatting sqref="B196:B215">
    <cfRule type="cellIs" dxfId="3234" priority="275" operator="equal">
      <formula>"+"</formula>
    </cfRule>
    <cfRule type="cellIs" dxfId="3233" priority="276" operator="equal">
      <formula>"szf"</formula>
    </cfRule>
  </conditionalFormatting>
  <conditionalFormatting sqref="B196:B215">
    <cfRule type="cellIs" dxfId="3232" priority="271" operator="equal">
      <formula>"V"</formula>
    </cfRule>
    <cfRule type="cellIs" dxfId="3231" priority="272" operator="equal">
      <formula>"Szo"</formula>
    </cfRule>
    <cfRule type="cellIs" dxfId="3230" priority="273" operator="equal">
      <formula>"X"</formula>
    </cfRule>
    <cfRule type="cellIs" dxfId="3229" priority="274" operator="equal">
      <formula>"X"</formula>
    </cfRule>
  </conditionalFormatting>
  <conditionalFormatting sqref="I196">
    <cfRule type="cellIs" dxfId="3228" priority="269" operator="equal">
      <formula>"+"</formula>
    </cfRule>
    <cfRule type="cellIs" dxfId="3227" priority="270" operator="equal">
      <formula>"szf"</formula>
    </cfRule>
  </conditionalFormatting>
  <conditionalFormatting sqref="I196">
    <cfRule type="cellIs" dxfId="3226" priority="268" operator="equal">
      <formula>"+"</formula>
    </cfRule>
  </conditionalFormatting>
  <conditionalFormatting sqref="I196:I215">
    <cfRule type="cellIs" dxfId="3225" priority="266" operator="equal">
      <formula>"+"</formula>
    </cfRule>
    <cfRule type="cellIs" dxfId="3224" priority="267" operator="equal">
      <formula>"szf"</formula>
    </cfRule>
  </conditionalFormatting>
  <conditionalFormatting sqref="I196:I215">
    <cfRule type="cellIs" dxfId="3223" priority="262" operator="equal">
      <formula>"V"</formula>
    </cfRule>
    <cfRule type="cellIs" dxfId="3222" priority="263" operator="equal">
      <formula>"Szo"</formula>
    </cfRule>
    <cfRule type="cellIs" dxfId="3221" priority="264" operator="equal">
      <formula>"X"</formula>
    </cfRule>
    <cfRule type="cellIs" dxfId="3220" priority="265" operator="equal">
      <formula>"X"</formula>
    </cfRule>
  </conditionalFormatting>
  <conditionalFormatting sqref="J196">
    <cfRule type="cellIs" dxfId="3219" priority="260" operator="equal">
      <formula>"+"</formula>
    </cfRule>
    <cfRule type="cellIs" dxfId="3218" priority="261" operator="equal">
      <formula>"szf"</formula>
    </cfRule>
  </conditionalFormatting>
  <conditionalFormatting sqref="J196">
    <cfRule type="cellIs" dxfId="3217" priority="259" operator="equal">
      <formula>"+"</formula>
    </cfRule>
  </conditionalFormatting>
  <conditionalFormatting sqref="J196:J215">
    <cfRule type="cellIs" dxfId="3216" priority="257" operator="equal">
      <formula>"+"</formula>
    </cfRule>
    <cfRule type="cellIs" dxfId="3215" priority="258" operator="equal">
      <formula>"szf"</formula>
    </cfRule>
  </conditionalFormatting>
  <conditionalFormatting sqref="J196:J215">
    <cfRule type="cellIs" dxfId="3214" priority="253" operator="equal">
      <formula>"V"</formula>
    </cfRule>
    <cfRule type="cellIs" dxfId="3213" priority="254" operator="equal">
      <formula>"Szo"</formula>
    </cfRule>
    <cfRule type="cellIs" dxfId="3212" priority="255" operator="equal">
      <formula>"X"</formula>
    </cfRule>
    <cfRule type="cellIs" dxfId="3211" priority="256" operator="equal">
      <formula>"X"</formula>
    </cfRule>
  </conditionalFormatting>
  <conditionalFormatting sqref="Q196">
    <cfRule type="cellIs" dxfId="3210" priority="251" operator="equal">
      <formula>"+"</formula>
    </cfRule>
    <cfRule type="cellIs" dxfId="3209" priority="252" operator="equal">
      <formula>"szf"</formula>
    </cfRule>
  </conditionalFormatting>
  <conditionalFormatting sqref="Q196">
    <cfRule type="cellIs" dxfId="3208" priority="250" operator="equal">
      <formula>"+"</formula>
    </cfRule>
  </conditionalFormatting>
  <conditionalFormatting sqref="Q196:Q215">
    <cfRule type="cellIs" dxfId="3207" priority="248" operator="equal">
      <formula>"+"</formula>
    </cfRule>
    <cfRule type="cellIs" dxfId="3206" priority="249" operator="equal">
      <formula>"szf"</formula>
    </cfRule>
  </conditionalFormatting>
  <conditionalFormatting sqref="Q196:Q215">
    <cfRule type="cellIs" dxfId="3205" priority="244" operator="equal">
      <formula>"V"</formula>
    </cfRule>
    <cfRule type="cellIs" dxfId="3204" priority="245" operator="equal">
      <formula>"Szo"</formula>
    </cfRule>
    <cfRule type="cellIs" dxfId="3203" priority="246" operator="equal">
      <formula>"X"</formula>
    </cfRule>
    <cfRule type="cellIs" dxfId="3202" priority="247" operator="equal">
      <formula>"X"</formula>
    </cfRule>
  </conditionalFormatting>
  <conditionalFormatting sqref="R196">
    <cfRule type="cellIs" dxfId="3201" priority="242" operator="equal">
      <formula>"+"</formula>
    </cfRule>
    <cfRule type="cellIs" dxfId="3200" priority="243" operator="equal">
      <formula>"szf"</formula>
    </cfRule>
  </conditionalFormatting>
  <conditionalFormatting sqref="R196">
    <cfRule type="cellIs" dxfId="3199" priority="241" operator="equal">
      <formula>"+"</formula>
    </cfRule>
  </conditionalFormatting>
  <conditionalFormatting sqref="R196:R215">
    <cfRule type="cellIs" dxfId="3198" priority="239" operator="equal">
      <formula>"+"</formula>
    </cfRule>
    <cfRule type="cellIs" dxfId="3197" priority="240" operator="equal">
      <formula>"szf"</formula>
    </cfRule>
  </conditionalFormatting>
  <conditionalFormatting sqref="R196:R215">
    <cfRule type="cellIs" dxfId="3196" priority="235" operator="equal">
      <formula>"V"</formula>
    </cfRule>
    <cfRule type="cellIs" dxfId="3195" priority="236" operator="equal">
      <formula>"Szo"</formula>
    </cfRule>
    <cfRule type="cellIs" dxfId="3194" priority="237" operator="equal">
      <formula>"X"</formula>
    </cfRule>
    <cfRule type="cellIs" dxfId="3193" priority="238" operator="equal">
      <formula>"X"</formula>
    </cfRule>
  </conditionalFormatting>
  <conditionalFormatting sqref="Y196">
    <cfRule type="cellIs" dxfId="3192" priority="233" operator="equal">
      <formula>"+"</formula>
    </cfRule>
    <cfRule type="cellIs" dxfId="3191" priority="234" operator="equal">
      <formula>"szf"</formula>
    </cfRule>
  </conditionalFormatting>
  <conditionalFormatting sqref="Y196">
    <cfRule type="cellIs" dxfId="3190" priority="232" operator="equal">
      <formula>"+"</formula>
    </cfRule>
  </conditionalFormatting>
  <conditionalFormatting sqref="Y196:Y215">
    <cfRule type="cellIs" dxfId="3189" priority="230" operator="equal">
      <formula>"+"</formula>
    </cfRule>
    <cfRule type="cellIs" dxfId="3188" priority="231" operator="equal">
      <formula>"szf"</formula>
    </cfRule>
  </conditionalFormatting>
  <conditionalFormatting sqref="Y196:Y215">
    <cfRule type="cellIs" dxfId="3187" priority="226" operator="equal">
      <formula>"V"</formula>
    </cfRule>
    <cfRule type="cellIs" dxfId="3186" priority="227" operator="equal">
      <formula>"Szo"</formula>
    </cfRule>
    <cfRule type="cellIs" dxfId="3185" priority="228" operator="equal">
      <formula>"X"</formula>
    </cfRule>
    <cfRule type="cellIs" dxfId="3184" priority="229" operator="equal">
      <formula>"X"</formula>
    </cfRule>
  </conditionalFormatting>
  <conditionalFormatting sqref="Z196">
    <cfRule type="cellIs" dxfId="3183" priority="224" operator="equal">
      <formula>"+"</formula>
    </cfRule>
    <cfRule type="cellIs" dxfId="3182" priority="225" operator="equal">
      <formula>"szf"</formula>
    </cfRule>
  </conditionalFormatting>
  <conditionalFormatting sqref="Z196">
    <cfRule type="cellIs" dxfId="3181" priority="223" operator="equal">
      <formula>"+"</formula>
    </cfRule>
  </conditionalFormatting>
  <conditionalFormatting sqref="Z196:Z215">
    <cfRule type="cellIs" dxfId="3180" priority="221" operator="equal">
      <formula>"+"</formula>
    </cfRule>
    <cfRule type="cellIs" dxfId="3179" priority="222" operator="equal">
      <formula>"szf"</formula>
    </cfRule>
  </conditionalFormatting>
  <conditionalFormatting sqref="Z196:Z215">
    <cfRule type="cellIs" dxfId="3178" priority="217" operator="equal">
      <formula>"V"</formula>
    </cfRule>
    <cfRule type="cellIs" dxfId="3177" priority="218" operator="equal">
      <formula>"Szo"</formula>
    </cfRule>
    <cfRule type="cellIs" dxfId="3176" priority="219" operator="equal">
      <formula>"X"</formula>
    </cfRule>
    <cfRule type="cellIs" dxfId="3175" priority="220" operator="equal">
      <formula>"X"</formula>
    </cfRule>
  </conditionalFormatting>
  <conditionalFormatting sqref="C220">
    <cfRule type="cellIs" dxfId="3174" priority="215" operator="equal">
      <formula>"+"</formula>
    </cfRule>
    <cfRule type="cellIs" dxfId="3173" priority="216" operator="equal">
      <formula>"szf"</formula>
    </cfRule>
  </conditionalFormatting>
  <conditionalFormatting sqref="C220">
    <cfRule type="cellIs" dxfId="3172" priority="214" operator="equal">
      <formula>"+"</formula>
    </cfRule>
  </conditionalFormatting>
  <conditionalFormatting sqref="C220:C239">
    <cfRule type="cellIs" dxfId="3171" priority="212" operator="equal">
      <formula>"+"</formula>
    </cfRule>
    <cfRule type="cellIs" dxfId="3170" priority="213" operator="equal">
      <formula>"szf"</formula>
    </cfRule>
  </conditionalFormatting>
  <conditionalFormatting sqref="C220:C239">
    <cfRule type="cellIs" dxfId="3169" priority="208" operator="equal">
      <formula>"V"</formula>
    </cfRule>
    <cfRule type="cellIs" dxfId="3168" priority="209" operator="equal">
      <formula>"Szo"</formula>
    </cfRule>
    <cfRule type="cellIs" dxfId="3167" priority="210" operator="equal">
      <formula>"X"</formula>
    </cfRule>
    <cfRule type="cellIs" dxfId="3166" priority="211" operator="equal">
      <formula>"X"</formula>
    </cfRule>
  </conditionalFormatting>
  <conditionalFormatting sqref="D220">
    <cfRule type="cellIs" dxfId="3165" priority="206" operator="equal">
      <formula>"+"</formula>
    </cfRule>
    <cfRule type="cellIs" dxfId="3164" priority="207" operator="equal">
      <formula>"szf"</formula>
    </cfRule>
  </conditionalFormatting>
  <conditionalFormatting sqref="D220">
    <cfRule type="cellIs" dxfId="3163" priority="205" operator="equal">
      <formula>"+"</formula>
    </cfRule>
  </conditionalFormatting>
  <conditionalFormatting sqref="D220:D239">
    <cfRule type="cellIs" dxfId="3162" priority="203" operator="equal">
      <formula>"+"</formula>
    </cfRule>
    <cfRule type="cellIs" dxfId="3161" priority="204" operator="equal">
      <formula>"szf"</formula>
    </cfRule>
  </conditionalFormatting>
  <conditionalFormatting sqref="D220:D239">
    <cfRule type="cellIs" dxfId="3160" priority="199" operator="equal">
      <formula>"V"</formula>
    </cfRule>
    <cfRule type="cellIs" dxfId="3159" priority="200" operator="equal">
      <formula>"Szo"</formula>
    </cfRule>
    <cfRule type="cellIs" dxfId="3158" priority="201" operator="equal">
      <formula>"X"</formula>
    </cfRule>
    <cfRule type="cellIs" dxfId="3157" priority="202" operator="equal">
      <formula>"X"</formula>
    </cfRule>
  </conditionalFormatting>
  <conditionalFormatting sqref="L220">
    <cfRule type="cellIs" dxfId="3156" priority="197" operator="equal">
      <formula>"+"</formula>
    </cfRule>
    <cfRule type="cellIs" dxfId="3155" priority="198" operator="equal">
      <formula>"szf"</formula>
    </cfRule>
  </conditionalFormatting>
  <conditionalFormatting sqref="L220">
    <cfRule type="cellIs" dxfId="3154" priority="196" operator="equal">
      <formula>"+"</formula>
    </cfRule>
  </conditionalFormatting>
  <conditionalFormatting sqref="L220:L239">
    <cfRule type="cellIs" dxfId="3153" priority="194" operator="equal">
      <formula>"+"</formula>
    </cfRule>
    <cfRule type="cellIs" dxfId="3152" priority="195" operator="equal">
      <formula>"szf"</formula>
    </cfRule>
  </conditionalFormatting>
  <conditionalFormatting sqref="L220:L239">
    <cfRule type="cellIs" dxfId="3151" priority="190" operator="equal">
      <formula>"V"</formula>
    </cfRule>
    <cfRule type="cellIs" dxfId="3150" priority="191" operator="equal">
      <formula>"Szo"</formula>
    </cfRule>
    <cfRule type="cellIs" dxfId="3149" priority="192" operator="equal">
      <formula>"X"</formula>
    </cfRule>
    <cfRule type="cellIs" dxfId="3148" priority="193" operator="equal">
      <formula>"X"</formula>
    </cfRule>
  </conditionalFormatting>
  <conditionalFormatting sqref="K220">
    <cfRule type="cellIs" dxfId="3147" priority="188" operator="equal">
      <formula>"+"</formula>
    </cfRule>
    <cfRule type="cellIs" dxfId="3146" priority="189" operator="equal">
      <formula>"szf"</formula>
    </cfRule>
  </conditionalFormatting>
  <conditionalFormatting sqref="K220">
    <cfRule type="cellIs" dxfId="3145" priority="187" operator="equal">
      <formula>"+"</formula>
    </cfRule>
  </conditionalFormatting>
  <conditionalFormatting sqref="K220:K239">
    <cfRule type="cellIs" dxfId="3144" priority="185" operator="equal">
      <formula>"+"</formula>
    </cfRule>
    <cfRule type="cellIs" dxfId="3143" priority="186" operator="equal">
      <formula>"szf"</formula>
    </cfRule>
  </conditionalFormatting>
  <conditionalFormatting sqref="K220:K239">
    <cfRule type="cellIs" dxfId="3142" priority="181" operator="equal">
      <formula>"V"</formula>
    </cfRule>
    <cfRule type="cellIs" dxfId="3141" priority="182" operator="equal">
      <formula>"Szo"</formula>
    </cfRule>
    <cfRule type="cellIs" dxfId="3140" priority="183" operator="equal">
      <formula>"X"</formula>
    </cfRule>
    <cfRule type="cellIs" dxfId="3139" priority="184" operator="equal">
      <formula>"X"</formula>
    </cfRule>
  </conditionalFormatting>
  <conditionalFormatting sqref="S220">
    <cfRule type="cellIs" dxfId="3138" priority="179" operator="equal">
      <formula>"+"</formula>
    </cfRule>
    <cfRule type="cellIs" dxfId="3137" priority="180" operator="equal">
      <formula>"szf"</formula>
    </cfRule>
  </conditionalFormatting>
  <conditionalFormatting sqref="S220">
    <cfRule type="cellIs" dxfId="3136" priority="178" operator="equal">
      <formula>"+"</formula>
    </cfRule>
  </conditionalFormatting>
  <conditionalFormatting sqref="S220:S239">
    <cfRule type="cellIs" dxfId="3135" priority="176" operator="equal">
      <formula>"+"</formula>
    </cfRule>
    <cfRule type="cellIs" dxfId="3134" priority="177" operator="equal">
      <formula>"szf"</formula>
    </cfRule>
  </conditionalFormatting>
  <conditionalFormatting sqref="S220:S239">
    <cfRule type="cellIs" dxfId="3133" priority="172" operator="equal">
      <formula>"V"</formula>
    </cfRule>
    <cfRule type="cellIs" dxfId="3132" priority="173" operator="equal">
      <formula>"Szo"</formula>
    </cfRule>
    <cfRule type="cellIs" dxfId="3131" priority="174" operator="equal">
      <formula>"X"</formula>
    </cfRule>
    <cfRule type="cellIs" dxfId="3130" priority="175" operator="equal">
      <formula>"X"</formula>
    </cfRule>
  </conditionalFormatting>
  <conditionalFormatting sqref="T220">
    <cfRule type="cellIs" dxfId="3129" priority="170" operator="equal">
      <formula>"+"</formula>
    </cfRule>
    <cfRule type="cellIs" dxfId="3128" priority="171" operator="equal">
      <formula>"szf"</formula>
    </cfRule>
  </conditionalFormatting>
  <conditionalFormatting sqref="T220">
    <cfRule type="cellIs" dxfId="3127" priority="169" operator="equal">
      <formula>"+"</formula>
    </cfRule>
  </conditionalFormatting>
  <conditionalFormatting sqref="T220:T239">
    <cfRule type="cellIs" dxfId="3126" priority="167" operator="equal">
      <formula>"+"</formula>
    </cfRule>
    <cfRule type="cellIs" dxfId="3125" priority="168" operator="equal">
      <formula>"szf"</formula>
    </cfRule>
  </conditionalFormatting>
  <conditionalFormatting sqref="T220:T239">
    <cfRule type="cellIs" dxfId="3124" priority="163" operator="equal">
      <formula>"V"</formula>
    </cfRule>
    <cfRule type="cellIs" dxfId="3123" priority="164" operator="equal">
      <formula>"Szo"</formula>
    </cfRule>
    <cfRule type="cellIs" dxfId="3122" priority="165" operator="equal">
      <formula>"X"</formula>
    </cfRule>
    <cfRule type="cellIs" dxfId="3121" priority="166" operator="equal">
      <formula>"X"</formula>
    </cfRule>
  </conditionalFormatting>
  <conditionalFormatting sqref="AA220">
    <cfRule type="cellIs" dxfId="3120" priority="161" operator="equal">
      <formula>"+"</formula>
    </cfRule>
    <cfRule type="cellIs" dxfId="3119" priority="162" operator="equal">
      <formula>"szf"</formula>
    </cfRule>
  </conditionalFormatting>
  <conditionalFormatting sqref="AA220">
    <cfRule type="cellIs" dxfId="3118" priority="160" operator="equal">
      <formula>"+"</formula>
    </cfRule>
  </conditionalFormatting>
  <conditionalFormatting sqref="AA220:AA239">
    <cfRule type="cellIs" dxfId="3117" priority="158" operator="equal">
      <formula>"+"</formula>
    </cfRule>
    <cfRule type="cellIs" dxfId="3116" priority="159" operator="equal">
      <formula>"szf"</formula>
    </cfRule>
  </conditionalFormatting>
  <conditionalFormatting sqref="AA220:AA239">
    <cfRule type="cellIs" dxfId="3115" priority="154" operator="equal">
      <formula>"V"</formula>
    </cfRule>
    <cfRule type="cellIs" dxfId="3114" priority="155" operator="equal">
      <formula>"Szo"</formula>
    </cfRule>
    <cfRule type="cellIs" dxfId="3113" priority="156" operator="equal">
      <formula>"X"</formula>
    </cfRule>
    <cfRule type="cellIs" dxfId="3112" priority="157" operator="equal">
      <formula>"X"</formula>
    </cfRule>
  </conditionalFormatting>
  <conditionalFormatting sqref="AB220">
    <cfRule type="cellIs" dxfId="3111" priority="152" operator="equal">
      <formula>"+"</formula>
    </cfRule>
    <cfRule type="cellIs" dxfId="3110" priority="153" operator="equal">
      <formula>"szf"</formula>
    </cfRule>
  </conditionalFormatting>
  <conditionalFormatting sqref="AB220">
    <cfRule type="cellIs" dxfId="3109" priority="151" operator="equal">
      <formula>"+"</formula>
    </cfRule>
  </conditionalFormatting>
  <conditionalFormatting sqref="AB220:AB239">
    <cfRule type="cellIs" dxfId="3108" priority="149" operator="equal">
      <formula>"+"</formula>
    </cfRule>
    <cfRule type="cellIs" dxfId="3107" priority="150" operator="equal">
      <formula>"szf"</formula>
    </cfRule>
  </conditionalFormatting>
  <conditionalFormatting sqref="AB220:AB239">
    <cfRule type="cellIs" dxfId="3106" priority="145" operator="equal">
      <formula>"V"</formula>
    </cfRule>
    <cfRule type="cellIs" dxfId="3105" priority="146" operator="equal">
      <formula>"Szo"</formula>
    </cfRule>
    <cfRule type="cellIs" dxfId="3104" priority="147" operator="equal">
      <formula>"X"</formula>
    </cfRule>
    <cfRule type="cellIs" dxfId="3103" priority="148" operator="equal">
      <formula>"X"</formula>
    </cfRule>
  </conditionalFormatting>
  <conditionalFormatting sqref="D244">
    <cfRule type="cellIs" dxfId="3102" priority="143" operator="equal">
      <formula>"+"</formula>
    </cfRule>
    <cfRule type="cellIs" dxfId="3101" priority="144" operator="equal">
      <formula>"szf"</formula>
    </cfRule>
  </conditionalFormatting>
  <conditionalFormatting sqref="D244">
    <cfRule type="cellIs" dxfId="3100" priority="142" operator="equal">
      <formula>"+"</formula>
    </cfRule>
  </conditionalFormatting>
  <conditionalFormatting sqref="D244:D263">
    <cfRule type="cellIs" dxfId="3099" priority="140" operator="equal">
      <formula>"+"</formula>
    </cfRule>
    <cfRule type="cellIs" dxfId="3098" priority="141" operator="equal">
      <formula>"szf"</formula>
    </cfRule>
  </conditionalFormatting>
  <conditionalFormatting sqref="D244:D263">
    <cfRule type="cellIs" dxfId="3097" priority="136" operator="equal">
      <formula>"V"</formula>
    </cfRule>
    <cfRule type="cellIs" dxfId="3096" priority="137" operator="equal">
      <formula>"Szo"</formula>
    </cfRule>
    <cfRule type="cellIs" dxfId="3095" priority="138" operator="equal">
      <formula>"X"</formula>
    </cfRule>
    <cfRule type="cellIs" dxfId="3094" priority="139" operator="equal">
      <formula>"X"</formula>
    </cfRule>
  </conditionalFormatting>
  <conditionalFormatting sqref="E244">
    <cfRule type="cellIs" dxfId="3093" priority="134" operator="equal">
      <formula>"+"</formula>
    </cfRule>
    <cfRule type="cellIs" dxfId="3092" priority="135" operator="equal">
      <formula>"szf"</formula>
    </cfRule>
  </conditionalFormatting>
  <conditionalFormatting sqref="E244">
    <cfRule type="cellIs" dxfId="3091" priority="133" operator="equal">
      <formula>"+"</formula>
    </cfRule>
  </conditionalFormatting>
  <conditionalFormatting sqref="E244:E263">
    <cfRule type="cellIs" dxfId="3090" priority="131" operator="equal">
      <formula>"+"</formula>
    </cfRule>
    <cfRule type="cellIs" dxfId="3089" priority="132" operator="equal">
      <formula>"szf"</formula>
    </cfRule>
  </conditionalFormatting>
  <conditionalFormatting sqref="E244:E263">
    <cfRule type="cellIs" dxfId="3088" priority="127" operator="equal">
      <formula>"V"</formula>
    </cfRule>
    <cfRule type="cellIs" dxfId="3087" priority="128" operator="equal">
      <formula>"Szo"</formula>
    </cfRule>
    <cfRule type="cellIs" dxfId="3086" priority="129" operator="equal">
      <formula>"X"</formula>
    </cfRule>
    <cfRule type="cellIs" dxfId="3085" priority="130" operator="equal">
      <formula>"X"</formula>
    </cfRule>
  </conditionalFormatting>
  <conditionalFormatting sqref="M244">
    <cfRule type="cellIs" dxfId="3084" priority="125" operator="equal">
      <formula>"+"</formula>
    </cfRule>
    <cfRule type="cellIs" dxfId="3083" priority="126" operator="equal">
      <formula>"szf"</formula>
    </cfRule>
  </conditionalFormatting>
  <conditionalFormatting sqref="M244">
    <cfRule type="cellIs" dxfId="3082" priority="124" operator="equal">
      <formula>"+"</formula>
    </cfRule>
  </conditionalFormatting>
  <conditionalFormatting sqref="M244:M263">
    <cfRule type="cellIs" dxfId="3081" priority="122" operator="equal">
      <formula>"+"</formula>
    </cfRule>
    <cfRule type="cellIs" dxfId="3080" priority="123" operator="equal">
      <formula>"szf"</formula>
    </cfRule>
  </conditionalFormatting>
  <conditionalFormatting sqref="M244:M263">
    <cfRule type="cellIs" dxfId="3079" priority="118" operator="equal">
      <formula>"V"</formula>
    </cfRule>
    <cfRule type="cellIs" dxfId="3078" priority="119" operator="equal">
      <formula>"Szo"</formula>
    </cfRule>
    <cfRule type="cellIs" dxfId="3077" priority="120" operator="equal">
      <formula>"X"</formula>
    </cfRule>
    <cfRule type="cellIs" dxfId="3076" priority="121" operator="equal">
      <formula>"X"</formula>
    </cfRule>
  </conditionalFormatting>
  <conditionalFormatting sqref="L244">
    <cfRule type="cellIs" dxfId="3075" priority="116" operator="equal">
      <formula>"+"</formula>
    </cfRule>
    <cfRule type="cellIs" dxfId="3074" priority="117" operator="equal">
      <formula>"szf"</formula>
    </cfRule>
  </conditionalFormatting>
  <conditionalFormatting sqref="L244">
    <cfRule type="cellIs" dxfId="3073" priority="115" operator="equal">
      <formula>"+"</formula>
    </cfRule>
  </conditionalFormatting>
  <conditionalFormatting sqref="L244:L263">
    <cfRule type="cellIs" dxfId="3072" priority="113" operator="equal">
      <formula>"+"</formula>
    </cfRule>
    <cfRule type="cellIs" dxfId="3071" priority="114" operator="equal">
      <formula>"szf"</formula>
    </cfRule>
  </conditionalFormatting>
  <conditionalFormatting sqref="L244:L263">
    <cfRule type="cellIs" dxfId="3070" priority="109" operator="equal">
      <formula>"V"</formula>
    </cfRule>
    <cfRule type="cellIs" dxfId="3069" priority="110" operator="equal">
      <formula>"Szo"</formula>
    </cfRule>
    <cfRule type="cellIs" dxfId="3068" priority="111" operator="equal">
      <formula>"X"</formula>
    </cfRule>
    <cfRule type="cellIs" dxfId="3067" priority="112" operator="equal">
      <formula>"X"</formula>
    </cfRule>
  </conditionalFormatting>
  <conditionalFormatting sqref="T244">
    <cfRule type="cellIs" dxfId="3066" priority="107" operator="equal">
      <formula>"+"</formula>
    </cfRule>
    <cfRule type="cellIs" dxfId="3065" priority="108" operator="equal">
      <formula>"szf"</formula>
    </cfRule>
  </conditionalFormatting>
  <conditionalFormatting sqref="T244">
    <cfRule type="cellIs" dxfId="3064" priority="106" operator="equal">
      <formula>"+"</formula>
    </cfRule>
  </conditionalFormatting>
  <conditionalFormatting sqref="T244:T263">
    <cfRule type="cellIs" dxfId="3063" priority="104" operator="equal">
      <formula>"+"</formula>
    </cfRule>
    <cfRule type="cellIs" dxfId="3062" priority="105" operator="equal">
      <formula>"szf"</formula>
    </cfRule>
  </conditionalFormatting>
  <conditionalFormatting sqref="T244:T263">
    <cfRule type="cellIs" dxfId="3061" priority="100" operator="equal">
      <formula>"V"</formula>
    </cfRule>
    <cfRule type="cellIs" dxfId="3060" priority="101" operator="equal">
      <formula>"Szo"</formula>
    </cfRule>
    <cfRule type="cellIs" dxfId="3059" priority="102" operator="equal">
      <formula>"X"</formula>
    </cfRule>
    <cfRule type="cellIs" dxfId="3058" priority="103" operator="equal">
      <formula>"X"</formula>
    </cfRule>
  </conditionalFormatting>
  <conditionalFormatting sqref="U244">
    <cfRule type="cellIs" dxfId="3057" priority="98" operator="equal">
      <formula>"+"</formula>
    </cfRule>
    <cfRule type="cellIs" dxfId="3056" priority="99" operator="equal">
      <formula>"szf"</formula>
    </cfRule>
  </conditionalFormatting>
  <conditionalFormatting sqref="U244">
    <cfRule type="cellIs" dxfId="3055" priority="97" operator="equal">
      <formula>"+"</formula>
    </cfRule>
  </conditionalFormatting>
  <conditionalFormatting sqref="U244:U263">
    <cfRule type="cellIs" dxfId="3054" priority="95" operator="equal">
      <formula>"+"</formula>
    </cfRule>
    <cfRule type="cellIs" dxfId="3053" priority="96" operator="equal">
      <formula>"szf"</formula>
    </cfRule>
  </conditionalFormatting>
  <conditionalFormatting sqref="U244:U263">
    <cfRule type="cellIs" dxfId="3052" priority="91" operator="equal">
      <formula>"V"</formula>
    </cfRule>
    <cfRule type="cellIs" dxfId="3051" priority="92" operator="equal">
      <formula>"Szo"</formula>
    </cfRule>
    <cfRule type="cellIs" dxfId="3050" priority="93" operator="equal">
      <formula>"X"</formula>
    </cfRule>
    <cfRule type="cellIs" dxfId="3049" priority="94" operator="equal">
      <formula>"X"</formula>
    </cfRule>
  </conditionalFormatting>
  <conditionalFormatting sqref="AB244">
    <cfRule type="cellIs" dxfId="3048" priority="89" operator="equal">
      <formula>"+"</formula>
    </cfRule>
    <cfRule type="cellIs" dxfId="3047" priority="90" operator="equal">
      <formula>"szf"</formula>
    </cfRule>
  </conditionalFormatting>
  <conditionalFormatting sqref="AB244">
    <cfRule type="cellIs" dxfId="3046" priority="88" operator="equal">
      <formula>"+"</formula>
    </cfRule>
  </conditionalFormatting>
  <conditionalFormatting sqref="AB244:AB263">
    <cfRule type="cellIs" dxfId="3045" priority="86" operator="equal">
      <formula>"+"</formula>
    </cfRule>
    <cfRule type="cellIs" dxfId="3044" priority="87" operator="equal">
      <formula>"szf"</formula>
    </cfRule>
  </conditionalFormatting>
  <conditionalFormatting sqref="AB244:AB263">
    <cfRule type="cellIs" dxfId="3043" priority="82" operator="equal">
      <formula>"V"</formula>
    </cfRule>
    <cfRule type="cellIs" dxfId="3042" priority="83" operator="equal">
      <formula>"Szo"</formula>
    </cfRule>
    <cfRule type="cellIs" dxfId="3041" priority="84" operator="equal">
      <formula>"X"</formula>
    </cfRule>
    <cfRule type="cellIs" dxfId="3040" priority="85" operator="equal">
      <formula>"X"</formula>
    </cfRule>
  </conditionalFormatting>
  <conditionalFormatting sqref="AC244">
    <cfRule type="cellIs" dxfId="3039" priority="80" operator="equal">
      <formula>"+"</formula>
    </cfRule>
    <cfRule type="cellIs" dxfId="3038" priority="81" operator="equal">
      <formula>"szf"</formula>
    </cfRule>
  </conditionalFormatting>
  <conditionalFormatting sqref="AC244">
    <cfRule type="cellIs" dxfId="3037" priority="79" operator="equal">
      <formula>"+"</formula>
    </cfRule>
  </conditionalFormatting>
  <conditionalFormatting sqref="AC244:AC263">
    <cfRule type="cellIs" dxfId="3036" priority="77" operator="equal">
      <formula>"+"</formula>
    </cfRule>
    <cfRule type="cellIs" dxfId="3035" priority="78" operator="equal">
      <formula>"szf"</formula>
    </cfRule>
  </conditionalFormatting>
  <conditionalFormatting sqref="AC244:AC263">
    <cfRule type="cellIs" dxfId="3034" priority="73" operator="equal">
      <formula>"V"</formula>
    </cfRule>
    <cfRule type="cellIs" dxfId="3033" priority="74" operator="equal">
      <formula>"Szo"</formula>
    </cfRule>
    <cfRule type="cellIs" dxfId="3032" priority="75" operator="equal">
      <formula>"X"</formula>
    </cfRule>
    <cfRule type="cellIs" dxfId="3031" priority="76" operator="equal">
      <formula>"X"</formula>
    </cfRule>
  </conditionalFormatting>
  <conditionalFormatting sqref="F268">
    <cfRule type="cellIs" dxfId="3030" priority="71" operator="equal">
      <formula>"+"</formula>
    </cfRule>
    <cfRule type="cellIs" dxfId="3029" priority="72" operator="equal">
      <formula>"szf"</formula>
    </cfRule>
  </conditionalFormatting>
  <conditionalFormatting sqref="F268">
    <cfRule type="cellIs" dxfId="3028" priority="70" operator="equal">
      <formula>"+"</formula>
    </cfRule>
  </conditionalFormatting>
  <conditionalFormatting sqref="F268:F287">
    <cfRule type="cellIs" dxfId="3027" priority="68" operator="equal">
      <formula>"+"</formula>
    </cfRule>
    <cfRule type="cellIs" dxfId="3026" priority="69" operator="equal">
      <formula>"szf"</formula>
    </cfRule>
  </conditionalFormatting>
  <conditionalFormatting sqref="F268:F287">
    <cfRule type="cellIs" dxfId="3025" priority="64" operator="equal">
      <formula>"V"</formula>
    </cfRule>
    <cfRule type="cellIs" dxfId="3024" priority="65" operator="equal">
      <formula>"Szo"</formula>
    </cfRule>
    <cfRule type="cellIs" dxfId="3023" priority="66" operator="equal">
      <formula>"X"</formula>
    </cfRule>
    <cfRule type="cellIs" dxfId="3022" priority="67" operator="equal">
      <formula>"X"</formula>
    </cfRule>
  </conditionalFormatting>
  <conditionalFormatting sqref="G268">
    <cfRule type="cellIs" dxfId="3021" priority="62" operator="equal">
      <formula>"+"</formula>
    </cfRule>
    <cfRule type="cellIs" dxfId="3020" priority="63" operator="equal">
      <formula>"szf"</formula>
    </cfRule>
  </conditionalFormatting>
  <conditionalFormatting sqref="G268">
    <cfRule type="cellIs" dxfId="3019" priority="61" operator="equal">
      <formula>"+"</formula>
    </cfRule>
  </conditionalFormatting>
  <conditionalFormatting sqref="G268:G287">
    <cfRule type="cellIs" dxfId="3018" priority="59" operator="equal">
      <formula>"+"</formula>
    </cfRule>
    <cfRule type="cellIs" dxfId="3017" priority="60" operator="equal">
      <formula>"szf"</formula>
    </cfRule>
  </conditionalFormatting>
  <conditionalFormatting sqref="G268:G287">
    <cfRule type="cellIs" dxfId="3016" priority="55" operator="equal">
      <formula>"V"</formula>
    </cfRule>
    <cfRule type="cellIs" dxfId="3015" priority="56" operator="equal">
      <formula>"Szo"</formula>
    </cfRule>
    <cfRule type="cellIs" dxfId="3014" priority="57" operator="equal">
      <formula>"X"</formula>
    </cfRule>
    <cfRule type="cellIs" dxfId="3013" priority="58" operator="equal">
      <formula>"X"</formula>
    </cfRule>
  </conditionalFormatting>
  <conditionalFormatting sqref="N268">
    <cfRule type="cellIs" dxfId="3012" priority="53" operator="equal">
      <formula>"+"</formula>
    </cfRule>
    <cfRule type="cellIs" dxfId="3011" priority="54" operator="equal">
      <formula>"szf"</formula>
    </cfRule>
  </conditionalFormatting>
  <conditionalFormatting sqref="N268">
    <cfRule type="cellIs" dxfId="3010" priority="52" operator="equal">
      <formula>"+"</formula>
    </cfRule>
  </conditionalFormatting>
  <conditionalFormatting sqref="N268:N287">
    <cfRule type="cellIs" dxfId="3009" priority="50" operator="equal">
      <formula>"+"</formula>
    </cfRule>
    <cfRule type="cellIs" dxfId="3008" priority="51" operator="equal">
      <formula>"szf"</formula>
    </cfRule>
  </conditionalFormatting>
  <conditionalFormatting sqref="N268:N287">
    <cfRule type="cellIs" dxfId="3007" priority="46" operator="equal">
      <formula>"V"</formula>
    </cfRule>
    <cfRule type="cellIs" dxfId="3006" priority="47" operator="equal">
      <formula>"Szo"</formula>
    </cfRule>
    <cfRule type="cellIs" dxfId="3005" priority="48" operator="equal">
      <formula>"X"</formula>
    </cfRule>
    <cfRule type="cellIs" dxfId="3004" priority="49" operator="equal">
      <formula>"X"</formula>
    </cfRule>
  </conditionalFormatting>
  <conditionalFormatting sqref="O268">
    <cfRule type="cellIs" dxfId="3003" priority="44" operator="equal">
      <formula>"+"</formula>
    </cfRule>
    <cfRule type="cellIs" dxfId="3002" priority="45" operator="equal">
      <formula>"szf"</formula>
    </cfRule>
  </conditionalFormatting>
  <conditionalFormatting sqref="O268">
    <cfRule type="cellIs" dxfId="3001" priority="43" operator="equal">
      <formula>"+"</formula>
    </cfRule>
  </conditionalFormatting>
  <conditionalFormatting sqref="O268:O287">
    <cfRule type="cellIs" dxfId="3000" priority="41" operator="equal">
      <formula>"+"</formula>
    </cfRule>
    <cfRule type="cellIs" dxfId="2999" priority="42" operator="equal">
      <formula>"szf"</formula>
    </cfRule>
  </conditionalFormatting>
  <conditionalFormatting sqref="O268:O287">
    <cfRule type="cellIs" dxfId="2998" priority="37" operator="equal">
      <formula>"V"</formula>
    </cfRule>
    <cfRule type="cellIs" dxfId="2997" priority="38" operator="equal">
      <formula>"Szo"</formula>
    </cfRule>
    <cfRule type="cellIs" dxfId="2996" priority="39" operator="equal">
      <formula>"X"</formula>
    </cfRule>
    <cfRule type="cellIs" dxfId="2995" priority="40" operator="equal">
      <formula>"X"</formula>
    </cfRule>
  </conditionalFormatting>
  <conditionalFormatting sqref="V268">
    <cfRule type="cellIs" dxfId="2994" priority="35" operator="equal">
      <formula>"+"</formula>
    </cfRule>
    <cfRule type="cellIs" dxfId="2993" priority="36" operator="equal">
      <formula>"szf"</formula>
    </cfRule>
  </conditionalFormatting>
  <conditionalFormatting sqref="V268">
    <cfRule type="cellIs" dxfId="2992" priority="34" operator="equal">
      <formula>"+"</formula>
    </cfRule>
  </conditionalFormatting>
  <conditionalFormatting sqref="V268:V287">
    <cfRule type="cellIs" dxfId="2991" priority="32" operator="equal">
      <formula>"+"</formula>
    </cfRule>
    <cfRule type="cellIs" dxfId="2990" priority="33" operator="equal">
      <formula>"szf"</formula>
    </cfRule>
  </conditionalFormatting>
  <conditionalFormatting sqref="V268:V287">
    <cfRule type="cellIs" dxfId="2989" priority="28" operator="equal">
      <formula>"V"</formula>
    </cfRule>
    <cfRule type="cellIs" dxfId="2988" priority="29" operator="equal">
      <formula>"Szo"</formula>
    </cfRule>
    <cfRule type="cellIs" dxfId="2987" priority="30" operator="equal">
      <formula>"X"</formula>
    </cfRule>
    <cfRule type="cellIs" dxfId="2986" priority="31" operator="equal">
      <formula>"X"</formula>
    </cfRule>
  </conditionalFormatting>
  <conditionalFormatting sqref="W268">
    <cfRule type="cellIs" dxfId="2985" priority="26" operator="equal">
      <formula>"+"</formula>
    </cfRule>
    <cfRule type="cellIs" dxfId="2984" priority="27" operator="equal">
      <formula>"szf"</formula>
    </cfRule>
  </conditionalFormatting>
  <conditionalFormatting sqref="W268">
    <cfRule type="cellIs" dxfId="2983" priority="25" operator="equal">
      <formula>"+"</formula>
    </cfRule>
  </conditionalFormatting>
  <conditionalFormatting sqref="W268:W287">
    <cfRule type="cellIs" dxfId="2982" priority="23" operator="equal">
      <formula>"+"</formula>
    </cfRule>
    <cfRule type="cellIs" dxfId="2981" priority="24" operator="equal">
      <formula>"szf"</formula>
    </cfRule>
  </conditionalFormatting>
  <conditionalFormatting sqref="W268:W287">
    <cfRule type="cellIs" dxfId="2980" priority="19" operator="equal">
      <formula>"V"</formula>
    </cfRule>
    <cfRule type="cellIs" dxfId="2979" priority="20" operator="equal">
      <formula>"Szo"</formula>
    </cfRule>
    <cfRule type="cellIs" dxfId="2978" priority="21" operator="equal">
      <formula>"X"</formula>
    </cfRule>
    <cfRule type="cellIs" dxfId="2977" priority="22" operator="equal">
      <formula>"X"</formula>
    </cfRule>
  </conditionalFormatting>
  <conditionalFormatting sqref="AD268">
    <cfRule type="cellIs" dxfId="2976" priority="17" operator="equal">
      <formula>"+"</formula>
    </cfRule>
    <cfRule type="cellIs" dxfId="2975" priority="18" operator="equal">
      <formula>"szf"</formula>
    </cfRule>
  </conditionalFormatting>
  <conditionalFormatting sqref="AD268">
    <cfRule type="cellIs" dxfId="2974" priority="16" operator="equal">
      <formula>"+"</formula>
    </cfRule>
  </conditionalFormatting>
  <conditionalFormatting sqref="AD268:AD287">
    <cfRule type="cellIs" dxfId="2973" priority="14" operator="equal">
      <formula>"+"</formula>
    </cfRule>
    <cfRule type="cellIs" dxfId="2972" priority="15" operator="equal">
      <formula>"szf"</formula>
    </cfRule>
  </conditionalFormatting>
  <conditionalFormatting sqref="AD268:AD287">
    <cfRule type="cellIs" dxfId="2971" priority="10" operator="equal">
      <formula>"V"</formula>
    </cfRule>
    <cfRule type="cellIs" dxfId="2970" priority="11" operator="equal">
      <formula>"Szo"</formula>
    </cfRule>
    <cfRule type="cellIs" dxfId="2969" priority="12" operator="equal">
      <formula>"X"</formula>
    </cfRule>
    <cfRule type="cellIs" dxfId="2968" priority="13" operator="equal">
      <formula>"X"</formula>
    </cfRule>
  </conditionalFormatting>
  <conditionalFormatting sqref="AE268">
    <cfRule type="cellIs" dxfId="2967" priority="8" operator="equal">
      <formula>"+"</formula>
    </cfRule>
    <cfRule type="cellIs" dxfId="2966" priority="9" operator="equal">
      <formula>"szf"</formula>
    </cfRule>
  </conditionalFormatting>
  <conditionalFormatting sqref="AE268">
    <cfRule type="cellIs" dxfId="2965" priority="7" operator="equal">
      <formula>"+"</formula>
    </cfRule>
  </conditionalFormatting>
  <conditionalFormatting sqref="AE268:AE287">
    <cfRule type="cellIs" dxfId="2964" priority="5" operator="equal">
      <formula>"+"</formula>
    </cfRule>
    <cfRule type="cellIs" dxfId="2963" priority="6" operator="equal">
      <formula>"szf"</formula>
    </cfRule>
  </conditionalFormatting>
  <conditionalFormatting sqref="AE268:AE287">
    <cfRule type="cellIs" dxfId="2962" priority="1" operator="equal">
      <formula>"V"</formula>
    </cfRule>
    <cfRule type="cellIs" dxfId="2961" priority="2" operator="equal">
      <formula>"Szo"</formula>
    </cfRule>
    <cfRule type="cellIs" dxfId="2960" priority="3" operator="equal">
      <formula>"X"</formula>
    </cfRule>
    <cfRule type="cellIs" dxfId="2959" priority="4" operator="equal">
      <formula>"X"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workbookViewId="0">
      <selection activeCell="D8" sqref="D8"/>
    </sheetView>
  </sheetViews>
  <sheetFormatPr defaultColWidth="12" defaultRowHeight="12.75"/>
  <cols>
    <col min="1" max="1" width="20.140625" style="26" bestFit="1" customWidth="1"/>
    <col min="2" max="2" width="4" style="9" customWidth="1"/>
    <col min="3" max="8" width="3.140625" style="9" customWidth="1"/>
    <col min="9" max="9" width="3" style="9" customWidth="1"/>
    <col min="10" max="31" width="3.140625" style="9" customWidth="1"/>
    <col min="32" max="32" width="3.85546875" style="9" customWidth="1"/>
    <col min="33" max="33" width="3.42578125" style="6" customWidth="1"/>
    <col min="34" max="35" width="6.85546875" style="13" hidden="1" customWidth="1"/>
    <col min="36" max="43" width="3.42578125" style="6" customWidth="1"/>
    <col min="44" max="16384" width="12" style="6"/>
  </cols>
  <sheetData>
    <row r="1" spans="1:35" s="11" customFormat="1" ht="20.100000000000001" customHeight="1">
      <c r="A1" s="57" t="s">
        <v>0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23">
        <v>13</v>
      </c>
      <c r="O1" s="23">
        <v>14</v>
      </c>
      <c r="P1" s="23">
        <v>15</v>
      </c>
      <c r="Q1" s="23">
        <v>16</v>
      </c>
      <c r="R1" s="23">
        <v>17</v>
      </c>
      <c r="S1" s="23">
        <v>18</v>
      </c>
      <c r="T1" s="23">
        <v>19</v>
      </c>
      <c r="U1" s="23">
        <v>20</v>
      </c>
      <c r="V1" s="23">
        <v>21</v>
      </c>
      <c r="W1" s="23">
        <v>22</v>
      </c>
      <c r="X1" s="23">
        <v>23</v>
      </c>
      <c r="Y1" s="23">
        <v>24</v>
      </c>
      <c r="Z1" s="23">
        <v>25</v>
      </c>
      <c r="AA1" s="23">
        <v>26</v>
      </c>
      <c r="AB1" s="23">
        <v>27</v>
      </c>
      <c r="AC1" s="23">
        <v>28</v>
      </c>
      <c r="AD1" s="23">
        <v>29</v>
      </c>
      <c r="AE1" s="23">
        <v>30</v>
      </c>
      <c r="AF1" s="23">
        <v>31</v>
      </c>
      <c r="AH1" s="59" t="s">
        <v>18</v>
      </c>
      <c r="AI1" s="59" t="s">
        <v>19</v>
      </c>
    </row>
    <row r="2" spans="1:35" ht="20.100000000000001" customHeight="1">
      <c r="A2" s="61"/>
      <c r="B2" s="15" t="str">
        <f>'2021'!B4</f>
        <v>P</v>
      </c>
      <c r="C2" s="15" t="str">
        <f>'2021'!C4</f>
        <v>Szo</v>
      </c>
      <c r="D2" s="15" t="str">
        <f>'2021'!D4</f>
        <v>V</v>
      </c>
      <c r="E2" s="15" t="str">
        <f>'2021'!E4</f>
        <v>H</v>
      </c>
      <c r="F2" s="15" t="str">
        <f>'2021'!F4</f>
        <v>K</v>
      </c>
      <c r="G2" s="15" t="str">
        <f>'2021'!G4</f>
        <v>Sze</v>
      </c>
      <c r="H2" s="15" t="str">
        <f>'2021'!H4</f>
        <v>Cs</v>
      </c>
      <c r="I2" s="15" t="str">
        <f>'2021'!I4</f>
        <v>P</v>
      </c>
      <c r="J2" s="15" t="str">
        <f>'2021'!J4</f>
        <v>Szo</v>
      </c>
      <c r="K2" s="15" t="str">
        <f>'2021'!K4</f>
        <v>V</v>
      </c>
      <c r="L2" s="15" t="str">
        <f>'2021'!L4</f>
        <v>H</v>
      </c>
      <c r="M2" s="15" t="str">
        <f>'2021'!M4</f>
        <v>K</v>
      </c>
      <c r="N2" s="15" t="str">
        <f>'2021'!N4</f>
        <v>Sze</v>
      </c>
      <c r="O2" s="15" t="str">
        <f>'2021'!O4</f>
        <v>Cs</v>
      </c>
      <c r="P2" s="15" t="str">
        <f>'2021'!P4</f>
        <v>P</v>
      </c>
      <c r="Q2" s="15" t="str">
        <f>'2021'!Q4</f>
        <v>Szo</v>
      </c>
      <c r="R2" s="15" t="str">
        <f>'2021'!R4</f>
        <v>V</v>
      </c>
      <c r="S2" s="15" t="str">
        <f>'2021'!S4</f>
        <v>H</v>
      </c>
      <c r="T2" s="15" t="str">
        <f>'2021'!T4</f>
        <v>K</v>
      </c>
      <c r="U2" s="15" t="str">
        <f>'2021'!U4</f>
        <v>Sze</v>
      </c>
      <c r="V2" s="15" t="str">
        <f>'2021'!V4</f>
        <v>Cs</v>
      </c>
      <c r="W2" s="15" t="str">
        <f>'2021'!W4</f>
        <v>P</v>
      </c>
      <c r="X2" s="15" t="str">
        <f>'2021'!X4</f>
        <v>Szo</v>
      </c>
      <c r="Y2" s="15" t="str">
        <f>'2021'!Y4</f>
        <v>V</v>
      </c>
      <c r="Z2" s="15" t="str">
        <f>'2021'!Z4</f>
        <v>H</v>
      </c>
      <c r="AA2" s="15" t="str">
        <f>'2021'!AA4</f>
        <v>K</v>
      </c>
      <c r="AB2" s="15" t="str">
        <f>'2021'!AB4</f>
        <v>Sze</v>
      </c>
      <c r="AC2" s="15" t="str">
        <f>'2021'!AC4</f>
        <v>Cs</v>
      </c>
      <c r="AD2" s="15" t="str">
        <f>'2021'!AD4</f>
        <v>P</v>
      </c>
      <c r="AE2" s="15" t="str">
        <f>'2021'!AE4</f>
        <v>Szo</v>
      </c>
      <c r="AF2" s="15" t="str">
        <f>'2021'!AF4</f>
        <v>V</v>
      </c>
      <c r="AH2" s="60"/>
      <c r="AI2" s="60"/>
    </row>
    <row r="3" spans="1:35" ht="20.100000000000001" customHeight="1">
      <c r="A3" s="61"/>
      <c r="B3" s="15" t="str">
        <f>'2021'!B7</f>
        <v>X</v>
      </c>
      <c r="C3" s="15" t="str">
        <f>'2021'!C7</f>
        <v>X</v>
      </c>
      <c r="D3" s="15">
        <f>'2021'!D7</f>
        <v>3</v>
      </c>
      <c r="E3" s="15">
        <f>'2021'!E7</f>
        <v>3</v>
      </c>
      <c r="F3" s="15">
        <f>'2021'!F7</f>
        <v>3</v>
      </c>
      <c r="G3" s="15">
        <f>'2021'!G7</f>
        <v>3</v>
      </c>
      <c r="H3" s="15">
        <f>'2021'!H7</f>
        <v>3</v>
      </c>
      <c r="I3" s="15">
        <f>'2021'!I7</f>
        <v>3</v>
      </c>
      <c r="J3" s="15" t="str">
        <f>'2021'!J7</f>
        <v>X</v>
      </c>
      <c r="K3" s="15" t="str">
        <f>'2021'!K7</f>
        <v>X</v>
      </c>
      <c r="L3" s="15">
        <f>'2021'!L7</f>
        <v>2</v>
      </c>
      <c r="M3" s="15">
        <f>'2021'!M7</f>
        <v>2</v>
      </c>
      <c r="N3" s="15">
        <f>'2021'!N7</f>
        <v>2</v>
      </c>
      <c r="O3" s="15">
        <f>'2021'!O7</f>
        <v>2</v>
      </c>
      <c r="P3" s="15">
        <f>'2021'!P7</f>
        <v>2</v>
      </c>
      <c r="Q3" s="15">
        <f>'2021'!Q7</f>
        <v>2</v>
      </c>
      <c r="R3" s="15" t="str">
        <f>'2021'!R7</f>
        <v>X</v>
      </c>
      <c r="S3" s="15" t="str">
        <f>'2021'!S7</f>
        <v>X</v>
      </c>
      <c r="T3" s="15">
        <f>'2021'!T7</f>
        <v>1</v>
      </c>
      <c r="U3" s="15">
        <f>'2021'!U7</f>
        <v>1</v>
      </c>
      <c r="V3" s="15">
        <f>'2021'!V7</f>
        <v>1</v>
      </c>
      <c r="W3" s="15">
        <f>'2021'!W7</f>
        <v>1</v>
      </c>
      <c r="X3" s="15">
        <f>'2021'!X7</f>
        <v>1</v>
      </c>
      <c r="Y3" s="15">
        <f>'2021'!Y7</f>
        <v>1</v>
      </c>
      <c r="Z3" s="15" t="str">
        <f>'2021'!Z7</f>
        <v>X</v>
      </c>
      <c r="AA3" s="15" t="str">
        <f>'2021'!AA7</f>
        <v>X</v>
      </c>
      <c r="AB3" s="15">
        <f>'2021'!AB7</f>
        <v>3</v>
      </c>
      <c r="AC3" s="15">
        <f>'2021'!AC7</f>
        <v>3</v>
      </c>
      <c r="AD3" s="15">
        <f>'2021'!AD7</f>
        <v>3</v>
      </c>
      <c r="AE3" s="15">
        <f>'2021'!AE7</f>
        <v>3</v>
      </c>
      <c r="AF3" s="15">
        <f>'2021'!AF7</f>
        <v>3</v>
      </c>
      <c r="AH3" s="60"/>
      <c r="AI3" s="60"/>
    </row>
    <row r="4" spans="1:35" ht="20.100000000000001" customHeight="1">
      <c r="A4" s="24" t="str">
        <f>ÖSSZES!$A$49</f>
        <v>Kuik-Filep András</v>
      </c>
      <c r="B4" s="39" t="s">
        <v>2</v>
      </c>
      <c r="C4" s="39" t="s">
        <v>2</v>
      </c>
      <c r="D4" s="39"/>
      <c r="E4" s="39"/>
      <c r="F4" s="39"/>
      <c r="G4" s="39"/>
      <c r="H4" s="39"/>
      <c r="I4" s="39"/>
      <c r="J4" s="39" t="s">
        <v>2</v>
      </c>
      <c r="K4" s="39" t="s">
        <v>2</v>
      </c>
      <c r="L4" s="39"/>
      <c r="M4" s="39"/>
      <c r="N4" s="39"/>
      <c r="O4" s="39"/>
      <c r="P4" s="39"/>
      <c r="Q4" s="39"/>
      <c r="R4" s="39" t="s">
        <v>2</v>
      </c>
      <c r="S4" s="39" t="s">
        <v>2</v>
      </c>
      <c r="T4" s="39"/>
      <c r="U4" s="39"/>
      <c r="V4" s="39"/>
      <c r="W4" s="39"/>
      <c r="X4" s="39"/>
      <c r="Y4" s="39"/>
      <c r="Z4" s="39" t="s">
        <v>2</v>
      </c>
      <c r="AA4" s="39" t="s">
        <v>2</v>
      </c>
      <c r="AB4" s="39"/>
      <c r="AC4" s="39"/>
      <c r="AD4" s="39"/>
      <c r="AE4" s="39"/>
      <c r="AF4" s="39"/>
      <c r="AH4" s="20">
        <f>1*COUNTIF(A4:AF4,"+")</f>
        <v>0</v>
      </c>
      <c r="AI4" s="20">
        <f>1*COUNTIF(B4:AF4,"szf")</f>
        <v>0</v>
      </c>
    </row>
    <row r="5" spans="1:35" ht="20.100000000000001" customHeight="1">
      <c r="A5" s="24" t="str">
        <f>ÖSSZES!$A$50</f>
        <v>Balogh Zsolt</v>
      </c>
      <c r="B5" s="39" t="s">
        <v>2</v>
      </c>
      <c r="C5" s="39" t="s">
        <v>2</v>
      </c>
      <c r="D5" s="39"/>
      <c r="E5" s="39"/>
      <c r="F5" s="39"/>
      <c r="G5" s="39"/>
      <c r="H5" s="39"/>
      <c r="I5" s="39"/>
      <c r="J5" s="39" t="s">
        <v>2</v>
      </c>
      <c r="K5" s="39" t="s">
        <v>2</v>
      </c>
      <c r="L5" s="39"/>
      <c r="M5" s="39"/>
      <c r="N5" s="39"/>
      <c r="O5" s="39"/>
      <c r="P5" s="39"/>
      <c r="Q5" s="39"/>
      <c r="R5" s="39" t="s">
        <v>2</v>
      </c>
      <c r="S5" s="39" t="s">
        <v>2</v>
      </c>
      <c r="T5" s="39"/>
      <c r="U5" s="39"/>
      <c r="V5" s="39"/>
      <c r="W5" s="39"/>
      <c r="X5" s="39"/>
      <c r="Y5" s="39"/>
      <c r="Z5" s="39" t="s">
        <v>2</v>
      </c>
      <c r="AA5" s="39" t="s">
        <v>2</v>
      </c>
      <c r="AB5" s="39"/>
      <c r="AC5" s="39"/>
      <c r="AD5" s="39"/>
      <c r="AE5" s="39"/>
      <c r="AF5" s="39"/>
      <c r="AH5" s="20">
        <f t="shared" ref="AH5:AH23" si="0">1*COUNTIF(A5:AF5,"+")</f>
        <v>0</v>
      </c>
      <c r="AI5" s="20">
        <f t="shared" ref="AI5:AI23" si="1">1*COUNTIF(B5:AF5,"szf")</f>
        <v>0</v>
      </c>
    </row>
    <row r="6" spans="1:35" ht="20.100000000000001" customHeight="1">
      <c r="A6" s="24" t="str">
        <f>ÖSSZES!$A$51</f>
        <v>Éliás Viktor</v>
      </c>
      <c r="B6" s="39" t="s">
        <v>2</v>
      </c>
      <c r="C6" s="39" t="s">
        <v>2</v>
      </c>
      <c r="D6" s="39"/>
      <c r="E6" s="39"/>
      <c r="F6" s="39"/>
      <c r="G6" s="39"/>
      <c r="H6" s="39"/>
      <c r="I6" s="39"/>
      <c r="J6" s="39" t="s">
        <v>2</v>
      </c>
      <c r="K6" s="39" t="s">
        <v>2</v>
      </c>
      <c r="L6" s="39"/>
      <c r="M6" s="39"/>
      <c r="N6" s="39"/>
      <c r="O6" s="39"/>
      <c r="P6" s="39"/>
      <c r="Q6" s="39"/>
      <c r="R6" s="39" t="s">
        <v>2</v>
      </c>
      <c r="S6" s="39" t="s">
        <v>2</v>
      </c>
      <c r="T6" s="39"/>
      <c r="U6" s="39"/>
      <c r="V6" s="39"/>
      <c r="W6" s="39"/>
      <c r="X6" s="39"/>
      <c r="Y6" s="39"/>
      <c r="Z6" s="39" t="s">
        <v>2</v>
      </c>
      <c r="AA6" s="39" t="s">
        <v>2</v>
      </c>
      <c r="AB6" s="39"/>
      <c r="AC6" s="39"/>
      <c r="AD6" s="39"/>
      <c r="AE6" s="39"/>
      <c r="AF6" s="39"/>
      <c r="AH6" s="20">
        <f t="shared" si="0"/>
        <v>0</v>
      </c>
      <c r="AI6" s="20">
        <f t="shared" si="1"/>
        <v>0</v>
      </c>
    </row>
    <row r="7" spans="1:35" ht="20.100000000000001" customHeight="1">
      <c r="A7" s="24" t="str">
        <f>ÖSSZES!$A$52</f>
        <v>Hadházi Kálmán</v>
      </c>
      <c r="B7" s="39" t="s">
        <v>2</v>
      </c>
      <c r="C7" s="39" t="s">
        <v>2</v>
      </c>
      <c r="D7" s="39" t="s">
        <v>101</v>
      </c>
      <c r="E7" s="39"/>
      <c r="F7" s="39"/>
      <c r="G7" s="39"/>
      <c r="H7" s="39"/>
      <c r="I7" s="39"/>
      <c r="J7" s="39" t="s">
        <v>2</v>
      </c>
      <c r="K7" s="39" t="s">
        <v>2</v>
      </c>
      <c r="L7" s="39"/>
      <c r="M7" s="39"/>
      <c r="N7" s="39"/>
      <c r="O7" s="39"/>
      <c r="P7" s="39"/>
      <c r="Q7" s="39"/>
      <c r="R7" s="39" t="s">
        <v>2</v>
      </c>
      <c r="S7" s="39" t="s">
        <v>2</v>
      </c>
      <c r="T7" s="39"/>
      <c r="U7" s="39"/>
      <c r="V7" s="39"/>
      <c r="W7" s="39"/>
      <c r="X7" s="39"/>
      <c r="Y7" s="39"/>
      <c r="Z7" s="39" t="s">
        <v>2</v>
      </c>
      <c r="AA7" s="39" t="s">
        <v>2</v>
      </c>
      <c r="AB7" s="39"/>
      <c r="AC7" s="39"/>
      <c r="AD7" s="39"/>
      <c r="AE7" s="39"/>
      <c r="AF7" s="39"/>
      <c r="AH7" s="20">
        <f t="shared" si="0"/>
        <v>1</v>
      </c>
      <c r="AI7" s="20">
        <f t="shared" si="1"/>
        <v>0</v>
      </c>
    </row>
    <row r="8" spans="1:35" ht="20.100000000000001" customHeight="1">
      <c r="A8" s="24" t="str">
        <f>ÖSSZES!$A$53</f>
        <v>Kiss Attila</v>
      </c>
      <c r="B8" s="39" t="s">
        <v>2</v>
      </c>
      <c r="C8" s="39" t="s">
        <v>2</v>
      </c>
      <c r="D8" s="39"/>
      <c r="E8" s="39"/>
      <c r="F8" s="39"/>
      <c r="G8" s="39"/>
      <c r="H8" s="39"/>
      <c r="I8" s="39"/>
      <c r="J8" s="39" t="s">
        <v>2</v>
      </c>
      <c r="K8" s="39" t="s">
        <v>2</v>
      </c>
      <c r="L8" s="39"/>
      <c r="M8" s="39"/>
      <c r="N8" s="39"/>
      <c r="O8" s="39"/>
      <c r="P8" s="39"/>
      <c r="Q8" s="39"/>
      <c r="R8" s="39" t="s">
        <v>2</v>
      </c>
      <c r="S8" s="39" t="s">
        <v>2</v>
      </c>
      <c r="T8" s="39"/>
      <c r="U8" s="39"/>
      <c r="V8" s="39"/>
      <c r="W8" s="39"/>
      <c r="X8" s="39"/>
      <c r="Y8" s="39"/>
      <c r="Z8" s="39" t="s">
        <v>2</v>
      </c>
      <c r="AA8" s="39" t="s">
        <v>2</v>
      </c>
      <c r="AB8" s="39"/>
      <c r="AC8" s="39"/>
      <c r="AD8" s="39"/>
      <c r="AE8" s="39"/>
      <c r="AF8" s="39"/>
      <c r="AH8" s="20">
        <f t="shared" si="0"/>
        <v>0</v>
      </c>
      <c r="AI8" s="20">
        <f t="shared" si="1"/>
        <v>0</v>
      </c>
    </row>
    <row r="9" spans="1:35" ht="20.100000000000001" customHeight="1">
      <c r="A9" s="24" t="str">
        <f>ÖSSZES!$A$54</f>
        <v>Serestyén Dániel</v>
      </c>
      <c r="B9" s="39" t="s">
        <v>2</v>
      </c>
      <c r="C9" s="39" t="s">
        <v>2</v>
      </c>
      <c r="D9" s="39"/>
      <c r="E9" s="39"/>
      <c r="F9" s="39"/>
      <c r="G9" s="39"/>
      <c r="H9" s="39"/>
      <c r="I9" s="39"/>
      <c r="J9" s="39" t="s">
        <v>2</v>
      </c>
      <c r="K9" s="39" t="s">
        <v>2</v>
      </c>
      <c r="L9" s="39"/>
      <c r="M9" s="39"/>
      <c r="N9" s="39"/>
      <c r="O9" s="39"/>
      <c r="P9" s="39"/>
      <c r="Q9" s="39"/>
      <c r="R9" s="39" t="s">
        <v>2</v>
      </c>
      <c r="S9" s="39" t="s">
        <v>2</v>
      </c>
      <c r="T9" s="39"/>
      <c r="U9" s="39"/>
      <c r="V9" s="39"/>
      <c r="W9" s="39"/>
      <c r="X9" s="39"/>
      <c r="Y9" s="39"/>
      <c r="Z9" s="39" t="s">
        <v>2</v>
      </c>
      <c r="AA9" s="39" t="s">
        <v>2</v>
      </c>
      <c r="AB9" s="39"/>
      <c r="AC9" s="39"/>
      <c r="AD9" s="39"/>
      <c r="AE9" s="39"/>
      <c r="AF9" s="39"/>
      <c r="AH9" s="20">
        <f t="shared" si="0"/>
        <v>0</v>
      </c>
      <c r="AI9" s="20">
        <f t="shared" si="1"/>
        <v>0</v>
      </c>
    </row>
    <row r="10" spans="1:35" ht="20.100000000000001" customHeight="1">
      <c r="A10" s="24" t="str">
        <f>ÖSSZES!$A$55</f>
        <v>Varga Imre</v>
      </c>
      <c r="B10" s="39" t="s">
        <v>2</v>
      </c>
      <c r="C10" s="39" t="s">
        <v>2</v>
      </c>
      <c r="D10" s="39"/>
      <c r="E10" s="39" t="s">
        <v>101</v>
      </c>
      <c r="F10" s="39" t="s">
        <v>20</v>
      </c>
      <c r="G10" s="39"/>
      <c r="H10" s="39"/>
      <c r="I10" s="39"/>
      <c r="J10" s="39" t="s">
        <v>2</v>
      </c>
      <c r="K10" s="39" t="s">
        <v>2</v>
      </c>
      <c r="L10" s="39"/>
      <c r="M10" s="39"/>
      <c r="N10" s="39"/>
      <c r="O10" s="39"/>
      <c r="P10" s="39"/>
      <c r="Q10" s="39"/>
      <c r="R10" s="39" t="s">
        <v>2</v>
      </c>
      <c r="S10" s="39" t="s">
        <v>2</v>
      </c>
      <c r="T10" s="39"/>
      <c r="U10" s="39"/>
      <c r="V10" s="39"/>
      <c r="W10" s="39"/>
      <c r="X10" s="39"/>
      <c r="Y10" s="39"/>
      <c r="Z10" s="39" t="s">
        <v>2</v>
      </c>
      <c r="AA10" s="39" t="s">
        <v>2</v>
      </c>
      <c r="AB10" s="39"/>
      <c r="AC10" s="39"/>
      <c r="AD10" s="39"/>
      <c r="AE10" s="39"/>
      <c r="AF10" s="39"/>
      <c r="AH10" s="20">
        <f t="shared" si="0"/>
        <v>1</v>
      </c>
      <c r="AI10" s="20">
        <f t="shared" si="1"/>
        <v>1</v>
      </c>
    </row>
    <row r="11" spans="1:35" ht="20.100000000000001" hidden="1" customHeight="1">
      <c r="A11" s="24" t="str">
        <f>ÖSSZES!$A$56</f>
        <v>Név8</v>
      </c>
      <c r="B11" s="39" t="s">
        <v>2</v>
      </c>
      <c r="C11" s="39" t="s">
        <v>2</v>
      </c>
      <c r="D11" s="39"/>
      <c r="E11" s="39"/>
      <c r="F11" s="39"/>
      <c r="G11" s="39"/>
      <c r="H11" s="39"/>
      <c r="I11" s="39"/>
      <c r="J11" s="39" t="s">
        <v>2</v>
      </c>
      <c r="K11" s="39" t="s">
        <v>2</v>
      </c>
      <c r="L11" s="39"/>
      <c r="M11" s="39"/>
      <c r="N11" s="39"/>
      <c r="O11" s="39"/>
      <c r="P11" s="39"/>
      <c r="Q11" s="39"/>
      <c r="R11" s="39" t="s">
        <v>2</v>
      </c>
      <c r="S11" s="39" t="s">
        <v>2</v>
      </c>
      <c r="T11" s="39"/>
      <c r="U11" s="39"/>
      <c r="V11" s="39"/>
      <c r="W11" s="39"/>
      <c r="X11" s="39"/>
      <c r="Y11" s="39"/>
      <c r="Z11" s="39" t="s">
        <v>2</v>
      </c>
      <c r="AA11" s="39" t="s">
        <v>2</v>
      </c>
      <c r="AB11" s="39"/>
      <c r="AC11" s="39"/>
      <c r="AD11" s="39"/>
      <c r="AE11" s="39"/>
      <c r="AF11" s="39"/>
      <c r="AH11" s="20">
        <f t="shared" si="0"/>
        <v>0</v>
      </c>
      <c r="AI11" s="20">
        <f t="shared" si="1"/>
        <v>0</v>
      </c>
    </row>
    <row r="12" spans="1:35" ht="20.100000000000001" hidden="1" customHeight="1">
      <c r="A12" s="24" t="str">
        <f>ÖSSZES!$A$57</f>
        <v>Név9</v>
      </c>
      <c r="B12" s="39" t="s">
        <v>2</v>
      </c>
      <c r="C12" s="39" t="s">
        <v>2</v>
      </c>
      <c r="D12" s="39"/>
      <c r="E12" s="39"/>
      <c r="F12" s="39"/>
      <c r="G12" s="39"/>
      <c r="H12" s="39"/>
      <c r="I12" s="39"/>
      <c r="J12" s="39" t="s">
        <v>2</v>
      </c>
      <c r="K12" s="39" t="s">
        <v>2</v>
      </c>
      <c r="L12" s="39"/>
      <c r="M12" s="39"/>
      <c r="N12" s="39"/>
      <c r="O12" s="39"/>
      <c r="P12" s="39"/>
      <c r="Q12" s="39"/>
      <c r="R12" s="39" t="s">
        <v>2</v>
      </c>
      <c r="S12" s="39" t="s">
        <v>2</v>
      </c>
      <c r="T12" s="39"/>
      <c r="U12" s="39"/>
      <c r="V12" s="39"/>
      <c r="W12" s="39"/>
      <c r="X12" s="39"/>
      <c r="Y12" s="39"/>
      <c r="Z12" s="39" t="s">
        <v>2</v>
      </c>
      <c r="AA12" s="39" t="s">
        <v>2</v>
      </c>
      <c r="AB12" s="39"/>
      <c r="AC12" s="39"/>
      <c r="AD12" s="39"/>
      <c r="AE12" s="39"/>
      <c r="AF12" s="39"/>
      <c r="AH12" s="20">
        <f t="shared" si="0"/>
        <v>0</v>
      </c>
      <c r="AI12" s="20">
        <f t="shared" si="1"/>
        <v>0</v>
      </c>
    </row>
    <row r="13" spans="1:35" ht="20.100000000000001" hidden="1" customHeight="1">
      <c r="A13" s="24" t="str">
        <f>ÖSSZES!$A$58</f>
        <v>Név10</v>
      </c>
      <c r="B13" s="39" t="s">
        <v>2</v>
      </c>
      <c r="C13" s="39" t="s">
        <v>2</v>
      </c>
      <c r="D13" s="39"/>
      <c r="E13" s="39"/>
      <c r="F13" s="39"/>
      <c r="G13" s="39"/>
      <c r="H13" s="39"/>
      <c r="I13" s="39"/>
      <c r="J13" s="39" t="s">
        <v>2</v>
      </c>
      <c r="K13" s="39" t="s">
        <v>2</v>
      </c>
      <c r="L13" s="39"/>
      <c r="M13" s="39"/>
      <c r="N13" s="39"/>
      <c r="O13" s="39"/>
      <c r="P13" s="39"/>
      <c r="Q13" s="39"/>
      <c r="R13" s="39" t="s">
        <v>2</v>
      </c>
      <c r="S13" s="39" t="s">
        <v>2</v>
      </c>
      <c r="T13" s="39"/>
      <c r="U13" s="39"/>
      <c r="V13" s="39"/>
      <c r="W13" s="39"/>
      <c r="X13" s="39"/>
      <c r="Y13" s="39"/>
      <c r="Z13" s="39" t="s">
        <v>2</v>
      </c>
      <c r="AA13" s="39" t="s">
        <v>2</v>
      </c>
      <c r="AB13" s="39"/>
      <c r="AC13" s="39"/>
      <c r="AD13" s="39"/>
      <c r="AE13" s="39"/>
      <c r="AF13" s="39"/>
      <c r="AH13" s="20">
        <f t="shared" si="0"/>
        <v>0</v>
      </c>
      <c r="AI13" s="20">
        <f t="shared" si="1"/>
        <v>0</v>
      </c>
    </row>
    <row r="14" spans="1:35" ht="20.100000000000001" hidden="1" customHeight="1">
      <c r="A14" s="24" t="str">
        <f>ÖSSZES!$A$59</f>
        <v>Név11</v>
      </c>
      <c r="B14" s="39" t="s">
        <v>2</v>
      </c>
      <c r="C14" s="39" t="s">
        <v>2</v>
      </c>
      <c r="D14" s="39"/>
      <c r="E14" s="39"/>
      <c r="F14" s="39"/>
      <c r="G14" s="39"/>
      <c r="H14" s="39"/>
      <c r="I14" s="39"/>
      <c r="J14" s="39" t="s">
        <v>2</v>
      </c>
      <c r="K14" s="39" t="s">
        <v>2</v>
      </c>
      <c r="L14" s="39"/>
      <c r="M14" s="39"/>
      <c r="N14" s="39"/>
      <c r="O14" s="39"/>
      <c r="P14" s="39"/>
      <c r="Q14" s="39"/>
      <c r="R14" s="39" t="s">
        <v>2</v>
      </c>
      <c r="S14" s="39" t="s">
        <v>2</v>
      </c>
      <c r="T14" s="39"/>
      <c r="U14" s="39"/>
      <c r="V14" s="39"/>
      <c r="W14" s="39"/>
      <c r="X14" s="39"/>
      <c r="Y14" s="39"/>
      <c r="Z14" s="39" t="s">
        <v>2</v>
      </c>
      <c r="AA14" s="39" t="s">
        <v>2</v>
      </c>
      <c r="AB14" s="39"/>
      <c r="AC14" s="39"/>
      <c r="AD14" s="39"/>
      <c r="AE14" s="39"/>
      <c r="AF14" s="39"/>
      <c r="AH14" s="20">
        <f t="shared" si="0"/>
        <v>0</v>
      </c>
      <c r="AI14" s="20">
        <f t="shared" si="1"/>
        <v>0</v>
      </c>
    </row>
    <row r="15" spans="1:35" ht="20.100000000000001" hidden="1" customHeight="1">
      <c r="A15" s="24" t="str">
        <f>ÖSSZES!$A$60</f>
        <v>Név12</v>
      </c>
      <c r="B15" s="39" t="s">
        <v>2</v>
      </c>
      <c r="C15" s="39" t="s">
        <v>2</v>
      </c>
      <c r="D15" s="39"/>
      <c r="E15" s="39"/>
      <c r="F15" s="39"/>
      <c r="G15" s="39"/>
      <c r="H15" s="39"/>
      <c r="I15" s="39"/>
      <c r="J15" s="39" t="s">
        <v>2</v>
      </c>
      <c r="K15" s="39" t="s">
        <v>2</v>
      </c>
      <c r="L15" s="39"/>
      <c r="M15" s="39"/>
      <c r="N15" s="39"/>
      <c r="O15" s="39"/>
      <c r="P15" s="39"/>
      <c r="Q15" s="39"/>
      <c r="R15" s="39" t="s">
        <v>2</v>
      </c>
      <c r="S15" s="39" t="s">
        <v>2</v>
      </c>
      <c r="T15" s="39"/>
      <c r="U15" s="39"/>
      <c r="V15" s="39"/>
      <c r="W15" s="39"/>
      <c r="X15" s="39"/>
      <c r="Y15" s="39"/>
      <c r="Z15" s="39" t="s">
        <v>2</v>
      </c>
      <c r="AA15" s="39" t="s">
        <v>2</v>
      </c>
      <c r="AB15" s="39"/>
      <c r="AC15" s="39"/>
      <c r="AD15" s="39"/>
      <c r="AE15" s="39"/>
      <c r="AF15" s="39"/>
      <c r="AH15" s="20">
        <f t="shared" si="0"/>
        <v>0</v>
      </c>
      <c r="AI15" s="20">
        <f t="shared" si="1"/>
        <v>0</v>
      </c>
    </row>
    <row r="16" spans="1:35" ht="20.100000000000001" hidden="1" customHeight="1">
      <c r="A16" s="24" t="str">
        <f>ÖSSZES!$A$61</f>
        <v>Név13</v>
      </c>
      <c r="B16" s="39" t="s">
        <v>2</v>
      </c>
      <c r="C16" s="39" t="s">
        <v>2</v>
      </c>
      <c r="D16" s="39"/>
      <c r="E16" s="39"/>
      <c r="F16" s="39"/>
      <c r="G16" s="39"/>
      <c r="H16" s="39"/>
      <c r="I16" s="39"/>
      <c r="J16" s="39" t="s">
        <v>2</v>
      </c>
      <c r="K16" s="39" t="s">
        <v>2</v>
      </c>
      <c r="L16" s="39"/>
      <c r="M16" s="39"/>
      <c r="N16" s="39"/>
      <c r="O16" s="39"/>
      <c r="P16" s="39"/>
      <c r="Q16" s="39"/>
      <c r="R16" s="39" t="s">
        <v>2</v>
      </c>
      <c r="S16" s="39" t="s">
        <v>2</v>
      </c>
      <c r="T16" s="39"/>
      <c r="U16" s="39"/>
      <c r="V16" s="39"/>
      <c r="W16" s="39"/>
      <c r="X16" s="39"/>
      <c r="Y16" s="39"/>
      <c r="Z16" s="39" t="s">
        <v>2</v>
      </c>
      <c r="AA16" s="39" t="s">
        <v>2</v>
      </c>
      <c r="AB16" s="39"/>
      <c r="AC16" s="39"/>
      <c r="AD16" s="39"/>
      <c r="AE16" s="39"/>
      <c r="AF16" s="39"/>
      <c r="AH16" s="20">
        <f t="shared" si="0"/>
        <v>0</v>
      </c>
      <c r="AI16" s="20">
        <f t="shared" si="1"/>
        <v>0</v>
      </c>
    </row>
    <row r="17" spans="1:35" ht="20.100000000000001" hidden="1" customHeight="1">
      <c r="A17" s="24" t="str">
        <f>ÖSSZES!$A$62</f>
        <v>Név14</v>
      </c>
      <c r="B17" s="39" t="s">
        <v>2</v>
      </c>
      <c r="C17" s="39" t="s">
        <v>2</v>
      </c>
      <c r="D17" s="39"/>
      <c r="E17" s="39"/>
      <c r="F17" s="39"/>
      <c r="G17" s="39"/>
      <c r="H17" s="39"/>
      <c r="I17" s="39"/>
      <c r="J17" s="39" t="s">
        <v>2</v>
      </c>
      <c r="K17" s="39" t="s">
        <v>2</v>
      </c>
      <c r="L17" s="39"/>
      <c r="M17" s="39"/>
      <c r="N17" s="39"/>
      <c r="O17" s="39"/>
      <c r="P17" s="39"/>
      <c r="Q17" s="39"/>
      <c r="R17" s="39" t="s">
        <v>2</v>
      </c>
      <c r="S17" s="39" t="s">
        <v>2</v>
      </c>
      <c r="T17" s="39"/>
      <c r="U17" s="39"/>
      <c r="V17" s="39"/>
      <c r="W17" s="39"/>
      <c r="X17" s="39"/>
      <c r="Y17" s="39"/>
      <c r="Z17" s="39" t="s">
        <v>2</v>
      </c>
      <c r="AA17" s="39" t="s">
        <v>2</v>
      </c>
      <c r="AB17" s="39"/>
      <c r="AC17" s="39"/>
      <c r="AD17" s="39"/>
      <c r="AE17" s="39"/>
      <c r="AF17" s="39"/>
      <c r="AH17" s="20">
        <f t="shared" si="0"/>
        <v>0</v>
      </c>
      <c r="AI17" s="20">
        <f t="shared" si="1"/>
        <v>0</v>
      </c>
    </row>
    <row r="18" spans="1:35" ht="20.100000000000001" hidden="1" customHeight="1">
      <c r="A18" s="24" t="str">
        <f>ÖSSZES!$A$63</f>
        <v>Név15</v>
      </c>
      <c r="B18" s="39" t="s">
        <v>2</v>
      </c>
      <c r="C18" s="39" t="s">
        <v>2</v>
      </c>
      <c r="D18" s="39"/>
      <c r="E18" s="39"/>
      <c r="F18" s="39"/>
      <c r="G18" s="39"/>
      <c r="H18" s="39"/>
      <c r="I18" s="39"/>
      <c r="J18" s="39" t="s">
        <v>2</v>
      </c>
      <c r="K18" s="39" t="s">
        <v>2</v>
      </c>
      <c r="L18" s="39"/>
      <c r="M18" s="39"/>
      <c r="N18" s="39"/>
      <c r="O18" s="39"/>
      <c r="P18" s="39"/>
      <c r="Q18" s="39"/>
      <c r="R18" s="39" t="s">
        <v>2</v>
      </c>
      <c r="S18" s="39" t="s">
        <v>2</v>
      </c>
      <c r="T18" s="39"/>
      <c r="U18" s="39"/>
      <c r="V18" s="39"/>
      <c r="W18" s="39"/>
      <c r="X18" s="39"/>
      <c r="Y18" s="39"/>
      <c r="Z18" s="39" t="s">
        <v>2</v>
      </c>
      <c r="AA18" s="39" t="s">
        <v>2</v>
      </c>
      <c r="AB18" s="39"/>
      <c r="AC18" s="39"/>
      <c r="AD18" s="39"/>
      <c r="AE18" s="39"/>
      <c r="AF18" s="39"/>
      <c r="AH18" s="20">
        <f t="shared" si="0"/>
        <v>0</v>
      </c>
      <c r="AI18" s="20">
        <f t="shared" si="1"/>
        <v>0</v>
      </c>
    </row>
    <row r="19" spans="1:35" ht="20.100000000000001" hidden="1" customHeight="1">
      <c r="A19" s="24" t="str">
        <f>ÖSSZES!$A$64</f>
        <v>Név16</v>
      </c>
      <c r="B19" s="39" t="s">
        <v>2</v>
      </c>
      <c r="C19" s="39" t="s">
        <v>2</v>
      </c>
      <c r="D19" s="39"/>
      <c r="E19" s="39"/>
      <c r="F19" s="39"/>
      <c r="G19" s="39"/>
      <c r="H19" s="39"/>
      <c r="I19" s="39"/>
      <c r="J19" s="39" t="s">
        <v>2</v>
      </c>
      <c r="K19" s="39" t="s">
        <v>2</v>
      </c>
      <c r="L19" s="39"/>
      <c r="M19" s="39"/>
      <c r="N19" s="39"/>
      <c r="O19" s="39"/>
      <c r="P19" s="39"/>
      <c r="Q19" s="39"/>
      <c r="R19" s="39" t="s">
        <v>2</v>
      </c>
      <c r="S19" s="39" t="s">
        <v>2</v>
      </c>
      <c r="T19" s="39"/>
      <c r="U19" s="39"/>
      <c r="V19" s="39"/>
      <c r="W19" s="39"/>
      <c r="X19" s="39"/>
      <c r="Y19" s="39"/>
      <c r="Z19" s="39" t="s">
        <v>2</v>
      </c>
      <c r="AA19" s="39" t="s">
        <v>2</v>
      </c>
      <c r="AB19" s="39"/>
      <c r="AC19" s="39"/>
      <c r="AD19" s="39"/>
      <c r="AE19" s="39"/>
      <c r="AF19" s="39"/>
      <c r="AH19" s="20">
        <f t="shared" si="0"/>
        <v>0</v>
      </c>
      <c r="AI19" s="20">
        <f t="shared" si="1"/>
        <v>0</v>
      </c>
    </row>
    <row r="20" spans="1:35" ht="20.100000000000001" hidden="1" customHeight="1">
      <c r="A20" s="24" t="str">
        <f>ÖSSZES!$A$65</f>
        <v>Név17</v>
      </c>
      <c r="B20" s="39" t="s">
        <v>2</v>
      </c>
      <c r="C20" s="39" t="s">
        <v>2</v>
      </c>
      <c r="D20" s="39"/>
      <c r="E20" s="39"/>
      <c r="F20" s="39"/>
      <c r="G20" s="39"/>
      <c r="H20" s="39"/>
      <c r="I20" s="39"/>
      <c r="J20" s="39" t="s">
        <v>2</v>
      </c>
      <c r="K20" s="39" t="s">
        <v>2</v>
      </c>
      <c r="L20" s="39"/>
      <c r="M20" s="39"/>
      <c r="N20" s="39"/>
      <c r="O20" s="39"/>
      <c r="P20" s="39"/>
      <c r="Q20" s="39"/>
      <c r="R20" s="39" t="s">
        <v>2</v>
      </c>
      <c r="S20" s="39" t="s">
        <v>2</v>
      </c>
      <c r="T20" s="39"/>
      <c r="U20" s="39"/>
      <c r="V20" s="39"/>
      <c r="W20" s="39"/>
      <c r="X20" s="39"/>
      <c r="Y20" s="39"/>
      <c r="Z20" s="39" t="s">
        <v>2</v>
      </c>
      <c r="AA20" s="39" t="s">
        <v>2</v>
      </c>
      <c r="AB20" s="39"/>
      <c r="AC20" s="39"/>
      <c r="AD20" s="39"/>
      <c r="AE20" s="39"/>
      <c r="AF20" s="39"/>
      <c r="AH20" s="20">
        <f t="shared" si="0"/>
        <v>0</v>
      </c>
      <c r="AI20" s="20">
        <f t="shared" si="1"/>
        <v>0</v>
      </c>
    </row>
    <row r="21" spans="1:35" ht="20.100000000000001" hidden="1" customHeight="1">
      <c r="A21" s="24" t="str">
        <f>ÖSSZES!$A$66</f>
        <v>Név18</v>
      </c>
      <c r="B21" s="39" t="s">
        <v>2</v>
      </c>
      <c r="C21" s="39" t="s">
        <v>2</v>
      </c>
      <c r="D21" s="39"/>
      <c r="E21" s="39"/>
      <c r="F21" s="39"/>
      <c r="G21" s="39"/>
      <c r="H21" s="39"/>
      <c r="I21" s="39"/>
      <c r="J21" s="39" t="s">
        <v>2</v>
      </c>
      <c r="K21" s="39" t="s">
        <v>2</v>
      </c>
      <c r="L21" s="39"/>
      <c r="M21" s="39"/>
      <c r="N21" s="39"/>
      <c r="O21" s="39"/>
      <c r="P21" s="39"/>
      <c r="Q21" s="39"/>
      <c r="R21" s="39" t="s">
        <v>2</v>
      </c>
      <c r="S21" s="39" t="s">
        <v>2</v>
      </c>
      <c r="T21" s="39"/>
      <c r="U21" s="39"/>
      <c r="V21" s="39"/>
      <c r="W21" s="39"/>
      <c r="X21" s="39"/>
      <c r="Y21" s="39"/>
      <c r="Z21" s="39" t="s">
        <v>2</v>
      </c>
      <c r="AA21" s="39" t="s">
        <v>2</v>
      </c>
      <c r="AB21" s="39"/>
      <c r="AC21" s="39"/>
      <c r="AD21" s="39"/>
      <c r="AE21" s="39"/>
      <c r="AF21" s="39"/>
      <c r="AH21" s="20">
        <f t="shared" si="0"/>
        <v>0</v>
      </c>
      <c r="AI21" s="20">
        <f t="shared" si="1"/>
        <v>0</v>
      </c>
    </row>
    <row r="22" spans="1:35" ht="20.100000000000001" hidden="1" customHeight="1">
      <c r="A22" s="24" t="str">
        <f>ÖSSZES!$A$67</f>
        <v>Név19</v>
      </c>
      <c r="B22" s="39" t="s">
        <v>2</v>
      </c>
      <c r="C22" s="39" t="s">
        <v>2</v>
      </c>
      <c r="D22" s="39"/>
      <c r="E22" s="39"/>
      <c r="F22" s="39"/>
      <c r="G22" s="39"/>
      <c r="H22" s="39"/>
      <c r="I22" s="39"/>
      <c r="J22" s="39" t="s">
        <v>2</v>
      </c>
      <c r="K22" s="39" t="s">
        <v>2</v>
      </c>
      <c r="L22" s="39"/>
      <c r="M22" s="39"/>
      <c r="N22" s="39"/>
      <c r="O22" s="39"/>
      <c r="P22" s="39"/>
      <c r="Q22" s="39"/>
      <c r="R22" s="39" t="s">
        <v>2</v>
      </c>
      <c r="S22" s="39" t="s">
        <v>2</v>
      </c>
      <c r="T22" s="39"/>
      <c r="U22" s="39"/>
      <c r="V22" s="39"/>
      <c r="W22" s="39"/>
      <c r="X22" s="39"/>
      <c r="Y22" s="39"/>
      <c r="Z22" s="39" t="s">
        <v>2</v>
      </c>
      <c r="AA22" s="39" t="s">
        <v>2</v>
      </c>
      <c r="AB22" s="39"/>
      <c r="AC22" s="39"/>
      <c r="AD22" s="39"/>
      <c r="AE22" s="39"/>
      <c r="AF22" s="39"/>
      <c r="AH22" s="20">
        <f t="shared" si="0"/>
        <v>0</v>
      </c>
      <c r="AI22" s="20">
        <f t="shared" si="1"/>
        <v>0</v>
      </c>
    </row>
    <row r="23" spans="1:35" ht="20.100000000000001" hidden="1" customHeight="1">
      <c r="A23" s="24" t="str">
        <f>ÖSSZES!$A$68</f>
        <v>Név20</v>
      </c>
      <c r="B23" s="39" t="s">
        <v>2</v>
      </c>
      <c r="C23" s="39" t="s">
        <v>2</v>
      </c>
      <c r="D23" s="39"/>
      <c r="E23" s="39"/>
      <c r="F23" s="39"/>
      <c r="G23" s="39"/>
      <c r="H23" s="39"/>
      <c r="I23" s="39"/>
      <c r="J23" s="39" t="s">
        <v>2</v>
      </c>
      <c r="K23" s="39" t="s">
        <v>2</v>
      </c>
      <c r="L23" s="39"/>
      <c r="M23" s="39"/>
      <c r="N23" s="39"/>
      <c r="O23" s="39"/>
      <c r="P23" s="39"/>
      <c r="Q23" s="39"/>
      <c r="R23" s="39" t="s">
        <v>2</v>
      </c>
      <c r="S23" s="39" t="s">
        <v>2</v>
      </c>
      <c r="T23" s="39"/>
      <c r="U23" s="39"/>
      <c r="V23" s="39"/>
      <c r="W23" s="39"/>
      <c r="X23" s="39"/>
      <c r="Y23" s="39"/>
      <c r="Z23" s="39" t="s">
        <v>2</v>
      </c>
      <c r="AA23" s="39" t="s">
        <v>2</v>
      </c>
      <c r="AB23" s="39"/>
      <c r="AC23" s="39"/>
      <c r="AD23" s="39"/>
      <c r="AE23" s="39"/>
      <c r="AF23" s="39"/>
      <c r="AH23" s="20">
        <f t="shared" si="0"/>
        <v>0</v>
      </c>
      <c r="AI23" s="20">
        <f t="shared" si="1"/>
        <v>0</v>
      </c>
    </row>
    <row r="24" spans="1:35" ht="20.100000000000001" customHeight="1"/>
    <row r="25" spans="1:35" s="11" customFormat="1" ht="20.100000000000001" customHeight="1">
      <c r="A25" s="57" t="s">
        <v>6</v>
      </c>
      <c r="B25" s="23">
        <v>1</v>
      </c>
      <c r="C25" s="23">
        <v>2</v>
      </c>
      <c r="D25" s="23">
        <v>3</v>
      </c>
      <c r="E25" s="23">
        <v>4</v>
      </c>
      <c r="F25" s="23">
        <v>5</v>
      </c>
      <c r="G25" s="23">
        <v>6</v>
      </c>
      <c r="H25" s="23">
        <v>7</v>
      </c>
      <c r="I25" s="23">
        <v>8</v>
      </c>
      <c r="J25" s="23">
        <v>9</v>
      </c>
      <c r="K25" s="23">
        <v>10</v>
      </c>
      <c r="L25" s="23">
        <v>11</v>
      </c>
      <c r="M25" s="23">
        <v>12</v>
      </c>
      <c r="N25" s="23">
        <v>13</v>
      </c>
      <c r="O25" s="23">
        <v>14</v>
      </c>
      <c r="P25" s="23">
        <v>15</v>
      </c>
      <c r="Q25" s="23">
        <v>16</v>
      </c>
      <c r="R25" s="23">
        <v>17</v>
      </c>
      <c r="S25" s="23">
        <v>18</v>
      </c>
      <c r="T25" s="23">
        <v>19</v>
      </c>
      <c r="U25" s="23">
        <v>20</v>
      </c>
      <c r="V25" s="23">
        <v>21</v>
      </c>
      <c r="W25" s="23">
        <v>22</v>
      </c>
      <c r="X25" s="23">
        <v>23</v>
      </c>
      <c r="Y25" s="23">
        <v>24</v>
      </c>
      <c r="Z25" s="23">
        <v>25</v>
      </c>
      <c r="AA25" s="23">
        <v>26</v>
      </c>
      <c r="AB25" s="23">
        <v>27</v>
      </c>
      <c r="AC25" s="23">
        <v>28</v>
      </c>
      <c r="AH25" s="59" t="s">
        <v>18</v>
      </c>
      <c r="AI25" s="59" t="s">
        <v>19</v>
      </c>
    </row>
    <row r="26" spans="1:35" ht="20.100000000000001" customHeight="1">
      <c r="A26" s="61"/>
      <c r="B26" s="15" t="str">
        <f>'2021'!B12</f>
        <v>H</v>
      </c>
      <c r="C26" s="15" t="str">
        <f>'2021'!C12</f>
        <v>K</v>
      </c>
      <c r="D26" s="15" t="str">
        <f>'2021'!D12</f>
        <v>Sze</v>
      </c>
      <c r="E26" s="15" t="str">
        <f>'2021'!E12</f>
        <v>Cs</v>
      </c>
      <c r="F26" s="15" t="str">
        <f>'2021'!F12</f>
        <v>P</v>
      </c>
      <c r="G26" s="15" t="str">
        <f>'2021'!G12</f>
        <v>Szo</v>
      </c>
      <c r="H26" s="15" t="str">
        <f>'2021'!H12</f>
        <v>V</v>
      </c>
      <c r="I26" s="15" t="str">
        <f>'2021'!I12</f>
        <v>H</v>
      </c>
      <c r="J26" s="15" t="str">
        <f>'2021'!J12</f>
        <v>K</v>
      </c>
      <c r="K26" s="15" t="str">
        <f>'2021'!K12</f>
        <v>Sze</v>
      </c>
      <c r="L26" s="15" t="str">
        <f>'2021'!L12</f>
        <v>Cs</v>
      </c>
      <c r="M26" s="15" t="str">
        <f>'2021'!M12</f>
        <v>P</v>
      </c>
      <c r="N26" s="15" t="str">
        <f>'2021'!N12</f>
        <v>Szo</v>
      </c>
      <c r="O26" s="15" t="str">
        <f>'2021'!O12</f>
        <v>V</v>
      </c>
      <c r="P26" s="15" t="str">
        <f>'2021'!P12</f>
        <v>H</v>
      </c>
      <c r="Q26" s="15" t="str">
        <f>'2021'!Q12</f>
        <v>K</v>
      </c>
      <c r="R26" s="15" t="str">
        <f>'2021'!R12</f>
        <v>Sze</v>
      </c>
      <c r="S26" s="15" t="str">
        <f>'2021'!S12</f>
        <v>Cs</v>
      </c>
      <c r="T26" s="15" t="str">
        <f>'2021'!T12</f>
        <v>P</v>
      </c>
      <c r="U26" s="15" t="str">
        <f>'2021'!U12</f>
        <v>Szo</v>
      </c>
      <c r="V26" s="15" t="str">
        <f>'2021'!V12</f>
        <v>V</v>
      </c>
      <c r="W26" s="15" t="str">
        <f>'2021'!W12</f>
        <v>H</v>
      </c>
      <c r="X26" s="15" t="str">
        <f>'2021'!X12</f>
        <v>K</v>
      </c>
      <c r="Y26" s="15" t="str">
        <f>'2021'!Y12</f>
        <v>Sze</v>
      </c>
      <c r="Z26" s="15" t="str">
        <f>'2021'!Z12</f>
        <v>Cs</v>
      </c>
      <c r="AA26" s="15" t="str">
        <f>'2021'!AA12</f>
        <v>P</v>
      </c>
      <c r="AB26" s="15" t="str">
        <f>'2021'!AB12</f>
        <v>Szo</v>
      </c>
      <c r="AC26" s="15" t="str">
        <f>'2021'!AC12</f>
        <v>V</v>
      </c>
      <c r="AD26" s="6"/>
      <c r="AE26" s="6"/>
      <c r="AF26" s="6"/>
      <c r="AH26" s="60"/>
      <c r="AI26" s="60"/>
    </row>
    <row r="27" spans="1:35" ht="20.100000000000001" customHeight="1">
      <c r="A27" s="61"/>
      <c r="B27" s="15">
        <f>'2021'!B15</f>
        <v>3</v>
      </c>
      <c r="C27" s="15" t="str">
        <f>'2021'!C15</f>
        <v>X</v>
      </c>
      <c r="D27" s="15" t="str">
        <f>'2021'!D15</f>
        <v>X</v>
      </c>
      <c r="E27" s="15">
        <f>'2021'!E15</f>
        <v>2</v>
      </c>
      <c r="F27" s="15">
        <f>'2021'!F15</f>
        <v>2</v>
      </c>
      <c r="G27" s="15">
        <f>'2021'!G15</f>
        <v>2</v>
      </c>
      <c r="H27" s="15">
        <f>'2021'!H15</f>
        <v>2</v>
      </c>
      <c r="I27" s="15">
        <f>'2021'!I15</f>
        <v>2</v>
      </c>
      <c r="J27" s="15">
        <f>'2021'!J15</f>
        <v>2</v>
      </c>
      <c r="K27" s="15" t="str">
        <f>'2021'!K15</f>
        <v>X</v>
      </c>
      <c r="L27" s="15" t="str">
        <f>'2021'!L15</f>
        <v>X</v>
      </c>
      <c r="M27" s="15">
        <f>'2021'!M15</f>
        <v>1</v>
      </c>
      <c r="N27" s="15">
        <f>'2021'!N15</f>
        <v>1</v>
      </c>
      <c r="O27" s="15">
        <f>'2021'!O15</f>
        <v>1</v>
      </c>
      <c r="P27" s="15">
        <f>'2021'!P15</f>
        <v>1</v>
      </c>
      <c r="Q27" s="15">
        <f>'2021'!Q15</f>
        <v>1</v>
      </c>
      <c r="R27" s="15">
        <f>'2021'!R15</f>
        <v>1</v>
      </c>
      <c r="S27" s="15" t="str">
        <f>'2021'!S15</f>
        <v>X</v>
      </c>
      <c r="T27" s="15" t="str">
        <f>'2021'!T15</f>
        <v>X</v>
      </c>
      <c r="U27" s="15">
        <f>'2021'!U15</f>
        <v>3</v>
      </c>
      <c r="V27" s="15">
        <f>'2021'!V15</f>
        <v>3</v>
      </c>
      <c r="W27" s="15">
        <f>'2021'!W15</f>
        <v>3</v>
      </c>
      <c r="X27" s="15">
        <f>'2021'!X15</f>
        <v>3</v>
      </c>
      <c r="Y27" s="15">
        <f>'2021'!Y15</f>
        <v>3</v>
      </c>
      <c r="Z27" s="15">
        <f>'2021'!Z15</f>
        <v>3</v>
      </c>
      <c r="AA27" s="15" t="str">
        <f>'2021'!AA15</f>
        <v>X</v>
      </c>
      <c r="AB27" s="15" t="str">
        <f>'2021'!AB15</f>
        <v>X</v>
      </c>
      <c r="AC27" s="15">
        <f>'2021'!AC15</f>
        <v>2</v>
      </c>
      <c r="AD27" s="6"/>
      <c r="AE27" s="6"/>
      <c r="AF27" s="6"/>
      <c r="AH27" s="60"/>
      <c r="AI27" s="60"/>
    </row>
    <row r="28" spans="1:35" ht="20.100000000000001" customHeight="1">
      <c r="A28" s="24" t="str">
        <f>ÖSSZES!$A$49</f>
        <v>Kuik-Filep András</v>
      </c>
      <c r="B28" s="19"/>
      <c r="C28" s="39" t="s">
        <v>2</v>
      </c>
      <c r="D28" s="39" t="s">
        <v>2</v>
      </c>
      <c r="E28" s="19"/>
      <c r="F28" s="19"/>
      <c r="G28" s="19"/>
      <c r="H28" s="19"/>
      <c r="I28" s="19"/>
      <c r="J28" s="19"/>
      <c r="K28" s="39" t="s">
        <v>2</v>
      </c>
      <c r="L28" s="39" t="s">
        <v>2</v>
      </c>
      <c r="M28" s="19"/>
      <c r="N28" s="19"/>
      <c r="O28" s="19"/>
      <c r="P28" s="19"/>
      <c r="Q28" s="19"/>
      <c r="R28" s="19"/>
      <c r="S28" s="39" t="s">
        <v>2</v>
      </c>
      <c r="T28" s="39" t="s">
        <v>2</v>
      </c>
      <c r="U28" s="19"/>
      <c r="V28" s="19"/>
      <c r="W28" s="19"/>
      <c r="X28" s="19"/>
      <c r="Y28" s="19"/>
      <c r="Z28" s="19"/>
      <c r="AA28" s="39" t="s">
        <v>2</v>
      </c>
      <c r="AB28" s="39" t="s">
        <v>2</v>
      </c>
      <c r="AC28" s="19"/>
      <c r="AD28" s="6"/>
      <c r="AE28" s="6"/>
      <c r="AF28" s="6"/>
      <c r="AH28" s="20">
        <f>1*COUNTIF(A28:AF28,"+")</f>
        <v>0</v>
      </c>
      <c r="AI28" s="20">
        <f t="shared" ref="AI28" si="2">1*COUNTIF(B28:AF28,"szf")</f>
        <v>0</v>
      </c>
    </row>
    <row r="29" spans="1:35" ht="20.100000000000001" customHeight="1">
      <c r="A29" s="24" t="str">
        <f>ÖSSZES!$A$50</f>
        <v>Balogh Zsolt</v>
      </c>
      <c r="B29" s="19"/>
      <c r="C29" s="39" t="s">
        <v>2</v>
      </c>
      <c r="D29" s="39" t="s">
        <v>2</v>
      </c>
      <c r="E29" s="19"/>
      <c r="F29" s="19"/>
      <c r="G29" s="19"/>
      <c r="H29" s="19"/>
      <c r="I29" s="19"/>
      <c r="J29" s="19"/>
      <c r="K29" s="39" t="s">
        <v>2</v>
      </c>
      <c r="L29" s="39" t="s">
        <v>2</v>
      </c>
      <c r="M29" s="19"/>
      <c r="N29" s="19"/>
      <c r="O29" s="19"/>
      <c r="P29" s="19"/>
      <c r="Q29" s="19"/>
      <c r="R29" s="19"/>
      <c r="S29" s="39" t="s">
        <v>2</v>
      </c>
      <c r="T29" s="39" t="s">
        <v>2</v>
      </c>
      <c r="U29" s="19"/>
      <c r="V29" s="19"/>
      <c r="W29" s="19"/>
      <c r="X29" s="19"/>
      <c r="Y29" s="19"/>
      <c r="Z29" s="19"/>
      <c r="AA29" s="39" t="s">
        <v>2</v>
      </c>
      <c r="AB29" s="39" t="s">
        <v>2</v>
      </c>
      <c r="AC29" s="19"/>
      <c r="AD29" s="6"/>
      <c r="AE29" s="6"/>
      <c r="AF29" s="6"/>
      <c r="AH29" s="20">
        <f t="shared" ref="AH29:AH47" si="3">1*COUNTIF(A29:AF29,"+")</f>
        <v>0</v>
      </c>
      <c r="AI29" s="20">
        <f t="shared" ref="AI29:AI47" si="4">1*COUNTIF(B29:AF29,"szf")</f>
        <v>0</v>
      </c>
    </row>
    <row r="30" spans="1:35" ht="20.100000000000001" customHeight="1">
      <c r="A30" s="24" t="str">
        <f>ÖSSZES!$A$51</f>
        <v>Éliás Viktor</v>
      </c>
      <c r="B30" s="19"/>
      <c r="C30" s="39" t="s">
        <v>2</v>
      </c>
      <c r="D30" s="39" t="s">
        <v>2</v>
      </c>
      <c r="E30" s="19"/>
      <c r="F30" s="19"/>
      <c r="G30" s="19"/>
      <c r="H30" s="19"/>
      <c r="I30" s="19"/>
      <c r="J30" s="19"/>
      <c r="K30" s="39" t="s">
        <v>2</v>
      </c>
      <c r="L30" s="39" t="s">
        <v>2</v>
      </c>
      <c r="M30" s="19"/>
      <c r="N30" s="19"/>
      <c r="O30" s="19"/>
      <c r="P30" s="19"/>
      <c r="Q30" s="19"/>
      <c r="R30" s="19"/>
      <c r="S30" s="39" t="s">
        <v>2</v>
      </c>
      <c r="T30" s="39" t="s">
        <v>2</v>
      </c>
      <c r="U30" s="19"/>
      <c r="V30" s="19"/>
      <c r="W30" s="19"/>
      <c r="X30" s="19"/>
      <c r="Y30" s="19"/>
      <c r="Z30" s="19"/>
      <c r="AA30" s="39" t="s">
        <v>2</v>
      </c>
      <c r="AB30" s="39" t="s">
        <v>2</v>
      </c>
      <c r="AC30" s="19"/>
      <c r="AD30" s="6"/>
      <c r="AE30" s="6"/>
      <c r="AF30" s="6"/>
      <c r="AH30" s="20">
        <f t="shared" si="3"/>
        <v>0</v>
      </c>
      <c r="AI30" s="20">
        <f t="shared" si="4"/>
        <v>0</v>
      </c>
    </row>
    <row r="31" spans="1:35" ht="20.100000000000001" customHeight="1">
      <c r="A31" s="24" t="str">
        <f>ÖSSZES!$A$52</f>
        <v>Hadházi Kálmán</v>
      </c>
      <c r="B31" s="19"/>
      <c r="C31" s="39" t="s">
        <v>2</v>
      </c>
      <c r="D31" s="39" t="s">
        <v>2</v>
      </c>
      <c r="E31" s="19"/>
      <c r="F31" s="19"/>
      <c r="G31" s="19"/>
      <c r="H31" s="19"/>
      <c r="I31" s="19"/>
      <c r="J31" s="19"/>
      <c r="K31" s="39" t="s">
        <v>2</v>
      </c>
      <c r="L31" s="39" t="s">
        <v>2</v>
      </c>
      <c r="M31" s="19"/>
      <c r="N31" s="19"/>
      <c r="O31" s="19"/>
      <c r="P31" s="19"/>
      <c r="Q31" s="19"/>
      <c r="R31" s="19"/>
      <c r="S31" s="39" t="s">
        <v>2</v>
      </c>
      <c r="T31" s="39" t="s">
        <v>2</v>
      </c>
      <c r="U31" s="19"/>
      <c r="V31" s="19"/>
      <c r="W31" s="19"/>
      <c r="X31" s="19"/>
      <c r="Y31" s="19"/>
      <c r="Z31" s="19"/>
      <c r="AA31" s="39" t="s">
        <v>2</v>
      </c>
      <c r="AB31" s="39" t="s">
        <v>2</v>
      </c>
      <c r="AC31" s="19"/>
      <c r="AD31" s="6"/>
      <c r="AE31" s="6"/>
      <c r="AF31" s="6"/>
      <c r="AH31" s="20">
        <f t="shared" si="3"/>
        <v>0</v>
      </c>
      <c r="AI31" s="20">
        <f t="shared" si="4"/>
        <v>0</v>
      </c>
    </row>
    <row r="32" spans="1:35" ht="20.100000000000001" customHeight="1">
      <c r="A32" s="24" t="str">
        <f>ÖSSZES!$A$53</f>
        <v>Kiss Attila</v>
      </c>
      <c r="B32" s="19"/>
      <c r="C32" s="39" t="s">
        <v>2</v>
      </c>
      <c r="D32" s="39" t="s">
        <v>2</v>
      </c>
      <c r="E32" s="19"/>
      <c r="F32" s="19"/>
      <c r="G32" s="19"/>
      <c r="H32" s="19"/>
      <c r="I32" s="19"/>
      <c r="J32" s="19"/>
      <c r="K32" s="39" t="s">
        <v>2</v>
      </c>
      <c r="L32" s="39" t="s">
        <v>2</v>
      </c>
      <c r="M32" s="19"/>
      <c r="N32" s="19"/>
      <c r="O32" s="19"/>
      <c r="P32" s="19"/>
      <c r="Q32" s="19"/>
      <c r="R32" s="19"/>
      <c r="S32" s="39" t="s">
        <v>2</v>
      </c>
      <c r="T32" s="39" t="s">
        <v>2</v>
      </c>
      <c r="U32" s="19"/>
      <c r="V32" s="19"/>
      <c r="W32" s="19"/>
      <c r="X32" s="19"/>
      <c r="Y32" s="19"/>
      <c r="Z32" s="19"/>
      <c r="AA32" s="39" t="s">
        <v>2</v>
      </c>
      <c r="AB32" s="39" t="s">
        <v>2</v>
      </c>
      <c r="AC32" s="19"/>
      <c r="AD32" s="6"/>
      <c r="AE32" s="6"/>
      <c r="AF32" s="6"/>
      <c r="AH32" s="20">
        <f t="shared" si="3"/>
        <v>0</v>
      </c>
      <c r="AI32" s="20">
        <f t="shared" si="4"/>
        <v>0</v>
      </c>
    </row>
    <row r="33" spans="1:35" ht="20.100000000000001" customHeight="1">
      <c r="A33" s="24" t="str">
        <f>ÖSSZES!$A$54</f>
        <v>Serestyén Dániel</v>
      </c>
      <c r="B33" s="19"/>
      <c r="C33" s="39" t="s">
        <v>2</v>
      </c>
      <c r="D33" s="39" t="s">
        <v>2</v>
      </c>
      <c r="E33" s="19"/>
      <c r="F33" s="19"/>
      <c r="G33" s="19"/>
      <c r="H33" s="19"/>
      <c r="I33" s="19"/>
      <c r="J33" s="19"/>
      <c r="K33" s="39" t="s">
        <v>2</v>
      </c>
      <c r="L33" s="39" t="s">
        <v>2</v>
      </c>
      <c r="M33" s="19"/>
      <c r="N33" s="19"/>
      <c r="O33" s="19"/>
      <c r="P33" s="19"/>
      <c r="Q33" s="19"/>
      <c r="R33" s="19"/>
      <c r="S33" s="39" t="s">
        <v>2</v>
      </c>
      <c r="T33" s="39" t="s">
        <v>2</v>
      </c>
      <c r="U33" s="19"/>
      <c r="V33" s="19"/>
      <c r="W33" s="19"/>
      <c r="X33" s="19"/>
      <c r="Y33" s="19"/>
      <c r="Z33" s="19"/>
      <c r="AA33" s="39" t="s">
        <v>2</v>
      </c>
      <c r="AB33" s="39" t="s">
        <v>2</v>
      </c>
      <c r="AC33" s="19"/>
      <c r="AD33" s="6"/>
      <c r="AE33" s="6"/>
      <c r="AF33" s="6"/>
      <c r="AH33" s="20">
        <f t="shared" si="3"/>
        <v>0</v>
      </c>
      <c r="AI33" s="20">
        <f t="shared" si="4"/>
        <v>0</v>
      </c>
    </row>
    <row r="34" spans="1:35" ht="20.100000000000001" customHeight="1">
      <c r="A34" s="24" t="str">
        <f>ÖSSZES!$A$55</f>
        <v>Varga Imre</v>
      </c>
      <c r="B34" s="19"/>
      <c r="C34" s="39" t="s">
        <v>2</v>
      </c>
      <c r="D34" s="39" t="s">
        <v>2</v>
      </c>
      <c r="E34" s="19"/>
      <c r="F34" s="19"/>
      <c r="G34" s="19"/>
      <c r="H34" s="19"/>
      <c r="I34" s="19"/>
      <c r="J34" s="19"/>
      <c r="K34" s="39" t="s">
        <v>2</v>
      </c>
      <c r="L34" s="39" t="s">
        <v>2</v>
      </c>
      <c r="M34" s="19"/>
      <c r="N34" s="19"/>
      <c r="O34" s="19"/>
      <c r="P34" s="19"/>
      <c r="Q34" s="19"/>
      <c r="R34" s="19"/>
      <c r="S34" s="39" t="s">
        <v>2</v>
      </c>
      <c r="T34" s="39" t="s">
        <v>2</v>
      </c>
      <c r="U34" s="19"/>
      <c r="V34" s="19"/>
      <c r="W34" s="19"/>
      <c r="X34" s="19"/>
      <c r="Y34" s="19"/>
      <c r="Z34" s="19"/>
      <c r="AA34" s="39" t="s">
        <v>2</v>
      </c>
      <c r="AB34" s="39" t="s">
        <v>2</v>
      </c>
      <c r="AC34" s="19"/>
      <c r="AD34" s="6"/>
      <c r="AE34" s="6"/>
      <c r="AF34" s="6"/>
      <c r="AH34" s="20">
        <f t="shared" si="3"/>
        <v>0</v>
      </c>
      <c r="AI34" s="20">
        <f t="shared" si="4"/>
        <v>0</v>
      </c>
    </row>
    <row r="35" spans="1:35" ht="20.100000000000001" hidden="1" customHeight="1">
      <c r="A35" s="24" t="str">
        <f>ÖSSZES!$A$56</f>
        <v>Név8</v>
      </c>
      <c r="B35" s="19"/>
      <c r="C35" s="39" t="s">
        <v>2</v>
      </c>
      <c r="D35" s="39" t="s">
        <v>2</v>
      </c>
      <c r="E35" s="19"/>
      <c r="F35" s="19"/>
      <c r="G35" s="19"/>
      <c r="H35" s="19"/>
      <c r="I35" s="19"/>
      <c r="J35" s="19"/>
      <c r="K35" s="39" t="s">
        <v>2</v>
      </c>
      <c r="L35" s="39" t="s">
        <v>2</v>
      </c>
      <c r="M35" s="19"/>
      <c r="N35" s="19"/>
      <c r="O35" s="19"/>
      <c r="P35" s="19"/>
      <c r="Q35" s="19"/>
      <c r="R35" s="19"/>
      <c r="S35" s="39" t="s">
        <v>2</v>
      </c>
      <c r="T35" s="39" t="s">
        <v>2</v>
      </c>
      <c r="U35" s="19"/>
      <c r="V35" s="19"/>
      <c r="W35" s="19"/>
      <c r="X35" s="19"/>
      <c r="Y35" s="19"/>
      <c r="Z35" s="19"/>
      <c r="AA35" s="39" t="s">
        <v>2</v>
      </c>
      <c r="AB35" s="39" t="s">
        <v>2</v>
      </c>
      <c r="AC35" s="19"/>
      <c r="AD35" s="6"/>
      <c r="AE35" s="6"/>
      <c r="AF35" s="6"/>
      <c r="AH35" s="20">
        <f t="shared" si="3"/>
        <v>0</v>
      </c>
      <c r="AI35" s="20">
        <f t="shared" si="4"/>
        <v>0</v>
      </c>
    </row>
    <row r="36" spans="1:35" ht="20.100000000000001" hidden="1" customHeight="1">
      <c r="A36" s="24" t="str">
        <f>ÖSSZES!$A$57</f>
        <v>Név9</v>
      </c>
      <c r="B36" s="19"/>
      <c r="C36" s="39" t="s">
        <v>2</v>
      </c>
      <c r="D36" s="39" t="s">
        <v>2</v>
      </c>
      <c r="E36" s="19"/>
      <c r="F36" s="19"/>
      <c r="G36" s="19"/>
      <c r="H36" s="19"/>
      <c r="I36" s="19"/>
      <c r="J36" s="19"/>
      <c r="K36" s="39" t="s">
        <v>2</v>
      </c>
      <c r="L36" s="39" t="s">
        <v>2</v>
      </c>
      <c r="M36" s="19"/>
      <c r="N36" s="19"/>
      <c r="O36" s="19"/>
      <c r="P36" s="19"/>
      <c r="Q36" s="19"/>
      <c r="R36" s="19"/>
      <c r="S36" s="39" t="s">
        <v>2</v>
      </c>
      <c r="T36" s="39" t="s">
        <v>2</v>
      </c>
      <c r="U36" s="19"/>
      <c r="V36" s="19"/>
      <c r="W36" s="19"/>
      <c r="X36" s="19"/>
      <c r="Y36" s="19"/>
      <c r="Z36" s="19"/>
      <c r="AA36" s="39" t="s">
        <v>2</v>
      </c>
      <c r="AB36" s="39" t="s">
        <v>2</v>
      </c>
      <c r="AC36" s="19"/>
      <c r="AD36" s="6"/>
      <c r="AE36" s="6"/>
      <c r="AF36" s="6"/>
      <c r="AH36" s="20">
        <f t="shared" si="3"/>
        <v>0</v>
      </c>
      <c r="AI36" s="20">
        <f t="shared" si="4"/>
        <v>0</v>
      </c>
    </row>
    <row r="37" spans="1:35" ht="20.100000000000001" hidden="1" customHeight="1">
      <c r="A37" s="24" t="str">
        <f>ÖSSZES!$A$58</f>
        <v>Név10</v>
      </c>
      <c r="B37" s="19"/>
      <c r="C37" s="39" t="s">
        <v>2</v>
      </c>
      <c r="D37" s="39" t="s">
        <v>2</v>
      </c>
      <c r="E37" s="19"/>
      <c r="F37" s="19"/>
      <c r="G37" s="19"/>
      <c r="H37" s="19"/>
      <c r="I37" s="19"/>
      <c r="J37" s="19"/>
      <c r="K37" s="39" t="s">
        <v>2</v>
      </c>
      <c r="L37" s="39" t="s">
        <v>2</v>
      </c>
      <c r="M37" s="19"/>
      <c r="N37" s="19"/>
      <c r="O37" s="19"/>
      <c r="P37" s="19"/>
      <c r="Q37" s="19"/>
      <c r="R37" s="19"/>
      <c r="S37" s="39" t="s">
        <v>2</v>
      </c>
      <c r="T37" s="39" t="s">
        <v>2</v>
      </c>
      <c r="U37" s="19"/>
      <c r="V37" s="19"/>
      <c r="W37" s="19"/>
      <c r="X37" s="19"/>
      <c r="Y37" s="19"/>
      <c r="Z37" s="19"/>
      <c r="AA37" s="39" t="s">
        <v>2</v>
      </c>
      <c r="AB37" s="39" t="s">
        <v>2</v>
      </c>
      <c r="AC37" s="19"/>
      <c r="AD37" s="6"/>
      <c r="AE37" s="6"/>
      <c r="AF37" s="6"/>
      <c r="AH37" s="20">
        <f t="shared" si="3"/>
        <v>0</v>
      </c>
      <c r="AI37" s="20">
        <f t="shared" si="4"/>
        <v>0</v>
      </c>
    </row>
    <row r="38" spans="1:35" ht="20.100000000000001" hidden="1" customHeight="1">
      <c r="A38" s="24" t="str">
        <f>ÖSSZES!$A$59</f>
        <v>Név11</v>
      </c>
      <c r="B38" s="19"/>
      <c r="C38" s="39" t="s">
        <v>2</v>
      </c>
      <c r="D38" s="39" t="s">
        <v>2</v>
      </c>
      <c r="E38" s="19"/>
      <c r="F38" s="19"/>
      <c r="G38" s="19"/>
      <c r="H38" s="19"/>
      <c r="I38" s="19"/>
      <c r="J38" s="19"/>
      <c r="K38" s="39" t="s">
        <v>2</v>
      </c>
      <c r="L38" s="39" t="s">
        <v>2</v>
      </c>
      <c r="M38" s="19"/>
      <c r="N38" s="19"/>
      <c r="O38" s="19"/>
      <c r="P38" s="19"/>
      <c r="Q38" s="19"/>
      <c r="R38" s="19"/>
      <c r="S38" s="39" t="s">
        <v>2</v>
      </c>
      <c r="T38" s="39" t="s">
        <v>2</v>
      </c>
      <c r="U38" s="19"/>
      <c r="V38" s="19"/>
      <c r="W38" s="19"/>
      <c r="X38" s="19"/>
      <c r="Y38" s="19"/>
      <c r="Z38" s="19"/>
      <c r="AA38" s="39" t="s">
        <v>2</v>
      </c>
      <c r="AB38" s="39" t="s">
        <v>2</v>
      </c>
      <c r="AC38" s="19"/>
      <c r="AD38" s="6"/>
      <c r="AE38" s="6"/>
      <c r="AF38" s="6"/>
      <c r="AH38" s="20">
        <f t="shared" si="3"/>
        <v>0</v>
      </c>
      <c r="AI38" s="20">
        <f t="shared" si="4"/>
        <v>0</v>
      </c>
    </row>
    <row r="39" spans="1:35" ht="20.100000000000001" hidden="1" customHeight="1">
      <c r="A39" s="24" t="str">
        <f>ÖSSZES!$A$60</f>
        <v>Név12</v>
      </c>
      <c r="B39" s="19"/>
      <c r="C39" s="39" t="s">
        <v>2</v>
      </c>
      <c r="D39" s="39" t="s">
        <v>2</v>
      </c>
      <c r="E39" s="19"/>
      <c r="F39" s="19"/>
      <c r="G39" s="19"/>
      <c r="H39" s="19"/>
      <c r="I39" s="19"/>
      <c r="J39" s="19"/>
      <c r="K39" s="39" t="s">
        <v>2</v>
      </c>
      <c r="L39" s="39" t="s">
        <v>2</v>
      </c>
      <c r="M39" s="19"/>
      <c r="N39" s="19"/>
      <c r="O39" s="19"/>
      <c r="P39" s="19"/>
      <c r="Q39" s="19"/>
      <c r="R39" s="19"/>
      <c r="S39" s="39" t="s">
        <v>2</v>
      </c>
      <c r="T39" s="39" t="s">
        <v>2</v>
      </c>
      <c r="U39" s="19"/>
      <c r="V39" s="19"/>
      <c r="W39" s="19"/>
      <c r="X39" s="19"/>
      <c r="Y39" s="19"/>
      <c r="Z39" s="19"/>
      <c r="AA39" s="39" t="s">
        <v>2</v>
      </c>
      <c r="AB39" s="39" t="s">
        <v>2</v>
      </c>
      <c r="AC39" s="19"/>
      <c r="AD39" s="6"/>
      <c r="AE39" s="6"/>
      <c r="AF39" s="6"/>
      <c r="AH39" s="20">
        <f t="shared" si="3"/>
        <v>0</v>
      </c>
      <c r="AI39" s="20">
        <f t="shared" si="4"/>
        <v>0</v>
      </c>
    </row>
    <row r="40" spans="1:35" ht="20.100000000000001" hidden="1" customHeight="1">
      <c r="A40" s="24" t="str">
        <f>ÖSSZES!$A$61</f>
        <v>Név13</v>
      </c>
      <c r="B40" s="19"/>
      <c r="C40" s="39" t="s">
        <v>2</v>
      </c>
      <c r="D40" s="39" t="s">
        <v>2</v>
      </c>
      <c r="E40" s="19"/>
      <c r="F40" s="19"/>
      <c r="G40" s="19"/>
      <c r="H40" s="19"/>
      <c r="I40" s="19"/>
      <c r="J40" s="19"/>
      <c r="K40" s="39" t="s">
        <v>2</v>
      </c>
      <c r="L40" s="39" t="s">
        <v>2</v>
      </c>
      <c r="M40" s="19"/>
      <c r="N40" s="19"/>
      <c r="O40" s="19"/>
      <c r="P40" s="19"/>
      <c r="Q40" s="19"/>
      <c r="R40" s="19"/>
      <c r="S40" s="39" t="s">
        <v>2</v>
      </c>
      <c r="T40" s="39" t="s">
        <v>2</v>
      </c>
      <c r="U40" s="19"/>
      <c r="V40" s="19"/>
      <c r="W40" s="19"/>
      <c r="X40" s="19"/>
      <c r="Y40" s="19"/>
      <c r="Z40" s="19"/>
      <c r="AA40" s="39" t="s">
        <v>2</v>
      </c>
      <c r="AB40" s="39" t="s">
        <v>2</v>
      </c>
      <c r="AC40" s="19"/>
      <c r="AD40" s="6"/>
      <c r="AE40" s="6"/>
      <c r="AF40" s="6"/>
      <c r="AH40" s="20">
        <f t="shared" si="3"/>
        <v>0</v>
      </c>
      <c r="AI40" s="20">
        <f t="shared" si="4"/>
        <v>0</v>
      </c>
    </row>
    <row r="41" spans="1:35" ht="20.100000000000001" hidden="1" customHeight="1">
      <c r="A41" s="24" t="str">
        <f>ÖSSZES!$A$62</f>
        <v>Név14</v>
      </c>
      <c r="B41" s="19"/>
      <c r="C41" s="39" t="s">
        <v>2</v>
      </c>
      <c r="D41" s="39" t="s">
        <v>2</v>
      </c>
      <c r="E41" s="19"/>
      <c r="F41" s="19"/>
      <c r="G41" s="19"/>
      <c r="H41" s="19"/>
      <c r="I41" s="19"/>
      <c r="J41" s="19"/>
      <c r="K41" s="39" t="s">
        <v>2</v>
      </c>
      <c r="L41" s="39" t="s">
        <v>2</v>
      </c>
      <c r="M41" s="19"/>
      <c r="N41" s="19"/>
      <c r="O41" s="19"/>
      <c r="P41" s="19"/>
      <c r="Q41" s="19"/>
      <c r="R41" s="19"/>
      <c r="S41" s="39" t="s">
        <v>2</v>
      </c>
      <c r="T41" s="39" t="s">
        <v>2</v>
      </c>
      <c r="U41" s="19"/>
      <c r="V41" s="19"/>
      <c r="W41" s="19"/>
      <c r="X41" s="19"/>
      <c r="Y41" s="19"/>
      <c r="Z41" s="19"/>
      <c r="AA41" s="39" t="s">
        <v>2</v>
      </c>
      <c r="AB41" s="39" t="s">
        <v>2</v>
      </c>
      <c r="AC41" s="19"/>
      <c r="AD41" s="6"/>
      <c r="AE41" s="6"/>
      <c r="AF41" s="6"/>
      <c r="AH41" s="20">
        <f t="shared" si="3"/>
        <v>0</v>
      </c>
      <c r="AI41" s="20">
        <f t="shared" si="4"/>
        <v>0</v>
      </c>
    </row>
    <row r="42" spans="1:35" ht="20.100000000000001" hidden="1" customHeight="1">
      <c r="A42" s="24" t="str">
        <f>ÖSSZES!$A$63</f>
        <v>Név15</v>
      </c>
      <c r="B42" s="19"/>
      <c r="C42" s="39" t="s">
        <v>2</v>
      </c>
      <c r="D42" s="39" t="s">
        <v>2</v>
      </c>
      <c r="E42" s="19"/>
      <c r="F42" s="19"/>
      <c r="G42" s="19"/>
      <c r="H42" s="19"/>
      <c r="I42" s="19"/>
      <c r="J42" s="19"/>
      <c r="K42" s="39" t="s">
        <v>2</v>
      </c>
      <c r="L42" s="39" t="s">
        <v>2</v>
      </c>
      <c r="M42" s="19"/>
      <c r="N42" s="19"/>
      <c r="O42" s="19"/>
      <c r="P42" s="19"/>
      <c r="Q42" s="19"/>
      <c r="R42" s="19"/>
      <c r="S42" s="39" t="s">
        <v>2</v>
      </c>
      <c r="T42" s="39" t="s">
        <v>2</v>
      </c>
      <c r="U42" s="19"/>
      <c r="V42" s="19"/>
      <c r="W42" s="19"/>
      <c r="X42" s="19"/>
      <c r="Y42" s="19"/>
      <c r="Z42" s="19"/>
      <c r="AA42" s="39" t="s">
        <v>2</v>
      </c>
      <c r="AB42" s="39" t="s">
        <v>2</v>
      </c>
      <c r="AC42" s="19"/>
      <c r="AD42" s="6"/>
      <c r="AE42" s="6"/>
      <c r="AF42" s="6"/>
      <c r="AH42" s="20">
        <f t="shared" si="3"/>
        <v>0</v>
      </c>
      <c r="AI42" s="20">
        <f t="shared" si="4"/>
        <v>0</v>
      </c>
    </row>
    <row r="43" spans="1:35" ht="20.100000000000001" hidden="1" customHeight="1">
      <c r="A43" s="24" t="str">
        <f>ÖSSZES!$A$64</f>
        <v>Név16</v>
      </c>
      <c r="B43" s="19"/>
      <c r="C43" s="39" t="s">
        <v>2</v>
      </c>
      <c r="D43" s="39" t="s">
        <v>2</v>
      </c>
      <c r="E43" s="19"/>
      <c r="F43" s="19"/>
      <c r="G43" s="19"/>
      <c r="H43" s="19"/>
      <c r="I43" s="19"/>
      <c r="J43" s="19"/>
      <c r="K43" s="39" t="s">
        <v>2</v>
      </c>
      <c r="L43" s="39" t="s">
        <v>2</v>
      </c>
      <c r="M43" s="19"/>
      <c r="N43" s="19"/>
      <c r="O43" s="19"/>
      <c r="P43" s="19"/>
      <c r="Q43" s="19"/>
      <c r="R43" s="19"/>
      <c r="S43" s="39" t="s">
        <v>2</v>
      </c>
      <c r="T43" s="39" t="s">
        <v>2</v>
      </c>
      <c r="U43" s="19"/>
      <c r="V43" s="19"/>
      <c r="W43" s="19"/>
      <c r="X43" s="19"/>
      <c r="Y43" s="19"/>
      <c r="Z43" s="19"/>
      <c r="AA43" s="39" t="s">
        <v>2</v>
      </c>
      <c r="AB43" s="39" t="s">
        <v>2</v>
      </c>
      <c r="AC43" s="19"/>
      <c r="AD43" s="6"/>
      <c r="AE43" s="6"/>
      <c r="AF43" s="6"/>
      <c r="AH43" s="20">
        <f t="shared" si="3"/>
        <v>0</v>
      </c>
      <c r="AI43" s="20">
        <f t="shared" si="4"/>
        <v>0</v>
      </c>
    </row>
    <row r="44" spans="1:35" ht="20.100000000000001" hidden="1" customHeight="1">
      <c r="A44" s="24" t="str">
        <f>ÖSSZES!$A$65</f>
        <v>Név17</v>
      </c>
      <c r="B44" s="19"/>
      <c r="C44" s="39" t="s">
        <v>2</v>
      </c>
      <c r="D44" s="39" t="s">
        <v>2</v>
      </c>
      <c r="E44" s="19"/>
      <c r="F44" s="19"/>
      <c r="G44" s="19"/>
      <c r="H44" s="19"/>
      <c r="I44" s="19"/>
      <c r="J44" s="19"/>
      <c r="K44" s="39" t="s">
        <v>2</v>
      </c>
      <c r="L44" s="39" t="s">
        <v>2</v>
      </c>
      <c r="M44" s="19"/>
      <c r="N44" s="19"/>
      <c r="O44" s="19"/>
      <c r="P44" s="19"/>
      <c r="Q44" s="19"/>
      <c r="R44" s="19"/>
      <c r="S44" s="39" t="s">
        <v>2</v>
      </c>
      <c r="T44" s="39" t="s">
        <v>2</v>
      </c>
      <c r="U44" s="19"/>
      <c r="V44" s="19"/>
      <c r="W44" s="19"/>
      <c r="X44" s="19"/>
      <c r="Y44" s="19"/>
      <c r="Z44" s="19"/>
      <c r="AA44" s="39" t="s">
        <v>2</v>
      </c>
      <c r="AB44" s="39" t="s">
        <v>2</v>
      </c>
      <c r="AC44" s="19"/>
      <c r="AD44" s="6"/>
      <c r="AE44" s="6"/>
      <c r="AF44" s="6"/>
      <c r="AH44" s="20">
        <f t="shared" si="3"/>
        <v>0</v>
      </c>
      <c r="AI44" s="20">
        <f t="shared" si="4"/>
        <v>0</v>
      </c>
    </row>
    <row r="45" spans="1:35" ht="20.100000000000001" hidden="1" customHeight="1">
      <c r="A45" s="24" t="str">
        <f>ÖSSZES!$A$66</f>
        <v>Név18</v>
      </c>
      <c r="B45" s="19"/>
      <c r="C45" s="39" t="s">
        <v>2</v>
      </c>
      <c r="D45" s="39" t="s">
        <v>2</v>
      </c>
      <c r="E45" s="19"/>
      <c r="F45" s="19"/>
      <c r="G45" s="19"/>
      <c r="H45" s="19"/>
      <c r="I45" s="19"/>
      <c r="J45" s="19"/>
      <c r="K45" s="39" t="s">
        <v>2</v>
      </c>
      <c r="L45" s="39" t="s">
        <v>2</v>
      </c>
      <c r="M45" s="19"/>
      <c r="N45" s="19"/>
      <c r="O45" s="19"/>
      <c r="P45" s="19"/>
      <c r="Q45" s="19"/>
      <c r="R45" s="19"/>
      <c r="S45" s="39" t="s">
        <v>2</v>
      </c>
      <c r="T45" s="39" t="s">
        <v>2</v>
      </c>
      <c r="U45" s="19"/>
      <c r="V45" s="19"/>
      <c r="W45" s="19"/>
      <c r="X45" s="19"/>
      <c r="Y45" s="19"/>
      <c r="Z45" s="19"/>
      <c r="AA45" s="39" t="s">
        <v>2</v>
      </c>
      <c r="AB45" s="39" t="s">
        <v>2</v>
      </c>
      <c r="AC45" s="19"/>
      <c r="AD45" s="6"/>
      <c r="AE45" s="6"/>
      <c r="AF45" s="6"/>
      <c r="AH45" s="20">
        <f t="shared" si="3"/>
        <v>0</v>
      </c>
      <c r="AI45" s="20">
        <f t="shared" si="4"/>
        <v>0</v>
      </c>
    </row>
    <row r="46" spans="1:35" ht="20.100000000000001" hidden="1" customHeight="1">
      <c r="A46" s="24" t="str">
        <f>ÖSSZES!$A$67</f>
        <v>Név19</v>
      </c>
      <c r="B46" s="19"/>
      <c r="C46" s="39" t="s">
        <v>2</v>
      </c>
      <c r="D46" s="39" t="s">
        <v>2</v>
      </c>
      <c r="E46" s="19"/>
      <c r="F46" s="19"/>
      <c r="G46" s="19"/>
      <c r="H46" s="19"/>
      <c r="I46" s="19"/>
      <c r="J46" s="19"/>
      <c r="K46" s="39" t="s">
        <v>2</v>
      </c>
      <c r="L46" s="39" t="s">
        <v>2</v>
      </c>
      <c r="M46" s="19"/>
      <c r="N46" s="19"/>
      <c r="O46" s="19"/>
      <c r="P46" s="19"/>
      <c r="Q46" s="19"/>
      <c r="R46" s="19"/>
      <c r="S46" s="39" t="s">
        <v>2</v>
      </c>
      <c r="T46" s="39" t="s">
        <v>2</v>
      </c>
      <c r="U46" s="19"/>
      <c r="V46" s="19"/>
      <c r="W46" s="19"/>
      <c r="X46" s="19"/>
      <c r="Y46" s="19"/>
      <c r="Z46" s="19"/>
      <c r="AA46" s="39" t="s">
        <v>2</v>
      </c>
      <c r="AB46" s="39" t="s">
        <v>2</v>
      </c>
      <c r="AC46" s="19"/>
      <c r="AD46" s="6"/>
      <c r="AE46" s="6"/>
      <c r="AF46" s="6"/>
      <c r="AH46" s="20">
        <f t="shared" si="3"/>
        <v>0</v>
      </c>
      <c r="AI46" s="20">
        <f t="shared" si="4"/>
        <v>0</v>
      </c>
    </row>
    <row r="47" spans="1:35" ht="20.100000000000001" hidden="1" customHeight="1">
      <c r="A47" s="24" t="str">
        <f>ÖSSZES!$A$68</f>
        <v>Név20</v>
      </c>
      <c r="B47" s="19"/>
      <c r="C47" s="39" t="s">
        <v>2</v>
      </c>
      <c r="D47" s="39" t="s">
        <v>2</v>
      </c>
      <c r="E47" s="19"/>
      <c r="F47" s="19"/>
      <c r="G47" s="19"/>
      <c r="H47" s="19"/>
      <c r="I47" s="19"/>
      <c r="J47" s="19"/>
      <c r="K47" s="39" t="s">
        <v>2</v>
      </c>
      <c r="L47" s="39" t="s">
        <v>2</v>
      </c>
      <c r="M47" s="19"/>
      <c r="N47" s="19"/>
      <c r="O47" s="19"/>
      <c r="P47" s="19"/>
      <c r="Q47" s="19"/>
      <c r="R47" s="19"/>
      <c r="S47" s="39" t="s">
        <v>2</v>
      </c>
      <c r="T47" s="39" t="s">
        <v>2</v>
      </c>
      <c r="U47" s="19"/>
      <c r="V47" s="19"/>
      <c r="W47" s="19"/>
      <c r="X47" s="19"/>
      <c r="Y47" s="19"/>
      <c r="Z47" s="19"/>
      <c r="AA47" s="39" t="s">
        <v>2</v>
      </c>
      <c r="AB47" s="39" t="s">
        <v>2</v>
      </c>
      <c r="AC47" s="19"/>
      <c r="AD47" s="6"/>
      <c r="AE47" s="6"/>
      <c r="AF47" s="6"/>
      <c r="AH47" s="20">
        <f t="shared" si="3"/>
        <v>0</v>
      </c>
      <c r="AI47" s="20">
        <f t="shared" si="4"/>
        <v>0</v>
      </c>
    </row>
    <row r="48" spans="1:35" ht="20.100000000000001" customHeight="1"/>
    <row r="49" spans="1:35" s="11" customFormat="1" ht="20.100000000000001" customHeight="1">
      <c r="A49" s="57" t="s">
        <v>7</v>
      </c>
      <c r="B49" s="23">
        <v>1</v>
      </c>
      <c r="C49" s="23">
        <v>2</v>
      </c>
      <c r="D49" s="23">
        <v>3</v>
      </c>
      <c r="E49" s="23">
        <v>4</v>
      </c>
      <c r="F49" s="23">
        <v>5</v>
      </c>
      <c r="G49" s="23">
        <v>6</v>
      </c>
      <c r="H49" s="23">
        <v>7</v>
      </c>
      <c r="I49" s="23">
        <v>8</v>
      </c>
      <c r="J49" s="23">
        <v>9</v>
      </c>
      <c r="K49" s="23">
        <v>10</v>
      </c>
      <c r="L49" s="23">
        <v>11</v>
      </c>
      <c r="M49" s="23">
        <v>12</v>
      </c>
      <c r="N49" s="23">
        <v>13</v>
      </c>
      <c r="O49" s="23">
        <v>14</v>
      </c>
      <c r="P49" s="38">
        <v>15</v>
      </c>
      <c r="Q49" s="23">
        <v>16</v>
      </c>
      <c r="R49" s="23">
        <v>17</v>
      </c>
      <c r="S49" s="23">
        <v>18</v>
      </c>
      <c r="T49" s="23">
        <v>19</v>
      </c>
      <c r="U49" s="23">
        <v>20</v>
      </c>
      <c r="V49" s="23">
        <v>21</v>
      </c>
      <c r="W49" s="23">
        <v>22</v>
      </c>
      <c r="X49" s="23">
        <v>23</v>
      </c>
      <c r="Y49" s="23">
        <v>24</v>
      </c>
      <c r="Z49" s="23">
        <v>25</v>
      </c>
      <c r="AA49" s="23">
        <v>26</v>
      </c>
      <c r="AB49" s="23">
        <v>27</v>
      </c>
      <c r="AC49" s="23">
        <v>28</v>
      </c>
      <c r="AD49" s="23">
        <v>29</v>
      </c>
      <c r="AE49" s="23">
        <v>30</v>
      </c>
      <c r="AF49" s="23">
        <v>31</v>
      </c>
      <c r="AH49" s="59" t="s">
        <v>18</v>
      </c>
      <c r="AI49" s="59" t="s">
        <v>19</v>
      </c>
    </row>
    <row r="50" spans="1:35" ht="20.100000000000001" customHeight="1">
      <c r="A50" s="61"/>
      <c r="B50" s="15" t="str">
        <f>'2021'!B20</f>
        <v>H</v>
      </c>
      <c r="C50" s="15" t="str">
        <f>'2021'!C20</f>
        <v>K</v>
      </c>
      <c r="D50" s="15" t="str">
        <f>'2021'!D20</f>
        <v>Sze</v>
      </c>
      <c r="E50" s="15" t="str">
        <f>'2021'!E20</f>
        <v>Cs</v>
      </c>
      <c r="F50" s="15" t="str">
        <f>'2021'!F20</f>
        <v>P</v>
      </c>
      <c r="G50" s="15" t="str">
        <f>'2021'!G20</f>
        <v>Szo</v>
      </c>
      <c r="H50" s="15" t="str">
        <f>'2021'!H20</f>
        <v>V</v>
      </c>
      <c r="I50" s="15" t="str">
        <f>'2021'!I20</f>
        <v>H</v>
      </c>
      <c r="J50" s="15" t="str">
        <f>'2021'!J20</f>
        <v>K</v>
      </c>
      <c r="K50" s="15" t="str">
        <f>'2021'!K20</f>
        <v>Sze</v>
      </c>
      <c r="L50" s="15" t="str">
        <f>'2021'!L20</f>
        <v>Cs</v>
      </c>
      <c r="M50" s="15" t="str">
        <f>'2021'!M20</f>
        <v>P</v>
      </c>
      <c r="N50" s="15" t="str">
        <f>'2021'!N20</f>
        <v>Szo</v>
      </c>
      <c r="O50" s="15" t="str">
        <f>'2021'!O20</f>
        <v>V</v>
      </c>
      <c r="P50" s="15" t="str">
        <f>'2021'!P20</f>
        <v>H</v>
      </c>
      <c r="Q50" s="15" t="str">
        <f>'2021'!Q20</f>
        <v>K</v>
      </c>
      <c r="R50" s="15" t="str">
        <f>'2021'!R20</f>
        <v>Sze</v>
      </c>
      <c r="S50" s="15" t="str">
        <f>'2021'!S20</f>
        <v>Cs</v>
      </c>
      <c r="T50" s="15" t="str">
        <f>'2021'!T20</f>
        <v>P</v>
      </c>
      <c r="U50" s="15" t="str">
        <f>'2021'!U20</f>
        <v>Szo</v>
      </c>
      <c r="V50" s="15" t="str">
        <f>'2021'!V20</f>
        <v>V</v>
      </c>
      <c r="W50" s="15" t="str">
        <f>'2021'!W20</f>
        <v>H</v>
      </c>
      <c r="X50" s="15" t="str">
        <f>'2021'!X20</f>
        <v>K</v>
      </c>
      <c r="Y50" s="15" t="str">
        <f>'2021'!Y20</f>
        <v>Sze</v>
      </c>
      <c r="Z50" s="15" t="str">
        <f>'2021'!Z20</f>
        <v>Cs</v>
      </c>
      <c r="AA50" s="15" t="str">
        <f>'2021'!AA20</f>
        <v>P</v>
      </c>
      <c r="AB50" s="15" t="str">
        <f>'2021'!AB20</f>
        <v>Szo</v>
      </c>
      <c r="AC50" s="15" t="str">
        <f>'2021'!AC20</f>
        <v>V</v>
      </c>
      <c r="AD50" s="15" t="str">
        <f>'2021'!AD20</f>
        <v>H</v>
      </c>
      <c r="AE50" s="15" t="str">
        <f>'2021'!AE20</f>
        <v>K</v>
      </c>
      <c r="AF50" s="15" t="str">
        <f>'2021'!AF20</f>
        <v>Sze</v>
      </c>
      <c r="AH50" s="60"/>
      <c r="AI50" s="60"/>
    </row>
    <row r="51" spans="1:35" ht="20.100000000000001" customHeight="1">
      <c r="A51" s="61"/>
      <c r="B51" s="15">
        <f>'2021'!B23</f>
        <v>2</v>
      </c>
      <c r="C51" s="15">
        <f>'2021'!C23</f>
        <v>2</v>
      </c>
      <c r="D51" s="15">
        <f>'2021'!D23</f>
        <v>2</v>
      </c>
      <c r="E51" s="15">
        <f>'2021'!E23</f>
        <v>2</v>
      </c>
      <c r="F51" s="15">
        <f>'2021'!F23</f>
        <v>2</v>
      </c>
      <c r="G51" s="15" t="str">
        <f>'2021'!G23</f>
        <v>X</v>
      </c>
      <c r="H51" s="15" t="str">
        <f>'2021'!H23</f>
        <v>X</v>
      </c>
      <c r="I51" s="15">
        <f>'2021'!I23</f>
        <v>1</v>
      </c>
      <c r="J51" s="15">
        <f>'2021'!J23</f>
        <v>1</v>
      </c>
      <c r="K51" s="15">
        <f>'2021'!K23</f>
        <v>1</v>
      </c>
      <c r="L51" s="15">
        <f>'2021'!L23</f>
        <v>1</v>
      </c>
      <c r="M51" s="15">
        <f>'2021'!M23</f>
        <v>1</v>
      </c>
      <c r="N51" s="15">
        <f>'2021'!N23</f>
        <v>1</v>
      </c>
      <c r="O51" s="15" t="str">
        <f>'2021'!O23</f>
        <v>X</v>
      </c>
      <c r="P51" s="15" t="str">
        <f>'2021'!P23</f>
        <v>X</v>
      </c>
      <c r="Q51" s="15">
        <f>'2021'!Q23</f>
        <v>3</v>
      </c>
      <c r="R51" s="15">
        <f>'2021'!R23</f>
        <v>3</v>
      </c>
      <c r="S51" s="15">
        <f>'2021'!S23</f>
        <v>3</v>
      </c>
      <c r="T51" s="15">
        <f>'2021'!T23</f>
        <v>3</v>
      </c>
      <c r="U51" s="15">
        <f>'2021'!U23</f>
        <v>3</v>
      </c>
      <c r="V51" s="15">
        <f>'2021'!V23</f>
        <v>3</v>
      </c>
      <c r="W51" s="15" t="str">
        <f>'2021'!W23</f>
        <v>X</v>
      </c>
      <c r="X51" s="15" t="str">
        <f>'2021'!X23</f>
        <v>X</v>
      </c>
      <c r="Y51" s="15">
        <f>'2021'!Y23</f>
        <v>2</v>
      </c>
      <c r="Z51" s="15">
        <f>'2021'!Z23</f>
        <v>2</v>
      </c>
      <c r="AA51" s="15">
        <f>'2021'!AA23</f>
        <v>2</v>
      </c>
      <c r="AB51" s="15">
        <f>'2021'!AB23</f>
        <v>2</v>
      </c>
      <c r="AC51" s="15">
        <f>'2021'!AC23</f>
        <v>2</v>
      </c>
      <c r="AD51" s="15">
        <f>'2021'!AD23</f>
        <v>2</v>
      </c>
      <c r="AE51" s="15" t="str">
        <f>'2021'!AE23</f>
        <v>X</v>
      </c>
      <c r="AF51" s="15" t="str">
        <f>'2021'!AF23</f>
        <v>X</v>
      </c>
      <c r="AH51" s="60"/>
      <c r="AI51" s="60"/>
    </row>
    <row r="52" spans="1:35" ht="20.100000000000001" customHeight="1">
      <c r="A52" s="24" t="str">
        <f>ÖSSZES!$A$49</f>
        <v>Kuik-Filep András</v>
      </c>
      <c r="B52" s="39"/>
      <c r="C52" s="39"/>
      <c r="D52" s="39"/>
      <c r="E52" s="39"/>
      <c r="F52" s="39"/>
      <c r="G52" s="39" t="s">
        <v>2</v>
      </c>
      <c r="H52" s="39" t="s">
        <v>2</v>
      </c>
      <c r="I52" s="39"/>
      <c r="J52" s="39"/>
      <c r="K52" s="39"/>
      <c r="L52" s="39"/>
      <c r="M52" s="39"/>
      <c r="N52" s="39"/>
      <c r="O52" s="39" t="s">
        <v>2</v>
      </c>
      <c r="P52" s="39" t="s">
        <v>2</v>
      </c>
      <c r="Q52" s="39"/>
      <c r="R52" s="39"/>
      <c r="S52" s="39"/>
      <c r="T52" s="39"/>
      <c r="U52" s="39"/>
      <c r="V52" s="39"/>
      <c r="W52" s="39" t="s">
        <v>2</v>
      </c>
      <c r="X52" s="39" t="s">
        <v>2</v>
      </c>
      <c r="Y52" s="39"/>
      <c r="Z52" s="39"/>
      <c r="AA52" s="39"/>
      <c r="AB52" s="39"/>
      <c r="AC52" s="39"/>
      <c r="AD52" s="39"/>
      <c r="AE52" s="39" t="s">
        <v>2</v>
      </c>
      <c r="AF52" s="39" t="s">
        <v>2</v>
      </c>
      <c r="AH52" s="20">
        <f>1*COUNTIF(A52:AF52,"+")</f>
        <v>0</v>
      </c>
      <c r="AI52" s="20">
        <f t="shared" ref="AI52" si="5">1*COUNTIF(B52:AF52,"szf")</f>
        <v>0</v>
      </c>
    </row>
    <row r="53" spans="1:35" ht="20.100000000000001" customHeight="1">
      <c r="A53" s="24" t="str">
        <f>ÖSSZES!$A$50</f>
        <v>Balogh Zsolt</v>
      </c>
      <c r="B53" s="39"/>
      <c r="C53" s="39"/>
      <c r="D53" s="39"/>
      <c r="E53" s="39"/>
      <c r="F53" s="39"/>
      <c r="G53" s="39" t="s">
        <v>2</v>
      </c>
      <c r="H53" s="39" t="s">
        <v>2</v>
      </c>
      <c r="I53" s="39"/>
      <c r="J53" s="39"/>
      <c r="K53" s="39"/>
      <c r="L53" s="39"/>
      <c r="M53" s="39"/>
      <c r="N53" s="39"/>
      <c r="O53" s="39" t="s">
        <v>2</v>
      </c>
      <c r="P53" s="39" t="s">
        <v>2</v>
      </c>
      <c r="Q53" s="39"/>
      <c r="R53" s="39"/>
      <c r="S53" s="39"/>
      <c r="T53" s="39"/>
      <c r="U53" s="39"/>
      <c r="V53" s="39"/>
      <c r="W53" s="39" t="s">
        <v>2</v>
      </c>
      <c r="X53" s="39" t="s">
        <v>2</v>
      </c>
      <c r="Y53" s="39"/>
      <c r="Z53" s="39"/>
      <c r="AA53" s="39"/>
      <c r="AB53" s="39"/>
      <c r="AC53" s="39"/>
      <c r="AD53" s="39"/>
      <c r="AE53" s="39" t="s">
        <v>2</v>
      </c>
      <c r="AF53" s="39" t="s">
        <v>2</v>
      </c>
      <c r="AH53" s="20">
        <f t="shared" ref="AH53:AH71" si="6">1*COUNTIF(A53:AF53,"+")</f>
        <v>0</v>
      </c>
      <c r="AI53" s="20">
        <f t="shared" ref="AI53:AI71" si="7">1*COUNTIF(B53:AF53,"szf")</f>
        <v>0</v>
      </c>
    </row>
    <row r="54" spans="1:35" ht="20.100000000000001" customHeight="1">
      <c r="A54" s="24" t="str">
        <f>ÖSSZES!$A$51</f>
        <v>Éliás Viktor</v>
      </c>
      <c r="B54" s="39"/>
      <c r="C54" s="39"/>
      <c r="D54" s="39"/>
      <c r="E54" s="39"/>
      <c r="F54" s="39"/>
      <c r="G54" s="39" t="s">
        <v>2</v>
      </c>
      <c r="H54" s="39" t="s">
        <v>2</v>
      </c>
      <c r="I54" s="39"/>
      <c r="J54" s="39"/>
      <c r="K54" s="39"/>
      <c r="L54" s="39"/>
      <c r="M54" s="39"/>
      <c r="N54" s="39"/>
      <c r="O54" s="39" t="s">
        <v>2</v>
      </c>
      <c r="P54" s="39" t="s">
        <v>2</v>
      </c>
      <c r="Q54" s="39"/>
      <c r="R54" s="39"/>
      <c r="S54" s="39"/>
      <c r="T54" s="39"/>
      <c r="U54" s="39"/>
      <c r="V54" s="39"/>
      <c r="W54" s="39" t="s">
        <v>2</v>
      </c>
      <c r="X54" s="39" t="s">
        <v>2</v>
      </c>
      <c r="Y54" s="39"/>
      <c r="Z54" s="39"/>
      <c r="AA54" s="39"/>
      <c r="AB54" s="39"/>
      <c r="AC54" s="39"/>
      <c r="AD54" s="39"/>
      <c r="AE54" s="39" t="s">
        <v>2</v>
      </c>
      <c r="AF54" s="39" t="s">
        <v>2</v>
      </c>
      <c r="AH54" s="20">
        <f t="shared" si="6"/>
        <v>0</v>
      </c>
      <c r="AI54" s="20">
        <f t="shared" si="7"/>
        <v>0</v>
      </c>
    </row>
    <row r="55" spans="1:35" ht="20.100000000000001" customHeight="1">
      <c r="A55" s="24" t="str">
        <f>ÖSSZES!$A$52</f>
        <v>Hadházi Kálmán</v>
      </c>
      <c r="B55" s="39"/>
      <c r="C55" s="39"/>
      <c r="D55" s="39"/>
      <c r="E55" s="39"/>
      <c r="F55" s="39"/>
      <c r="G55" s="39" t="s">
        <v>2</v>
      </c>
      <c r="H55" s="39" t="s">
        <v>2</v>
      </c>
      <c r="I55" s="39"/>
      <c r="J55" s="39"/>
      <c r="K55" s="39"/>
      <c r="L55" s="39"/>
      <c r="M55" s="39"/>
      <c r="N55" s="39"/>
      <c r="O55" s="39" t="s">
        <v>2</v>
      </c>
      <c r="P55" s="39" t="s">
        <v>2</v>
      </c>
      <c r="Q55" s="39"/>
      <c r="R55" s="39"/>
      <c r="S55" s="39"/>
      <c r="T55" s="39"/>
      <c r="U55" s="39"/>
      <c r="V55" s="39"/>
      <c r="W55" s="39" t="s">
        <v>2</v>
      </c>
      <c r="X55" s="39" t="s">
        <v>2</v>
      </c>
      <c r="Y55" s="39"/>
      <c r="Z55" s="39"/>
      <c r="AA55" s="39"/>
      <c r="AB55" s="39"/>
      <c r="AC55" s="39"/>
      <c r="AD55" s="39"/>
      <c r="AE55" s="39" t="s">
        <v>2</v>
      </c>
      <c r="AF55" s="39" t="s">
        <v>2</v>
      </c>
      <c r="AH55" s="20">
        <f t="shared" si="6"/>
        <v>0</v>
      </c>
      <c r="AI55" s="20">
        <f t="shared" si="7"/>
        <v>0</v>
      </c>
    </row>
    <row r="56" spans="1:35" ht="20.100000000000001" customHeight="1">
      <c r="A56" s="24" t="str">
        <f>ÖSSZES!$A$53</f>
        <v>Kiss Attila</v>
      </c>
      <c r="B56" s="39"/>
      <c r="C56" s="39"/>
      <c r="D56" s="39"/>
      <c r="E56" s="39"/>
      <c r="F56" s="39"/>
      <c r="G56" s="39" t="s">
        <v>2</v>
      </c>
      <c r="H56" s="39" t="s">
        <v>2</v>
      </c>
      <c r="I56" s="39"/>
      <c r="J56" s="39"/>
      <c r="K56" s="39"/>
      <c r="L56" s="39"/>
      <c r="M56" s="39"/>
      <c r="N56" s="39"/>
      <c r="O56" s="39" t="s">
        <v>2</v>
      </c>
      <c r="P56" s="39" t="s">
        <v>2</v>
      </c>
      <c r="Q56" s="39"/>
      <c r="R56" s="39"/>
      <c r="S56" s="39"/>
      <c r="T56" s="39"/>
      <c r="U56" s="39"/>
      <c r="V56" s="39"/>
      <c r="W56" s="39" t="s">
        <v>2</v>
      </c>
      <c r="X56" s="39" t="s">
        <v>2</v>
      </c>
      <c r="Y56" s="39"/>
      <c r="Z56" s="39"/>
      <c r="AA56" s="39"/>
      <c r="AB56" s="39"/>
      <c r="AC56" s="39"/>
      <c r="AD56" s="39"/>
      <c r="AE56" s="39" t="s">
        <v>2</v>
      </c>
      <c r="AF56" s="39" t="s">
        <v>2</v>
      </c>
      <c r="AH56" s="20">
        <f t="shared" si="6"/>
        <v>0</v>
      </c>
      <c r="AI56" s="20">
        <f t="shared" si="7"/>
        <v>0</v>
      </c>
    </row>
    <row r="57" spans="1:35" ht="20.100000000000001" customHeight="1">
      <c r="A57" s="24" t="str">
        <f>ÖSSZES!$A$54</f>
        <v>Serestyén Dániel</v>
      </c>
      <c r="B57" s="39"/>
      <c r="C57" s="39"/>
      <c r="D57" s="39"/>
      <c r="E57" s="39"/>
      <c r="F57" s="39"/>
      <c r="G57" s="39" t="s">
        <v>2</v>
      </c>
      <c r="H57" s="39" t="s">
        <v>2</v>
      </c>
      <c r="I57" s="39"/>
      <c r="J57" s="39"/>
      <c r="K57" s="39"/>
      <c r="L57" s="39"/>
      <c r="M57" s="39"/>
      <c r="N57" s="39"/>
      <c r="O57" s="39" t="s">
        <v>2</v>
      </c>
      <c r="P57" s="39" t="s">
        <v>2</v>
      </c>
      <c r="Q57" s="39"/>
      <c r="R57" s="39"/>
      <c r="S57" s="39"/>
      <c r="T57" s="39"/>
      <c r="U57" s="39"/>
      <c r="V57" s="39"/>
      <c r="W57" s="39" t="s">
        <v>2</v>
      </c>
      <c r="X57" s="39" t="s">
        <v>2</v>
      </c>
      <c r="Y57" s="39"/>
      <c r="Z57" s="39"/>
      <c r="AA57" s="39"/>
      <c r="AB57" s="39"/>
      <c r="AC57" s="39"/>
      <c r="AD57" s="39"/>
      <c r="AE57" s="39" t="s">
        <v>2</v>
      </c>
      <c r="AF57" s="39" t="s">
        <v>2</v>
      </c>
      <c r="AH57" s="20">
        <f t="shared" si="6"/>
        <v>0</v>
      </c>
      <c r="AI57" s="20">
        <f t="shared" si="7"/>
        <v>0</v>
      </c>
    </row>
    <row r="58" spans="1:35" ht="20.100000000000001" customHeight="1">
      <c r="A58" s="24" t="str">
        <f>ÖSSZES!$A$55</f>
        <v>Varga Imre</v>
      </c>
      <c r="B58" s="39"/>
      <c r="C58" s="39"/>
      <c r="D58" s="39"/>
      <c r="E58" s="39"/>
      <c r="F58" s="39"/>
      <c r="G58" s="39" t="s">
        <v>2</v>
      </c>
      <c r="H58" s="39" t="s">
        <v>2</v>
      </c>
      <c r="I58" s="39"/>
      <c r="J58" s="39"/>
      <c r="K58" s="39"/>
      <c r="L58" s="39"/>
      <c r="M58" s="39"/>
      <c r="N58" s="39"/>
      <c r="O58" s="39" t="s">
        <v>2</v>
      </c>
      <c r="P58" s="39" t="s">
        <v>2</v>
      </c>
      <c r="Q58" s="39"/>
      <c r="R58" s="39"/>
      <c r="S58" s="39"/>
      <c r="T58" s="39"/>
      <c r="U58" s="39"/>
      <c r="V58" s="39"/>
      <c r="W58" s="39" t="s">
        <v>2</v>
      </c>
      <c r="X58" s="39" t="s">
        <v>2</v>
      </c>
      <c r="Y58" s="39"/>
      <c r="Z58" s="39"/>
      <c r="AA58" s="39"/>
      <c r="AB58" s="39"/>
      <c r="AC58" s="39"/>
      <c r="AD58" s="39"/>
      <c r="AE58" s="39" t="s">
        <v>2</v>
      </c>
      <c r="AF58" s="39" t="s">
        <v>2</v>
      </c>
      <c r="AH58" s="20">
        <f t="shared" si="6"/>
        <v>0</v>
      </c>
      <c r="AI58" s="20">
        <f t="shared" si="7"/>
        <v>0</v>
      </c>
    </row>
    <row r="59" spans="1:35" ht="20.100000000000001" hidden="1" customHeight="1">
      <c r="A59" s="24" t="str">
        <f>ÖSSZES!$A$56</f>
        <v>Név8</v>
      </c>
      <c r="B59" s="39"/>
      <c r="C59" s="39"/>
      <c r="D59" s="39"/>
      <c r="E59" s="39"/>
      <c r="F59" s="39"/>
      <c r="G59" s="39" t="s">
        <v>2</v>
      </c>
      <c r="H59" s="39" t="s">
        <v>2</v>
      </c>
      <c r="I59" s="39"/>
      <c r="J59" s="39"/>
      <c r="K59" s="39"/>
      <c r="L59" s="39"/>
      <c r="M59" s="39"/>
      <c r="N59" s="39"/>
      <c r="O59" s="39" t="s">
        <v>2</v>
      </c>
      <c r="P59" s="39" t="s">
        <v>2</v>
      </c>
      <c r="Q59" s="39"/>
      <c r="R59" s="39"/>
      <c r="S59" s="39"/>
      <c r="T59" s="39"/>
      <c r="U59" s="39"/>
      <c r="V59" s="39"/>
      <c r="W59" s="39" t="s">
        <v>2</v>
      </c>
      <c r="X59" s="39" t="s">
        <v>2</v>
      </c>
      <c r="Y59" s="39"/>
      <c r="Z59" s="39"/>
      <c r="AA59" s="39"/>
      <c r="AB59" s="39"/>
      <c r="AC59" s="39"/>
      <c r="AD59" s="39"/>
      <c r="AE59" s="39" t="s">
        <v>2</v>
      </c>
      <c r="AF59" s="39" t="s">
        <v>2</v>
      </c>
      <c r="AH59" s="20">
        <f t="shared" si="6"/>
        <v>0</v>
      </c>
      <c r="AI59" s="20">
        <f t="shared" si="7"/>
        <v>0</v>
      </c>
    </row>
    <row r="60" spans="1:35" ht="20.100000000000001" hidden="1" customHeight="1">
      <c r="A60" s="24" t="str">
        <f>ÖSSZES!$A$57</f>
        <v>Név9</v>
      </c>
      <c r="B60" s="39"/>
      <c r="C60" s="39"/>
      <c r="D60" s="39"/>
      <c r="E60" s="39"/>
      <c r="F60" s="39"/>
      <c r="G60" s="39" t="s">
        <v>2</v>
      </c>
      <c r="H60" s="39" t="s">
        <v>2</v>
      </c>
      <c r="I60" s="39"/>
      <c r="J60" s="39"/>
      <c r="K60" s="39"/>
      <c r="L60" s="39"/>
      <c r="M60" s="39"/>
      <c r="N60" s="39"/>
      <c r="O60" s="39" t="s">
        <v>2</v>
      </c>
      <c r="P60" s="39" t="s">
        <v>2</v>
      </c>
      <c r="Q60" s="39"/>
      <c r="R60" s="39"/>
      <c r="S60" s="39"/>
      <c r="T60" s="39"/>
      <c r="U60" s="39"/>
      <c r="V60" s="39"/>
      <c r="W60" s="39" t="s">
        <v>2</v>
      </c>
      <c r="X60" s="39" t="s">
        <v>2</v>
      </c>
      <c r="Y60" s="39"/>
      <c r="Z60" s="39"/>
      <c r="AA60" s="39"/>
      <c r="AB60" s="39"/>
      <c r="AC60" s="39"/>
      <c r="AD60" s="39"/>
      <c r="AE60" s="39" t="s">
        <v>2</v>
      </c>
      <c r="AF60" s="39" t="s">
        <v>2</v>
      </c>
      <c r="AH60" s="20">
        <f t="shared" si="6"/>
        <v>0</v>
      </c>
      <c r="AI60" s="20">
        <f t="shared" si="7"/>
        <v>0</v>
      </c>
    </row>
    <row r="61" spans="1:35" ht="20.100000000000001" hidden="1" customHeight="1">
      <c r="A61" s="24" t="str">
        <f>ÖSSZES!$A$58</f>
        <v>Név10</v>
      </c>
      <c r="B61" s="39"/>
      <c r="C61" s="39"/>
      <c r="D61" s="39"/>
      <c r="E61" s="39"/>
      <c r="F61" s="39"/>
      <c r="G61" s="39" t="s">
        <v>2</v>
      </c>
      <c r="H61" s="39" t="s">
        <v>2</v>
      </c>
      <c r="I61" s="39"/>
      <c r="J61" s="39"/>
      <c r="K61" s="39"/>
      <c r="L61" s="39"/>
      <c r="M61" s="39"/>
      <c r="N61" s="39"/>
      <c r="O61" s="39" t="s">
        <v>2</v>
      </c>
      <c r="P61" s="39" t="s">
        <v>2</v>
      </c>
      <c r="Q61" s="39"/>
      <c r="R61" s="39"/>
      <c r="S61" s="39"/>
      <c r="T61" s="39"/>
      <c r="U61" s="39"/>
      <c r="V61" s="39"/>
      <c r="W61" s="39" t="s">
        <v>2</v>
      </c>
      <c r="X61" s="39" t="s">
        <v>2</v>
      </c>
      <c r="Y61" s="39"/>
      <c r="Z61" s="39"/>
      <c r="AA61" s="39"/>
      <c r="AB61" s="39"/>
      <c r="AC61" s="39"/>
      <c r="AD61" s="39"/>
      <c r="AE61" s="39" t="s">
        <v>2</v>
      </c>
      <c r="AF61" s="39" t="s">
        <v>2</v>
      </c>
      <c r="AH61" s="20">
        <f t="shared" si="6"/>
        <v>0</v>
      </c>
      <c r="AI61" s="20">
        <f t="shared" si="7"/>
        <v>0</v>
      </c>
    </row>
    <row r="62" spans="1:35" ht="20.100000000000001" hidden="1" customHeight="1">
      <c r="A62" s="24" t="str">
        <f>ÖSSZES!$A$59</f>
        <v>Név11</v>
      </c>
      <c r="B62" s="39"/>
      <c r="C62" s="39"/>
      <c r="D62" s="39"/>
      <c r="E62" s="39"/>
      <c r="F62" s="39"/>
      <c r="G62" s="39" t="s">
        <v>2</v>
      </c>
      <c r="H62" s="39" t="s">
        <v>2</v>
      </c>
      <c r="I62" s="39"/>
      <c r="J62" s="39"/>
      <c r="K62" s="39"/>
      <c r="L62" s="39"/>
      <c r="M62" s="39"/>
      <c r="N62" s="39"/>
      <c r="O62" s="39" t="s">
        <v>2</v>
      </c>
      <c r="P62" s="39" t="s">
        <v>2</v>
      </c>
      <c r="Q62" s="39"/>
      <c r="R62" s="39"/>
      <c r="S62" s="39"/>
      <c r="T62" s="39"/>
      <c r="U62" s="39"/>
      <c r="V62" s="39"/>
      <c r="W62" s="39" t="s">
        <v>2</v>
      </c>
      <c r="X62" s="39" t="s">
        <v>2</v>
      </c>
      <c r="Y62" s="39"/>
      <c r="Z62" s="39"/>
      <c r="AA62" s="39"/>
      <c r="AB62" s="39"/>
      <c r="AC62" s="39"/>
      <c r="AD62" s="39"/>
      <c r="AE62" s="39" t="s">
        <v>2</v>
      </c>
      <c r="AF62" s="39" t="s">
        <v>2</v>
      </c>
      <c r="AH62" s="20">
        <f t="shared" si="6"/>
        <v>0</v>
      </c>
      <c r="AI62" s="20">
        <f t="shared" si="7"/>
        <v>0</v>
      </c>
    </row>
    <row r="63" spans="1:35" ht="20.100000000000001" hidden="1" customHeight="1">
      <c r="A63" s="24" t="str">
        <f>ÖSSZES!$A$60</f>
        <v>Név12</v>
      </c>
      <c r="B63" s="39"/>
      <c r="C63" s="39"/>
      <c r="D63" s="39"/>
      <c r="E63" s="39"/>
      <c r="F63" s="39"/>
      <c r="G63" s="39" t="s">
        <v>2</v>
      </c>
      <c r="H63" s="39" t="s">
        <v>2</v>
      </c>
      <c r="I63" s="39"/>
      <c r="J63" s="39"/>
      <c r="K63" s="39"/>
      <c r="L63" s="39"/>
      <c r="M63" s="39"/>
      <c r="N63" s="39"/>
      <c r="O63" s="39" t="s">
        <v>2</v>
      </c>
      <c r="P63" s="39" t="s">
        <v>2</v>
      </c>
      <c r="Q63" s="39"/>
      <c r="R63" s="39"/>
      <c r="S63" s="39"/>
      <c r="T63" s="39"/>
      <c r="U63" s="39"/>
      <c r="V63" s="39"/>
      <c r="W63" s="39" t="s">
        <v>2</v>
      </c>
      <c r="X63" s="39" t="s">
        <v>2</v>
      </c>
      <c r="Y63" s="39"/>
      <c r="Z63" s="39"/>
      <c r="AA63" s="39"/>
      <c r="AB63" s="39"/>
      <c r="AC63" s="39"/>
      <c r="AD63" s="39"/>
      <c r="AE63" s="39" t="s">
        <v>2</v>
      </c>
      <c r="AF63" s="39" t="s">
        <v>2</v>
      </c>
      <c r="AH63" s="20">
        <f t="shared" si="6"/>
        <v>0</v>
      </c>
      <c r="AI63" s="20">
        <f t="shared" si="7"/>
        <v>0</v>
      </c>
    </row>
    <row r="64" spans="1:35" ht="20.100000000000001" hidden="1" customHeight="1">
      <c r="A64" s="24" t="str">
        <f>ÖSSZES!$A$61</f>
        <v>Név13</v>
      </c>
      <c r="B64" s="39"/>
      <c r="C64" s="39"/>
      <c r="D64" s="39"/>
      <c r="E64" s="39"/>
      <c r="F64" s="39"/>
      <c r="G64" s="39" t="s">
        <v>2</v>
      </c>
      <c r="H64" s="39" t="s">
        <v>2</v>
      </c>
      <c r="I64" s="39"/>
      <c r="J64" s="39"/>
      <c r="K64" s="39"/>
      <c r="L64" s="39"/>
      <c r="M64" s="39"/>
      <c r="N64" s="39"/>
      <c r="O64" s="39" t="s">
        <v>2</v>
      </c>
      <c r="P64" s="39" t="s">
        <v>2</v>
      </c>
      <c r="Q64" s="39"/>
      <c r="R64" s="39"/>
      <c r="S64" s="39"/>
      <c r="T64" s="39"/>
      <c r="U64" s="39"/>
      <c r="V64" s="39"/>
      <c r="W64" s="39" t="s">
        <v>2</v>
      </c>
      <c r="X64" s="39" t="s">
        <v>2</v>
      </c>
      <c r="Y64" s="39"/>
      <c r="Z64" s="39"/>
      <c r="AA64" s="39"/>
      <c r="AB64" s="39"/>
      <c r="AC64" s="39"/>
      <c r="AD64" s="39"/>
      <c r="AE64" s="39" t="s">
        <v>2</v>
      </c>
      <c r="AF64" s="39" t="s">
        <v>2</v>
      </c>
      <c r="AH64" s="20">
        <f t="shared" si="6"/>
        <v>0</v>
      </c>
      <c r="AI64" s="20">
        <f t="shared" si="7"/>
        <v>0</v>
      </c>
    </row>
    <row r="65" spans="1:35" ht="20.100000000000001" hidden="1" customHeight="1">
      <c r="A65" s="24" t="str">
        <f>ÖSSZES!$A$62</f>
        <v>Név14</v>
      </c>
      <c r="B65" s="39"/>
      <c r="C65" s="39"/>
      <c r="D65" s="39"/>
      <c r="E65" s="39"/>
      <c r="F65" s="39"/>
      <c r="G65" s="39" t="s">
        <v>2</v>
      </c>
      <c r="H65" s="39" t="s">
        <v>2</v>
      </c>
      <c r="I65" s="39"/>
      <c r="J65" s="39"/>
      <c r="K65" s="39"/>
      <c r="L65" s="39"/>
      <c r="M65" s="39"/>
      <c r="N65" s="39"/>
      <c r="O65" s="39" t="s">
        <v>2</v>
      </c>
      <c r="P65" s="39" t="s">
        <v>2</v>
      </c>
      <c r="Q65" s="39"/>
      <c r="R65" s="39"/>
      <c r="S65" s="39"/>
      <c r="T65" s="39"/>
      <c r="U65" s="39"/>
      <c r="V65" s="39"/>
      <c r="W65" s="39" t="s">
        <v>2</v>
      </c>
      <c r="X65" s="39" t="s">
        <v>2</v>
      </c>
      <c r="Y65" s="39"/>
      <c r="Z65" s="39"/>
      <c r="AA65" s="39"/>
      <c r="AB65" s="39"/>
      <c r="AC65" s="39"/>
      <c r="AD65" s="39"/>
      <c r="AE65" s="39" t="s">
        <v>2</v>
      </c>
      <c r="AF65" s="39" t="s">
        <v>2</v>
      </c>
      <c r="AH65" s="20">
        <f t="shared" si="6"/>
        <v>0</v>
      </c>
      <c r="AI65" s="20">
        <f t="shared" si="7"/>
        <v>0</v>
      </c>
    </row>
    <row r="66" spans="1:35" ht="20.100000000000001" hidden="1" customHeight="1">
      <c r="A66" s="24" t="str">
        <f>ÖSSZES!$A$63</f>
        <v>Név15</v>
      </c>
      <c r="B66" s="39"/>
      <c r="C66" s="39"/>
      <c r="D66" s="39"/>
      <c r="E66" s="39"/>
      <c r="F66" s="39"/>
      <c r="G66" s="39" t="s">
        <v>2</v>
      </c>
      <c r="H66" s="39" t="s">
        <v>2</v>
      </c>
      <c r="I66" s="39"/>
      <c r="J66" s="39"/>
      <c r="K66" s="39"/>
      <c r="L66" s="39"/>
      <c r="M66" s="39"/>
      <c r="N66" s="39"/>
      <c r="O66" s="39" t="s">
        <v>2</v>
      </c>
      <c r="P66" s="39" t="s">
        <v>2</v>
      </c>
      <c r="Q66" s="39"/>
      <c r="R66" s="39"/>
      <c r="S66" s="39"/>
      <c r="T66" s="39"/>
      <c r="U66" s="39"/>
      <c r="V66" s="39"/>
      <c r="W66" s="39" t="s">
        <v>2</v>
      </c>
      <c r="X66" s="39" t="s">
        <v>2</v>
      </c>
      <c r="Y66" s="39"/>
      <c r="Z66" s="39"/>
      <c r="AA66" s="39"/>
      <c r="AB66" s="39"/>
      <c r="AC66" s="39"/>
      <c r="AD66" s="39"/>
      <c r="AE66" s="39" t="s">
        <v>2</v>
      </c>
      <c r="AF66" s="39" t="s">
        <v>2</v>
      </c>
      <c r="AH66" s="20">
        <f t="shared" si="6"/>
        <v>0</v>
      </c>
      <c r="AI66" s="20">
        <f t="shared" si="7"/>
        <v>0</v>
      </c>
    </row>
    <row r="67" spans="1:35" ht="20.100000000000001" hidden="1" customHeight="1">
      <c r="A67" s="24" t="str">
        <f>ÖSSZES!$A$64</f>
        <v>Név16</v>
      </c>
      <c r="B67" s="39"/>
      <c r="C67" s="39"/>
      <c r="D67" s="39"/>
      <c r="E67" s="39"/>
      <c r="F67" s="39"/>
      <c r="G67" s="39" t="s">
        <v>2</v>
      </c>
      <c r="H67" s="39" t="s">
        <v>2</v>
      </c>
      <c r="I67" s="39"/>
      <c r="J67" s="39"/>
      <c r="K67" s="39"/>
      <c r="L67" s="39"/>
      <c r="M67" s="39"/>
      <c r="N67" s="39"/>
      <c r="O67" s="39" t="s">
        <v>2</v>
      </c>
      <c r="P67" s="39" t="s">
        <v>2</v>
      </c>
      <c r="Q67" s="39"/>
      <c r="R67" s="39"/>
      <c r="S67" s="39"/>
      <c r="T67" s="39"/>
      <c r="U67" s="39"/>
      <c r="V67" s="39"/>
      <c r="W67" s="39" t="s">
        <v>2</v>
      </c>
      <c r="X67" s="39" t="s">
        <v>2</v>
      </c>
      <c r="Y67" s="39"/>
      <c r="Z67" s="39"/>
      <c r="AA67" s="39"/>
      <c r="AB67" s="39"/>
      <c r="AC67" s="39"/>
      <c r="AD67" s="39"/>
      <c r="AE67" s="39" t="s">
        <v>2</v>
      </c>
      <c r="AF67" s="39" t="s">
        <v>2</v>
      </c>
      <c r="AH67" s="20">
        <f t="shared" si="6"/>
        <v>0</v>
      </c>
      <c r="AI67" s="20">
        <f t="shared" si="7"/>
        <v>0</v>
      </c>
    </row>
    <row r="68" spans="1:35" ht="20.100000000000001" hidden="1" customHeight="1">
      <c r="A68" s="24" t="str">
        <f>ÖSSZES!$A$65</f>
        <v>Név17</v>
      </c>
      <c r="B68" s="39"/>
      <c r="C68" s="39"/>
      <c r="D68" s="39"/>
      <c r="E68" s="39"/>
      <c r="F68" s="39"/>
      <c r="G68" s="39" t="s">
        <v>2</v>
      </c>
      <c r="H68" s="39" t="s">
        <v>2</v>
      </c>
      <c r="I68" s="39"/>
      <c r="J68" s="39"/>
      <c r="K68" s="39"/>
      <c r="L68" s="39"/>
      <c r="M68" s="39"/>
      <c r="N68" s="39"/>
      <c r="O68" s="39" t="s">
        <v>2</v>
      </c>
      <c r="P68" s="39" t="s">
        <v>2</v>
      </c>
      <c r="Q68" s="39"/>
      <c r="R68" s="39"/>
      <c r="S68" s="39"/>
      <c r="T68" s="39"/>
      <c r="U68" s="39"/>
      <c r="V68" s="39"/>
      <c r="W68" s="39" t="s">
        <v>2</v>
      </c>
      <c r="X68" s="39" t="s">
        <v>2</v>
      </c>
      <c r="Y68" s="39"/>
      <c r="Z68" s="39"/>
      <c r="AA68" s="39"/>
      <c r="AB68" s="39"/>
      <c r="AC68" s="39"/>
      <c r="AD68" s="39"/>
      <c r="AE68" s="39" t="s">
        <v>2</v>
      </c>
      <c r="AF68" s="39" t="s">
        <v>2</v>
      </c>
      <c r="AH68" s="20">
        <f t="shared" si="6"/>
        <v>0</v>
      </c>
      <c r="AI68" s="20">
        <f t="shared" si="7"/>
        <v>0</v>
      </c>
    </row>
    <row r="69" spans="1:35" ht="20.100000000000001" hidden="1" customHeight="1">
      <c r="A69" s="24" t="str">
        <f>ÖSSZES!$A$66</f>
        <v>Név18</v>
      </c>
      <c r="B69" s="39"/>
      <c r="C69" s="39"/>
      <c r="D69" s="39"/>
      <c r="E69" s="39"/>
      <c r="F69" s="39"/>
      <c r="G69" s="39" t="s">
        <v>2</v>
      </c>
      <c r="H69" s="39" t="s">
        <v>2</v>
      </c>
      <c r="I69" s="39"/>
      <c r="J69" s="39"/>
      <c r="K69" s="39"/>
      <c r="L69" s="39"/>
      <c r="M69" s="39"/>
      <c r="N69" s="39"/>
      <c r="O69" s="39" t="s">
        <v>2</v>
      </c>
      <c r="P69" s="39" t="s">
        <v>2</v>
      </c>
      <c r="Q69" s="39"/>
      <c r="R69" s="39"/>
      <c r="S69" s="39"/>
      <c r="T69" s="39"/>
      <c r="U69" s="39"/>
      <c r="V69" s="39"/>
      <c r="W69" s="39" t="s">
        <v>2</v>
      </c>
      <c r="X69" s="39" t="s">
        <v>2</v>
      </c>
      <c r="Y69" s="39"/>
      <c r="Z69" s="39"/>
      <c r="AA69" s="39"/>
      <c r="AB69" s="39"/>
      <c r="AC69" s="39"/>
      <c r="AD69" s="39"/>
      <c r="AE69" s="39" t="s">
        <v>2</v>
      </c>
      <c r="AF69" s="39" t="s">
        <v>2</v>
      </c>
      <c r="AH69" s="20">
        <f t="shared" si="6"/>
        <v>0</v>
      </c>
      <c r="AI69" s="20">
        <f t="shared" si="7"/>
        <v>0</v>
      </c>
    </row>
    <row r="70" spans="1:35" ht="20.100000000000001" hidden="1" customHeight="1">
      <c r="A70" s="24" t="str">
        <f>ÖSSZES!$A$67</f>
        <v>Név19</v>
      </c>
      <c r="B70" s="39"/>
      <c r="C70" s="39"/>
      <c r="D70" s="39"/>
      <c r="E70" s="39"/>
      <c r="F70" s="39"/>
      <c r="G70" s="39" t="s">
        <v>2</v>
      </c>
      <c r="H70" s="39" t="s">
        <v>2</v>
      </c>
      <c r="I70" s="39"/>
      <c r="J70" s="39"/>
      <c r="K70" s="39"/>
      <c r="L70" s="39"/>
      <c r="M70" s="39"/>
      <c r="N70" s="39"/>
      <c r="O70" s="39" t="s">
        <v>2</v>
      </c>
      <c r="P70" s="39" t="s">
        <v>2</v>
      </c>
      <c r="Q70" s="39"/>
      <c r="R70" s="39"/>
      <c r="S70" s="39"/>
      <c r="T70" s="39"/>
      <c r="U70" s="39"/>
      <c r="V70" s="39"/>
      <c r="W70" s="39" t="s">
        <v>2</v>
      </c>
      <c r="X70" s="39" t="s">
        <v>2</v>
      </c>
      <c r="Y70" s="39"/>
      <c r="Z70" s="39"/>
      <c r="AA70" s="39"/>
      <c r="AB70" s="39"/>
      <c r="AC70" s="39"/>
      <c r="AD70" s="39"/>
      <c r="AE70" s="39" t="s">
        <v>2</v>
      </c>
      <c r="AF70" s="39" t="s">
        <v>2</v>
      </c>
      <c r="AH70" s="20">
        <f t="shared" si="6"/>
        <v>0</v>
      </c>
      <c r="AI70" s="20">
        <f t="shared" si="7"/>
        <v>0</v>
      </c>
    </row>
    <row r="71" spans="1:35" ht="20.100000000000001" hidden="1" customHeight="1">
      <c r="A71" s="24" t="str">
        <f>ÖSSZES!$A$68</f>
        <v>Név20</v>
      </c>
      <c r="B71" s="39"/>
      <c r="C71" s="39"/>
      <c r="D71" s="39"/>
      <c r="E71" s="39"/>
      <c r="F71" s="39"/>
      <c r="G71" s="39" t="s">
        <v>2</v>
      </c>
      <c r="H71" s="39" t="s">
        <v>2</v>
      </c>
      <c r="I71" s="39"/>
      <c r="J71" s="39"/>
      <c r="K71" s="39"/>
      <c r="L71" s="39"/>
      <c r="M71" s="39"/>
      <c r="N71" s="39"/>
      <c r="O71" s="39" t="s">
        <v>2</v>
      </c>
      <c r="P71" s="39" t="s">
        <v>2</v>
      </c>
      <c r="Q71" s="39"/>
      <c r="R71" s="39"/>
      <c r="S71" s="39"/>
      <c r="T71" s="39"/>
      <c r="U71" s="39"/>
      <c r="V71" s="39"/>
      <c r="W71" s="39" t="s">
        <v>2</v>
      </c>
      <c r="X71" s="39" t="s">
        <v>2</v>
      </c>
      <c r="Y71" s="39"/>
      <c r="Z71" s="39"/>
      <c r="AA71" s="39"/>
      <c r="AB71" s="39"/>
      <c r="AC71" s="39"/>
      <c r="AD71" s="39"/>
      <c r="AE71" s="39" t="s">
        <v>2</v>
      </c>
      <c r="AF71" s="39" t="s">
        <v>2</v>
      </c>
      <c r="AH71" s="20">
        <f t="shared" si="6"/>
        <v>0</v>
      </c>
      <c r="AI71" s="20">
        <f t="shared" si="7"/>
        <v>0</v>
      </c>
    </row>
    <row r="72" spans="1:35" ht="20.100000000000001" customHeight="1"/>
    <row r="73" spans="1:35" s="11" customFormat="1" ht="20.100000000000001" customHeight="1">
      <c r="A73" s="54" t="s">
        <v>17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23">
        <v>7</v>
      </c>
      <c r="I73" s="23">
        <v>8</v>
      </c>
      <c r="J73" s="23">
        <v>9</v>
      </c>
      <c r="K73" s="23">
        <v>10</v>
      </c>
      <c r="L73" s="23">
        <v>11</v>
      </c>
      <c r="M73" s="23">
        <v>12</v>
      </c>
      <c r="N73" s="23">
        <v>13</v>
      </c>
      <c r="O73" s="23">
        <v>14</v>
      </c>
      <c r="P73" s="23">
        <v>15</v>
      </c>
      <c r="Q73" s="23">
        <v>16</v>
      </c>
      <c r="R73" s="23">
        <v>17</v>
      </c>
      <c r="S73" s="23">
        <v>18</v>
      </c>
      <c r="T73" s="23">
        <v>19</v>
      </c>
      <c r="U73" s="23">
        <v>20</v>
      </c>
      <c r="V73" s="23">
        <v>21</v>
      </c>
      <c r="W73" s="23">
        <v>22</v>
      </c>
      <c r="X73" s="23">
        <v>23</v>
      </c>
      <c r="Y73" s="23">
        <v>24</v>
      </c>
      <c r="Z73" s="23">
        <v>25</v>
      </c>
      <c r="AA73" s="23">
        <v>26</v>
      </c>
      <c r="AB73" s="23">
        <v>27</v>
      </c>
      <c r="AC73" s="23">
        <v>28</v>
      </c>
      <c r="AD73" s="23">
        <v>29</v>
      </c>
      <c r="AE73" s="23">
        <v>30</v>
      </c>
      <c r="AH73" s="59" t="s">
        <v>18</v>
      </c>
      <c r="AI73" s="59" t="s">
        <v>19</v>
      </c>
    </row>
    <row r="74" spans="1:35" ht="20.100000000000001" customHeight="1">
      <c r="A74" s="62"/>
      <c r="B74" s="15" t="str">
        <f>'2021'!B28</f>
        <v>Cs</v>
      </c>
      <c r="C74" s="15" t="str">
        <f>'2021'!C28</f>
        <v>P</v>
      </c>
      <c r="D74" s="15" t="str">
        <f>'2021'!D28</f>
        <v>Szo</v>
      </c>
      <c r="E74" s="15" t="str">
        <f>'2021'!E28</f>
        <v>V</v>
      </c>
      <c r="F74" s="15" t="str">
        <f>'2021'!F28</f>
        <v>H</v>
      </c>
      <c r="G74" s="15" t="str">
        <f>'2021'!G28</f>
        <v>K</v>
      </c>
      <c r="H74" s="15" t="str">
        <f>'2021'!H28</f>
        <v>Sze</v>
      </c>
      <c r="I74" s="15" t="str">
        <f>'2021'!I28</f>
        <v>Cs</v>
      </c>
      <c r="J74" s="15" t="str">
        <f>'2021'!J28</f>
        <v>P</v>
      </c>
      <c r="K74" s="15" t="str">
        <f>'2021'!K28</f>
        <v>Szo</v>
      </c>
      <c r="L74" s="15" t="str">
        <f>'2021'!L28</f>
        <v>V</v>
      </c>
      <c r="M74" s="15" t="str">
        <f>'2021'!M28</f>
        <v>H</v>
      </c>
      <c r="N74" s="15" t="str">
        <f>'2021'!N28</f>
        <v>K</v>
      </c>
      <c r="O74" s="15" t="str">
        <f>'2021'!O28</f>
        <v>Sze</v>
      </c>
      <c r="P74" s="15" t="str">
        <f>'2021'!P28</f>
        <v>Cs</v>
      </c>
      <c r="Q74" s="15" t="str">
        <f>'2021'!Q28</f>
        <v>P</v>
      </c>
      <c r="R74" s="15" t="str">
        <f>'2021'!R28</f>
        <v>Szo</v>
      </c>
      <c r="S74" s="15" t="str">
        <f>'2021'!S28</f>
        <v>V</v>
      </c>
      <c r="T74" s="15" t="str">
        <f>'2021'!T28</f>
        <v>H</v>
      </c>
      <c r="U74" s="15" t="str">
        <f>'2021'!U28</f>
        <v>K</v>
      </c>
      <c r="V74" s="15" t="str">
        <f>'2021'!V28</f>
        <v>Sze</v>
      </c>
      <c r="W74" s="15" t="str">
        <f>'2021'!W28</f>
        <v>Cs</v>
      </c>
      <c r="X74" s="15" t="str">
        <f>'2021'!X28</f>
        <v>P</v>
      </c>
      <c r="Y74" s="15" t="str">
        <f>'2021'!Y28</f>
        <v>Szo</v>
      </c>
      <c r="Z74" s="15" t="str">
        <f>'2021'!Z28</f>
        <v>V</v>
      </c>
      <c r="AA74" s="15" t="str">
        <f>'2021'!AA28</f>
        <v>H</v>
      </c>
      <c r="AB74" s="15" t="str">
        <f>'2021'!AB28</f>
        <v>K</v>
      </c>
      <c r="AC74" s="15" t="str">
        <f>'2021'!AC28</f>
        <v>Sze</v>
      </c>
      <c r="AD74" s="15" t="str">
        <f>'2021'!AD28</f>
        <v>Cs</v>
      </c>
      <c r="AE74" s="15" t="str">
        <f>'2021'!AE28</f>
        <v>P</v>
      </c>
      <c r="AF74" s="6"/>
      <c r="AH74" s="60"/>
      <c r="AI74" s="60"/>
    </row>
    <row r="75" spans="1:35" ht="20.100000000000001" customHeight="1">
      <c r="A75" s="62"/>
      <c r="B75" s="15">
        <f>'2021'!B31</f>
        <v>1</v>
      </c>
      <c r="C75" s="15">
        <f>'2021'!C31</f>
        <v>1</v>
      </c>
      <c r="D75" s="15">
        <f>'2021'!D31</f>
        <v>1</v>
      </c>
      <c r="E75" s="15">
        <f>'2021'!E31</f>
        <v>1</v>
      </c>
      <c r="F75" s="15">
        <f>'2021'!F31</f>
        <v>1</v>
      </c>
      <c r="G75" s="15">
        <f>'2021'!G31</f>
        <v>1</v>
      </c>
      <c r="H75" s="15" t="str">
        <f>'2021'!H31</f>
        <v>X</v>
      </c>
      <c r="I75" s="15" t="str">
        <f>'2021'!I31</f>
        <v>X</v>
      </c>
      <c r="J75" s="15">
        <f>'2021'!J31</f>
        <v>3</v>
      </c>
      <c r="K75" s="15">
        <f>'2021'!K31</f>
        <v>3</v>
      </c>
      <c r="L75" s="15">
        <f>'2021'!L31</f>
        <v>3</v>
      </c>
      <c r="M75" s="15">
        <f>'2021'!M31</f>
        <v>3</v>
      </c>
      <c r="N75" s="15">
        <f>'2021'!N31</f>
        <v>3</v>
      </c>
      <c r="O75" s="15">
        <f>'2021'!O31</f>
        <v>3</v>
      </c>
      <c r="P75" s="15" t="str">
        <f>'2021'!P31</f>
        <v>X</v>
      </c>
      <c r="Q75" s="15" t="str">
        <f>'2021'!Q31</f>
        <v>X</v>
      </c>
      <c r="R75" s="15">
        <f>'2021'!R31</f>
        <v>2</v>
      </c>
      <c r="S75" s="15">
        <f>'2021'!S31</f>
        <v>2</v>
      </c>
      <c r="T75" s="15">
        <f>'2021'!T31</f>
        <v>2</v>
      </c>
      <c r="U75" s="15">
        <f>'2021'!U31</f>
        <v>2</v>
      </c>
      <c r="V75" s="15">
        <f>'2021'!V31</f>
        <v>2</v>
      </c>
      <c r="W75" s="15">
        <f>'2021'!W31</f>
        <v>2</v>
      </c>
      <c r="X75" s="15" t="str">
        <f>'2021'!X31</f>
        <v>X</v>
      </c>
      <c r="Y75" s="15" t="str">
        <f>'2021'!Y31</f>
        <v>X</v>
      </c>
      <c r="Z75" s="15">
        <f>'2021'!Z31</f>
        <v>1</v>
      </c>
      <c r="AA75" s="15">
        <f>'2021'!AA31</f>
        <v>1</v>
      </c>
      <c r="AB75" s="15">
        <f>'2021'!AB31</f>
        <v>1</v>
      </c>
      <c r="AC75" s="15">
        <f>'2021'!AC31</f>
        <v>1</v>
      </c>
      <c r="AD75" s="15">
        <f>'2021'!AD31</f>
        <v>1</v>
      </c>
      <c r="AE75" s="15">
        <f>'2021'!AE31</f>
        <v>1</v>
      </c>
      <c r="AF75" s="6"/>
      <c r="AH75" s="60"/>
      <c r="AI75" s="60"/>
    </row>
    <row r="76" spans="1:35" ht="20.100000000000001" customHeight="1">
      <c r="A76" s="24" t="str">
        <f>ÖSSZES!$A$49</f>
        <v>Kuik-Filep András</v>
      </c>
      <c r="B76" s="19"/>
      <c r="C76" s="39"/>
      <c r="D76" s="19"/>
      <c r="E76" s="39"/>
      <c r="F76" s="19"/>
      <c r="G76" s="39"/>
      <c r="H76" s="39" t="s">
        <v>2</v>
      </c>
      <c r="I76" s="39" t="s">
        <v>2</v>
      </c>
      <c r="J76" s="19"/>
      <c r="K76" s="39"/>
      <c r="L76" s="19"/>
      <c r="M76" s="39"/>
      <c r="N76" s="19"/>
      <c r="O76" s="39"/>
      <c r="P76" s="39" t="s">
        <v>2</v>
      </c>
      <c r="Q76" s="39" t="s">
        <v>2</v>
      </c>
      <c r="R76" s="19"/>
      <c r="S76" s="39"/>
      <c r="T76" s="19"/>
      <c r="U76" s="39"/>
      <c r="V76" s="19"/>
      <c r="W76" s="39"/>
      <c r="X76" s="39" t="s">
        <v>2</v>
      </c>
      <c r="Y76" s="39" t="s">
        <v>2</v>
      </c>
      <c r="Z76" s="19"/>
      <c r="AA76" s="39"/>
      <c r="AB76" s="19"/>
      <c r="AC76" s="39"/>
      <c r="AD76" s="19"/>
      <c r="AE76" s="39"/>
      <c r="AF76" s="6"/>
      <c r="AH76" s="20">
        <f>1*COUNTIF(A76:AF76,"+")</f>
        <v>0</v>
      </c>
      <c r="AI76" s="20">
        <f t="shared" ref="AI76" si="8">1*COUNTIF(B76:AF76,"szf")</f>
        <v>0</v>
      </c>
    </row>
    <row r="77" spans="1:35" ht="20.100000000000001" customHeight="1">
      <c r="A77" s="24" t="str">
        <f>ÖSSZES!$A$50</f>
        <v>Balogh Zsolt</v>
      </c>
      <c r="B77" s="19"/>
      <c r="C77" s="39"/>
      <c r="D77" s="19"/>
      <c r="E77" s="39"/>
      <c r="F77" s="19"/>
      <c r="G77" s="39"/>
      <c r="H77" s="39" t="s">
        <v>2</v>
      </c>
      <c r="I77" s="39" t="s">
        <v>2</v>
      </c>
      <c r="J77" s="19"/>
      <c r="K77" s="39"/>
      <c r="L77" s="19"/>
      <c r="M77" s="39"/>
      <c r="N77" s="19"/>
      <c r="O77" s="39"/>
      <c r="P77" s="39" t="s">
        <v>2</v>
      </c>
      <c r="Q77" s="39" t="s">
        <v>2</v>
      </c>
      <c r="R77" s="19"/>
      <c r="S77" s="39"/>
      <c r="T77" s="19"/>
      <c r="U77" s="39"/>
      <c r="V77" s="19"/>
      <c r="W77" s="39"/>
      <c r="X77" s="39" t="s">
        <v>2</v>
      </c>
      <c r="Y77" s="39" t="s">
        <v>2</v>
      </c>
      <c r="Z77" s="19"/>
      <c r="AA77" s="39"/>
      <c r="AB77" s="19"/>
      <c r="AC77" s="39"/>
      <c r="AD77" s="19"/>
      <c r="AE77" s="39"/>
      <c r="AF77" s="6"/>
      <c r="AH77" s="20">
        <f t="shared" ref="AH77:AH95" si="9">1*COUNTIF(A77:AF77,"+")</f>
        <v>0</v>
      </c>
      <c r="AI77" s="20">
        <f t="shared" ref="AI77:AI95" si="10">1*COUNTIF(B77:AF77,"szf")</f>
        <v>0</v>
      </c>
    </row>
    <row r="78" spans="1:35" ht="20.100000000000001" customHeight="1">
      <c r="A78" s="24" t="str">
        <f>ÖSSZES!$A$51</f>
        <v>Éliás Viktor</v>
      </c>
      <c r="B78" s="19"/>
      <c r="C78" s="39"/>
      <c r="D78" s="19"/>
      <c r="E78" s="39"/>
      <c r="F78" s="19"/>
      <c r="G78" s="39"/>
      <c r="H78" s="39" t="s">
        <v>2</v>
      </c>
      <c r="I78" s="39" t="s">
        <v>2</v>
      </c>
      <c r="J78" s="19"/>
      <c r="K78" s="39"/>
      <c r="L78" s="19"/>
      <c r="M78" s="39"/>
      <c r="N78" s="19"/>
      <c r="O78" s="39"/>
      <c r="P78" s="39" t="s">
        <v>2</v>
      </c>
      <c r="Q78" s="39" t="s">
        <v>2</v>
      </c>
      <c r="R78" s="19"/>
      <c r="S78" s="39"/>
      <c r="T78" s="19"/>
      <c r="U78" s="39"/>
      <c r="V78" s="19"/>
      <c r="W78" s="39"/>
      <c r="X78" s="39" t="s">
        <v>2</v>
      </c>
      <c r="Y78" s="39" t="s">
        <v>2</v>
      </c>
      <c r="Z78" s="19"/>
      <c r="AA78" s="39"/>
      <c r="AB78" s="19"/>
      <c r="AC78" s="39"/>
      <c r="AD78" s="19"/>
      <c r="AE78" s="39"/>
      <c r="AF78" s="6"/>
      <c r="AH78" s="20">
        <f t="shared" si="9"/>
        <v>0</v>
      </c>
      <c r="AI78" s="20">
        <f t="shared" si="10"/>
        <v>0</v>
      </c>
    </row>
    <row r="79" spans="1:35" ht="20.100000000000001" customHeight="1">
      <c r="A79" s="24" t="str">
        <f>ÖSSZES!$A$52</f>
        <v>Hadházi Kálmán</v>
      </c>
      <c r="B79" s="19"/>
      <c r="C79" s="39"/>
      <c r="D79" s="19"/>
      <c r="E79" s="39"/>
      <c r="F79" s="19"/>
      <c r="G79" s="39"/>
      <c r="H79" s="39" t="s">
        <v>2</v>
      </c>
      <c r="I79" s="39" t="s">
        <v>2</v>
      </c>
      <c r="J79" s="19"/>
      <c r="K79" s="39"/>
      <c r="L79" s="19"/>
      <c r="M79" s="39"/>
      <c r="N79" s="19"/>
      <c r="O79" s="39"/>
      <c r="P79" s="39" t="s">
        <v>2</v>
      </c>
      <c r="Q79" s="39" t="s">
        <v>2</v>
      </c>
      <c r="R79" s="19"/>
      <c r="S79" s="39"/>
      <c r="T79" s="19"/>
      <c r="U79" s="39"/>
      <c r="V79" s="19"/>
      <c r="W79" s="39"/>
      <c r="X79" s="39" t="s">
        <v>2</v>
      </c>
      <c r="Y79" s="39" t="s">
        <v>2</v>
      </c>
      <c r="Z79" s="19"/>
      <c r="AA79" s="39"/>
      <c r="AB79" s="19"/>
      <c r="AC79" s="39"/>
      <c r="AD79" s="19"/>
      <c r="AE79" s="39"/>
      <c r="AF79" s="6"/>
      <c r="AH79" s="20">
        <f t="shared" si="9"/>
        <v>0</v>
      </c>
      <c r="AI79" s="20">
        <f t="shared" si="10"/>
        <v>0</v>
      </c>
    </row>
    <row r="80" spans="1:35" ht="20.100000000000001" customHeight="1">
      <c r="A80" s="24" t="str">
        <f>ÖSSZES!$A$53</f>
        <v>Kiss Attila</v>
      </c>
      <c r="B80" s="19"/>
      <c r="C80" s="39"/>
      <c r="D80" s="19"/>
      <c r="E80" s="39"/>
      <c r="F80" s="19"/>
      <c r="G80" s="39"/>
      <c r="H80" s="39" t="s">
        <v>2</v>
      </c>
      <c r="I80" s="39" t="s">
        <v>2</v>
      </c>
      <c r="J80" s="19"/>
      <c r="K80" s="39"/>
      <c r="L80" s="19"/>
      <c r="M80" s="39"/>
      <c r="N80" s="19"/>
      <c r="O80" s="39"/>
      <c r="P80" s="39" t="s">
        <v>2</v>
      </c>
      <c r="Q80" s="39" t="s">
        <v>2</v>
      </c>
      <c r="R80" s="19"/>
      <c r="S80" s="39"/>
      <c r="T80" s="19"/>
      <c r="U80" s="39"/>
      <c r="V80" s="19"/>
      <c r="W80" s="39"/>
      <c r="X80" s="39" t="s">
        <v>2</v>
      </c>
      <c r="Y80" s="39" t="s">
        <v>2</v>
      </c>
      <c r="Z80" s="19"/>
      <c r="AA80" s="39"/>
      <c r="AB80" s="19"/>
      <c r="AC80" s="39"/>
      <c r="AD80" s="19"/>
      <c r="AE80" s="39"/>
      <c r="AF80" s="6"/>
      <c r="AH80" s="20">
        <f t="shared" si="9"/>
        <v>0</v>
      </c>
      <c r="AI80" s="20">
        <f t="shared" si="10"/>
        <v>0</v>
      </c>
    </row>
    <row r="81" spans="1:35" ht="20.100000000000001" customHeight="1">
      <c r="A81" s="24" t="str">
        <f>ÖSSZES!$A$54</f>
        <v>Serestyén Dániel</v>
      </c>
      <c r="B81" s="19"/>
      <c r="C81" s="39"/>
      <c r="D81" s="19"/>
      <c r="E81" s="39"/>
      <c r="F81" s="19"/>
      <c r="G81" s="39"/>
      <c r="H81" s="39" t="s">
        <v>2</v>
      </c>
      <c r="I81" s="39" t="s">
        <v>2</v>
      </c>
      <c r="J81" s="19"/>
      <c r="K81" s="39"/>
      <c r="L81" s="19"/>
      <c r="M81" s="39"/>
      <c r="N81" s="19"/>
      <c r="O81" s="39"/>
      <c r="P81" s="39" t="s">
        <v>2</v>
      </c>
      <c r="Q81" s="39" t="s">
        <v>2</v>
      </c>
      <c r="R81" s="19"/>
      <c r="S81" s="39"/>
      <c r="T81" s="19"/>
      <c r="U81" s="39"/>
      <c r="V81" s="19"/>
      <c r="W81" s="39"/>
      <c r="X81" s="39" t="s">
        <v>2</v>
      </c>
      <c r="Y81" s="39" t="s">
        <v>2</v>
      </c>
      <c r="Z81" s="19"/>
      <c r="AA81" s="39"/>
      <c r="AB81" s="19"/>
      <c r="AC81" s="39"/>
      <c r="AD81" s="19"/>
      <c r="AE81" s="39"/>
      <c r="AF81" s="6"/>
      <c r="AH81" s="20">
        <f t="shared" si="9"/>
        <v>0</v>
      </c>
      <c r="AI81" s="20">
        <f t="shared" si="10"/>
        <v>0</v>
      </c>
    </row>
    <row r="82" spans="1:35" ht="20.100000000000001" customHeight="1">
      <c r="A82" s="24" t="str">
        <f>ÖSSZES!$A$55</f>
        <v>Varga Imre</v>
      </c>
      <c r="B82" s="19"/>
      <c r="C82" s="39"/>
      <c r="D82" s="19"/>
      <c r="E82" s="39"/>
      <c r="F82" s="19"/>
      <c r="G82" s="39"/>
      <c r="H82" s="39" t="s">
        <v>2</v>
      </c>
      <c r="I82" s="39" t="s">
        <v>2</v>
      </c>
      <c r="J82" s="19"/>
      <c r="K82" s="39"/>
      <c r="L82" s="19"/>
      <c r="M82" s="39"/>
      <c r="N82" s="19"/>
      <c r="O82" s="39"/>
      <c r="P82" s="39" t="s">
        <v>2</v>
      </c>
      <c r="Q82" s="39" t="s">
        <v>2</v>
      </c>
      <c r="R82" s="19"/>
      <c r="S82" s="39"/>
      <c r="T82" s="19"/>
      <c r="U82" s="39"/>
      <c r="V82" s="19"/>
      <c r="W82" s="39"/>
      <c r="X82" s="39" t="s">
        <v>2</v>
      </c>
      <c r="Y82" s="39" t="s">
        <v>2</v>
      </c>
      <c r="Z82" s="19"/>
      <c r="AA82" s="39"/>
      <c r="AB82" s="19"/>
      <c r="AC82" s="39"/>
      <c r="AD82" s="19"/>
      <c r="AE82" s="39"/>
      <c r="AF82" s="6"/>
      <c r="AH82" s="20">
        <f t="shared" si="9"/>
        <v>0</v>
      </c>
      <c r="AI82" s="20">
        <f t="shared" si="10"/>
        <v>0</v>
      </c>
    </row>
    <row r="83" spans="1:35" ht="20.100000000000001" hidden="1" customHeight="1">
      <c r="A83" s="24" t="str">
        <f>ÖSSZES!$A$56</f>
        <v>Név8</v>
      </c>
      <c r="B83" s="19"/>
      <c r="C83" s="39"/>
      <c r="D83" s="19"/>
      <c r="E83" s="39"/>
      <c r="F83" s="19"/>
      <c r="G83" s="39"/>
      <c r="H83" s="39" t="s">
        <v>2</v>
      </c>
      <c r="I83" s="39" t="s">
        <v>2</v>
      </c>
      <c r="J83" s="19"/>
      <c r="K83" s="39"/>
      <c r="L83" s="19"/>
      <c r="M83" s="39"/>
      <c r="N83" s="19"/>
      <c r="O83" s="39"/>
      <c r="P83" s="39" t="s">
        <v>2</v>
      </c>
      <c r="Q83" s="39" t="s">
        <v>2</v>
      </c>
      <c r="R83" s="19"/>
      <c r="S83" s="39"/>
      <c r="T83" s="19"/>
      <c r="U83" s="39"/>
      <c r="V83" s="19"/>
      <c r="W83" s="39"/>
      <c r="X83" s="39" t="s">
        <v>2</v>
      </c>
      <c r="Y83" s="39" t="s">
        <v>2</v>
      </c>
      <c r="Z83" s="19"/>
      <c r="AA83" s="39"/>
      <c r="AB83" s="19"/>
      <c r="AC83" s="39"/>
      <c r="AD83" s="19"/>
      <c r="AE83" s="39"/>
      <c r="AF83" s="6"/>
      <c r="AH83" s="20">
        <f t="shared" si="9"/>
        <v>0</v>
      </c>
      <c r="AI83" s="20">
        <f t="shared" si="10"/>
        <v>0</v>
      </c>
    </row>
    <row r="84" spans="1:35" ht="20.100000000000001" hidden="1" customHeight="1">
      <c r="A84" s="24" t="str">
        <f>ÖSSZES!$A$57</f>
        <v>Név9</v>
      </c>
      <c r="B84" s="19"/>
      <c r="C84" s="39"/>
      <c r="D84" s="19"/>
      <c r="E84" s="39"/>
      <c r="F84" s="19"/>
      <c r="G84" s="39"/>
      <c r="H84" s="39" t="s">
        <v>2</v>
      </c>
      <c r="I84" s="39" t="s">
        <v>2</v>
      </c>
      <c r="J84" s="19"/>
      <c r="K84" s="39"/>
      <c r="L84" s="19"/>
      <c r="M84" s="39"/>
      <c r="N84" s="19"/>
      <c r="O84" s="39"/>
      <c r="P84" s="39" t="s">
        <v>2</v>
      </c>
      <c r="Q84" s="39" t="s">
        <v>2</v>
      </c>
      <c r="R84" s="19"/>
      <c r="S84" s="39"/>
      <c r="T84" s="19"/>
      <c r="U84" s="39"/>
      <c r="V84" s="19"/>
      <c r="W84" s="39"/>
      <c r="X84" s="39" t="s">
        <v>2</v>
      </c>
      <c r="Y84" s="39" t="s">
        <v>2</v>
      </c>
      <c r="Z84" s="19"/>
      <c r="AA84" s="39"/>
      <c r="AB84" s="19"/>
      <c r="AC84" s="39"/>
      <c r="AD84" s="19"/>
      <c r="AE84" s="39"/>
      <c r="AF84" s="6"/>
      <c r="AH84" s="20">
        <f t="shared" si="9"/>
        <v>0</v>
      </c>
      <c r="AI84" s="20">
        <f t="shared" si="10"/>
        <v>0</v>
      </c>
    </row>
    <row r="85" spans="1:35" ht="20.100000000000001" hidden="1" customHeight="1">
      <c r="A85" s="24" t="str">
        <f>ÖSSZES!$A$58</f>
        <v>Név10</v>
      </c>
      <c r="B85" s="19"/>
      <c r="C85" s="39"/>
      <c r="D85" s="19"/>
      <c r="E85" s="39"/>
      <c r="F85" s="19"/>
      <c r="G85" s="39"/>
      <c r="H85" s="39" t="s">
        <v>2</v>
      </c>
      <c r="I85" s="39" t="s">
        <v>2</v>
      </c>
      <c r="J85" s="19"/>
      <c r="K85" s="39"/>
      <c r="L85" s="19"/>
      <c r="M85" s="39"/>
      <c r="N85" s="19"/>
      <c r="O85" s="39"/>
      <c r="P85" s="39" t="s">
        <v>2</v>
      </c>
      <c r="Q85" s="39" t="s">
        <v>2</v>
      </c>
      <c r="R85" s="19"/>
      <c r="S85" s="39"/>
      <c r="T85" s="19"/>
      <c r="U85" s="39"/>
      <c r="V85" s="19"/>
      <c r="W85" s="39"/>
      <c r="X85" s="39" t="s">
        <v>2</v>
      </c>
      <c r="Y85" s="39" t="s">
        <v>2</v>
      </c>
      <c r="Z85" s="19"/>
      <c r="AA85" s="39"/>
      <c r="AB85" s="19"/>
      <c r="AC85" s="39"/>
      <c r="AD85" s="19"/>
      <c r="AE85" s="39"/>
      <c r="AF85" s="6"/>
      <c r="AH85" s="20">
        <f t="shared" si="9"/>
        <v>0</v>
      </c>
      <c r="AI85" s="20">
        <f t="shared" si="10"/>
        <v>0</v>
      </c>
    </row>
    <row r="86" spans="1:35" ht="20.100000000000001" hidden="1" customHeight="1">
      <c r="A86" s="24" t="str">
        <f>ÖSSZES!$A$59</f>
        <v>Név11</v>
      </c>
      <c r="B86" s="19"/>
      <c r="C86" s="39"/>
      <c r="D86" s="19"/>
      <c r="E86" s="39"/>
      <c r="F86" s="19"/>
      <c r="G86" s="39"/>
      <c r="H86" s="39" t="s">
        <v>2</v>
      </c>
      <c r="I86" s="39" t="s">
        <v>2</v>
      </c>
      <c r="J86" s="19"/>
      <c r="K86" s="39"/>
      <c r="L86" s="19"/>
      <c r="M86" s="39"/>
      <c r="N86" s="19"/>
      <c r="O86" s="39"/>
      <c r="P86" s="39" t="s">
        <v>2</v>
      </c>
      <c r="Q86" s="39" t="s">
        <v>2</v>
      </c>
      <c r="R86" s="19"/>
      <c r="S86" s="39"/>
      <c r="T86" s="19"/>
      <c r="U86" s="39"/>
      <c r="V86" s="19"/>
      <c r="W86" s="39"/>
      <c r="X86" s="39" t="s">
        <v>2</v>
      </c>
      <c r="Y86" s="39" t="s">
        <v>2</v>
      </c>
      <c r="Z86" s="19"/>
      <c r="AA86" s="39"/>
      <c r="AB86" s="19"/>
      <c r="AC86" s="39"/>
      <c r="AD86" s="19"/>
      <c r="AE86" s="39"/>
      <c r="AF86" s="6"/>
      <c r="AH86" s="20">
        <f t="shared" si="9"/>
        <v>0</v>
      </c>
      <c r="AI86" s="20">
        <f t="shared" si="10"/>
        <v>0</v>
      </c>
    </row>
    <row r="87" spans="1:35" ht="20.100000000000001" hidden="1" customHeight="1">
      <c r="A87" s="24" t="str">
        <f>ÖSSZES!$A$60</f>
        <v>Név12</v>
      </c>
      <c r="B87" s="19"/>
      <c r="C87" s="39"/>
      <c r="D87" s="19"/>
      <c r="E87" s="39"/>
      <c r="F87" s="19"/>
      <c r="G87" s="39"/>
      <c r="H87" s="39" t="s">
        <v>2</v>
      </c>
      <c r="I87" s="39" t="s">
        <v>2</v>
      </c>
      <c r="J87" s="19"/>
      <c r="K87" s="39"/>
      <c r="L87" s="19"/>
      <c r="M87" s="39"/>
      <c r="N87" s="19"/>
      <c r="O87" s="39"/>
      <c r="P87" s="39" t="s">
        <v>2</v>
      </c>
      <c r="Q87" s="39" t="s">
        <v>2</v>
      </c>
      <c r="R87" s="19"/>
      <c r="S87" s="39"/>
      <c r="T87" s="19"/>
      <c r="U87" s="39"/>
      <c r="V87" s="19"/>
      <c r="W87" s="39"/>
      <c r="X87" s="39" t="s">
        <v>2</v>
      </c>
      <c r="Y87" s="39" t="s">
        <v>2</v>
      </c>
      <c r="Z87" s="19"/>
      <c r="AA87" s="39"/>
      <c r="AB87" s="19"/>
      <c r="AC87" s="39"/>
      <c r="AD87" s="19"/>
      <c r="AE87" s="39"/>
      <c r="AF87" s="6"/>
      <c r="AH87" s="20">
        <f t="shared" si="9"/>
        <v>0</v>
      </c>
      <c r="AI87" s="20">
        <f t="shared" si="10"/>
        <v>0</v>
      </c>
    </row>
    <row r="88" spans="1:35" ht="20.100000000000001" hidden="1" customHeight="1">
      <c r="A88" s="24" t="str">
        <f>ÖSSZES!$A$61</f>
        <v>Név13</v>
      </c>
      <c r="B88" s="19"/>
      <c r="C88" s="39"/>
      <c r="D88" s="19"/>
      <c r="E88" s="39"/>
      <c r="F88" s="19"/>
      <c r="G88" s="39"/>
      <c r="H88" s="39" t="s">
        <v>2</v>
      </c>
      <c r="I88" s="39" t="s">
        <v>2</v>
      </c>
      <c r="J88" s="19"/>
      <c r="K88" s="39"/>
      <c r="L88" s="19"/>
      <c r="M88" s="39"/>
      <c r="N88" s="19"/>
      <c r="O88" s="39"/>
      <c r="P88" s="39" t="s">
        <v>2</v>
      </c>
      <c r="Q88" s="39" t="s">
        <v>2</v>
      </c>
      <c r="R88" s="19"/>
      <c r="S88" s="39"/>
      <c r="T88" s="19"/>
      <c r="U88" s="39"/>
      <c r="V88" s="19"/>
      <c r="W88" s="39"/>
      <c r="X88" s="39" t="s">
        <v>2</v>
      </c>
      <c r="Y88" s="39" t="s">
        <v>2</v>
      </c>
      <c r="Z88" s="19"/>
      <c r="AA88" s="39"/>
      <c r="AB88" s="19"/>
      <c r="AC88" s="39"/>
      <c r="AD88" s="19"/>
      <c r="AE88" s="39"/>
      <c r="AF88" s="6"/>
      <c r="AH88" s="20">
        <f t="shared" si="9"/>
        <v>0</v>
      </c>
      <c r="AI88" s="20">
        <f t="shared" si="10"/>
        <v>0</v>
      </c>
    </row>
    <row r="89" spans="1:35" ht="20.100000000000001" hidden="1" customHeight="1">
      <c r="A89" s="24" t="str">
        <f>ÖSSZES!$A$62</f>
        <v>Név14</v>
      </c>
      <c r="B89" s="19"/>
      <c r="C89" s="39"/>
      <c r="D89" s="19"/>
      <c r="E89" s="39"/>
      <c r="F89" s="19"/>
      <c r="G89" s="39"/>
      <c r="H89" s="39" t="s">
        <v>2</v>
      </c>
      <c r="I89" s="39" t="s">
        <v>2</v>
      </c>
      <c r="J89" s="19"/>
      <c r="K89" s="39"/>
      <c r="L89" s="19"/>
      <c r="M89" s="39"/>
      <c r="N89" s="19"/>
      <c r="O89" s="39"/>
      <c r="P89" s="39" t="s">
        <v>2</v>
      </c>
      <c r="Q89" s="39" t="s">
        <v>2</v>
      </c>
      <c r="R89" s="19"/>
      <c r="S89" s="39"/>
      <c r="T89" s="19"/>
      <c r="U89" s="39"/>
      <c r="V89" s="19"/>
      <c r="W89" s="39"/>
      <c r="X89" s="39" t="s">
        <v>2</v>
      </c>
      <c r="Y89" s="39" t="s">
        <v>2</v>
      </c>
      <c r="Z89" s="19"/>
      <c r="AA89" s="39"/>
      <c r="AB89" s="19"/>
      <c r="AC89" s="39"/>
      <c r="AD89" s="19"/>
      <c r="AE89" s="39"/>
      <c r="AF89" s="6"/>
      <c r="AH89" s="20">
        <f t="shared" si="9"/>
        <v>0</v>
      </c>
      <c r="AI89" s="20">
        <f t="shared" si="10"/>
        <v>0</v>
      </c>
    </row>
    <row r="90" spans="1:35" ht="20.100000000000001" hidden="1" customHeight="1">
      <c r="A90" s="24" t="str">
        <f>ÖSSZES!$A$63</f>
        <v>Név15</v>
      </c>
      <c r="B90" s="19"/>
      <c r="C90" s="39"/>
      <c r="D90" s="19"/>
      <c r="E90" s="39"/>
      <c r="F90" s="19"/>
      <c r="G90" s="39"/>
      <c r="H90" s="39" t="s">
        <v>2</v>
      </c>
      <c r="I90" s="39" t="s">
        <v>2</v>
      </c>
      <c r="J90" s="19"/>
      <c r="K90" s="39"/>
      <c r="L90" s="19"/>
      <c r="M90" s="39"/>
      <c r="N90" s="19"/>
      <c r="O90" s="39"/>
      <c r="P90" s="39" t="s">
        <v>2</v>
      </c>
      <c r="Q90" s="39" t="s">
        <v>2</v>
      </c>
      <c r="R90" s="19"/>
      <c r="S90" s="39"/>
      <c r="T90" s="19"/>
      <c r="U90" s="39"/>
      <c r="V90" s="19"/>
      <c r="W90" s="39"/>
      <c r="X90" s="39" t="s">
        <v>2</v>
      </c>
      <c r="Y90" s="39" t="s">
        <v>2</v>
      </c>
      <c r="Z90" s="19"/>
      <c r="AA90" s="39"/>
      <c r="AB90" s="19"/>
      <c r="AC90" s="39"/>
      <c r="AD90" s="19"/>
      <c r="AE90" s="39"/>
      <c r="AF90" s="6"/>
      <c r="AH90" s="20">
        <f t="shared" si="9"/>
        <v>0</v>
      </c>
      <c r="AI90" s="20">
        <f t="shared" si="10"/>
        <v>0</v>
      </c>
    </row>
    <row r="91" spans="1:35" ht="20.100000000000001" hidden="1" customHeight="1">
      <c r="A91" s="24" t="str">
        <f>ÖSSZES!$A$64</f>
        <v>Név16</v>
      </c>
      <c r="B91" s="19"/>
      <c r="C91" s="39"/>
      <c r="D91" s="19"/>
      <c r="E91" s="39"/>
      <c r="F91" s="19"/>
      <c r="G91" s="39"/>
      <c r="H91" s="39" t="s">
        <v>2</v>
      </c>
      <c r="I91" s="39" t="s">
        <v>2</v>
      </c>
      <c r="J91" s="19"/>
      <c r="K91" s="39"/>
      <c r="L91" s="19"/>
      <c r="M91" s="39"/>
      <c r="N91" s="19"/>
      <c r="O91" s="39"/>
      <c r="P91" s="39" t="s">
        <v>2</v>
      </c>
      <c r="Q91" s="39" t="s">
        <v>2</v>
      </c>
      <c r="R91" s="19"/>
      <c r="S91" s="39"/>
      <c r="T91" s="19"/>
      <c r="U91" s="39"/>
      <c r="V91" s="19"/>
      <c r="W91" s="39"/>
      <c r="X91" s="39" t="s">
        <v>2</v>
      </c>
      <c r="Y91" s="39" t="s">
        <v>2</v>
      </c>
      <c r="Z91" s="19"/>
      <c r="AA91" s="39"/>
      <c r="AB91" s="19"/>
      <c r="AC91" s="39"/>
      <c r="AD91" s="19"/>
      <c r="AE91" s="39"/>
      <c r="AF91" s="6"/>
      <c r="AH91" s="20">
        <f t="shared" si="9"/>
        <v>0</v>
      </c>
      <c r="AI91" s="20">
        <f t="shared" si="10"/>
        <v>0</v>
      </c>
    </row>
    <row r="92" spans="1:35" ht="20.100000000000001" hidden="1" customHeight="1">
      <c r="A92" s="24" t="str">
        <f>ÖSSZES!$A$65</f>
        <v>Név17</v>
      </c>
      <c r="B92" s="19"/>
      <c r="C92" s="39"/>
      <c r="D92" s="19"/>
      <c r="E92" s="39"/>
      <c r="F92" s="19"/>
      <c r="G92" s="39"/>
      <c r="H92" s="39" t="s">
        <v>2</v>
      </c>
      <c r="I92" s="39" t="s">
        <v>2</v>
      </c>
      <c r="J92" s="19"/>
      <c r="K92" s="39"/>
      <c r="L92" s="19"/>
      <c r="M92" s="39"/>
      <c r="N92" s="19"/>
      <c r="O92" s="39"/>
      <c r="P92" s="39" t="s">
        <v>2</v>
      </c>
      <c r="Q92" s="39" t="s">
        <v>2</v>
      </c>
      <c r="R92" s="19"/>
      <c r="S92" s="39"/>
      <c r="T92" s="19"/>
      <c r="U92" s="39"/>
      <c r="V92" s="19"/>
      <c r="W92" s="39"/>
      <c r="X92" s="39" t="s">
        <v>2</v>
      </c>
      <c r="Y92" s="39" t="s">
        <v>2</v>
      </c>
      <c r="Z92" s="19"/>
      <c r="AA92" s="39"/>
      <c r="AB92" s="19"/>
      <c r="AC92" s="39"/>
      <c r="AD92" s="19"/>
      <c r="AE92" s="39"/>
      <c r="AF92" s="6"/>
      <c r="AH92" s="20">
        <f t="shared" si="9"/>
        <v>0</v>
      </c>
      <c r="AI92" s="20">
        <f t="shared" si="10"/>
        <v>0</v>
      </c>
    </row>
    <row r="93" spans="1:35" ht="20.100000000000001" hidden="1" customHeight="1">
      <c r="A93" s="24" t="str">
        <f>ÖSSZES!$A$66</f>
        <v>Név18</v>
      </c>
      <c r="B93" s="19"/>
      <c r="C93" s="39"/>
      <c r="D93" s="19"/>
      <c r="E93" s="39"/>
      <c r="F93" s="19"/>
      <c r="G93" s="39"/>
      <c r="H93" s="39" t="s">
        <v>2</v>
      </c>
      <c r="I93" s="39" t="s">
        <v>2</v>
      </c>
      <c r="J93" s="19"/>
      <c r="K93" s="39"/>
      <c r="L93" s="19"/>
      <c r="M93" s="39"/>
      <c r="N93" s="19"/>
      <c r="O93" s="39"/>
      <c r="P93" s="39" t="s">
        <v>2</v>
      </c>
      <c r="Q93" s="39" t="s">
        <v>2</v>
      </c>
      <c r="R93" s="19"/>
      <c r="S93" s="39"/>
      <c r="T93" s="19"/>
      <c r="U93" s="39"/>
      <c r="V93" s="19"/>
      <c r="W93" s="39"/>
      <c r="X93" s="39" t="s">
        <v>2</v>
      </c>
      <c r="Y93" s="39" t="s">
        <v>2</v>
      </c>
      <c r="Z93" s="19"/>
      <c r="AA93" s="39"/>
      <c r="AB93" s="19"/>
      <c r="AC93" s="39"/>
      <c r="AD93" s="19"/>
      <c r="AE93" s="39"/>
      <c r="AF93" s="6"/>
      <c r="AH93" s="20">
        <f t="shared" si="9"/>
        <v>0</v>
      </c>
      <c r="AI93" s="20">
        <f t="shared" si="10"/>
        <v>0</v>
      </c>
    </row>
    <row r="94" spans="1:35" ht="20.100000000000001" hidden="1" customHeight="1">
      <c r="A94" s="24" t="str">
        <f>ÖSSZES!$A$67</f>
        <v>Név19</v>
      </c>
      <c r="B94" s="19"/>
      <c r="C94" s="39"/>
      <c r="D94" s="19"/>
      <c r="E94" s="39"/>
      <c r="F94" s="19"/>
      <c r="G94" s="39"/>
      <c r="H94" s="39" t="s">
        <v>2</v>
      </c>
      <c r="I94" s="39" t="s">
        <v>2</v>
      </c>
      <c r="J94" s="19"/>
      <c r="K94" s="39"/>
      <c r="L94" s="19"/>
      <c r="M94" s="39"/>
      <c r="N94" s="19"/>
      <c r="O94" s="39"/>
      <c r="P94" s="39" t="s">
        <v>2</v>
      </c>
      <c r="Q94" s="39" t="s">
        <v>2</v>
      </c>
      <c r="R94" s="19"/>
      <c r="S94" s="39"/>
      <c r="T94" s="19"/>
      <c r="U94" s="39"/>
      <c r="V94" s="19"/>
      <c r="W94" s="39"/>
      <c r="X94" s="39" t="s">
        <v>2</v>
      </c>
      <c r="Y94" s="39" t="s">
        <v>2</v>
      </c>
      <c r="Z94" s="19"/>
      <c r="AA94" s="39"/>
      <c r="AB94" s="19"/>
      <c r="AC94" s="39"/>
      <c r="AD94" s="19"/>
      <c r="AE94" s="39"/>
      <c r="AF94" s="6"/>
      <c r="AH94" s="20">
        <f t="shared" si="9"/>
        <v>0</v>
      </c>
      <c r="AI94" s="20">
        <f t="shared" si="10"/>
        <v>0</v>
      </c>
    </row>
    <row r="95" spans="1:35" ht="20.100000000000001" hidden="1" customHeight="1">
      <c r="A95" s="24" t="str">
        <f>ÖSSZES!$A$68</f>
        <v>Név20</v>
      </c>
      <c r="B95" s="19"/>
      <c r="C95" s="39"/>
      <c r="D95" s="19"/>
      <c r="E95" s="39"/>
      <c r="F95" s="19"/>
      <c r="G95" s="39"/>
      <c r="H95" s="39" t="s">
        <v>2</v>
      </c>
      <c r="I95" s="39" t="s">
        <v>2</v>
      </c>
      <c r="J95" s="19"/>
      <c r="K95" s="39"/>
      <c r="L95" s="19"/>
      <c r="M95" s="39"/>
      <c r="N95" s="19"/>
      <c r="O95" s="39"/>
      <c r="P95" s="39" t="s">
        <v>2</v>
      </c>
      <c r="Q95" s="39" t="s">
        <v>2</v>
      </c>
      <c r="R95" s="19"/>
      <c r="S95" s="39"/>
      <c r="T95" s="19"/>
      <c r="U95" s="39"/>
      <c r="V95" s="19"/>
      <c r="W95" s="39"/>
      <c r="X95" s="39" t="s">
        <v>2</v>
      </c>
      <c r="Y95" s="39" t="s">
        <v>2</v>
      </c>
      <c r="Z95" s="19"/>
      <c r="AA95" s="39"/>
      <c r="AB95" s="19"/>
      <c r="AC95" s="39"/>
      <c r="AD95" s="19"/>
      <c r="AE95" s="39"/>
      <c r="AF95" s="6"/>
      <c r="AH95" s="20">
        <f t="shared" si="9"/>
        <v>0</v>
      </c>
      <c r="AI95" s="20">
        <f t="shared" si="10"/>
        <v>0</v>
      </c>
    </row>
    <row r="96" spans="1:35" ht="20.100000000000001" customHeight="1"/>
    <row r="97" spans="1:35" s="11" customFormat="1" ht="20.100000000000001" customHeight="1">
      <c r="A97" s="57" t="s">
        <v>9</v>
      </c>
      <c r="B97" s="25">
        <v>1</v>
      </c>
      <c r="C97" s="23">
        <v>2</v>
      </c>
      <c r="D97" s="23">
        <v>3</v>
      </c>
      <c r="E97" s="23">
        <v>4</v>
      </c>
      <c r="F97" s="23">
        <v>5</v>
      </c>
      <c r="G97" s="23">
        <v>6</v>
      </c>
      <c r="H97" s="23">
        <v>7</v>
      </c>
      <c r="I97" s="23">
        <v>8</v>
      </c>
      <c r="J97" s="23">
        <v>9</v>
      </c>
      <c r="K97" s="23">
        <v>10</v>
      </c>
      <c r="L97" s="23">
        <v>11</v>
      </c>
      <c r="M97" s="23">
        <v>12</v>
      </c>
      <c r="N97" s="23">
        <v>13</v>
      </c>
      <c r="O97" s="23">
        <v>14</v>
      </c>
      <c r="P97" s="23">
        <v>15</v>
      </c>
      <c r="Q97" s="23">
        <v>16</v>
      </c>
      <c r="R97" s="23">
        <v>17</v>
      </c>
      <c r="S97" s="23">
        <v>18</v>
      </c>
      <c r="T97" s="23">
        <v>19</v>
      </c>
      <c r="U97" s="23">
        <v>20</v>
      </c>
      <c r="V97" s="23">
        <v>21</v>
      </c>
      <c r="W97" s="23">
        <v>22</v>
      </c>
      <c r="X97" s="23">
        <v>23</v>
      </c>
      <c r="Y97" s="23">
        <v>24</v>
      </c>
      <c r="Z97" s="23">
        <v>25</v>
      </c>
      <c r="AA97" s="23">
        <v>26</v>
      </c>
      <c r="AB97" s="23">
        <v>27</v>
      </c>
      <c r="AC97" s="23">
        <v>28</v>
      </c>
      <c r="AD97" s="23">
        <v>29</v>
      </c>
      <c r="AE97" s="23">
        <v>30</v>
      </c>
      <c r="AF97" s="23">
        <v>31</v>
      </c>
      <c r="AH97" s="59" t="s">
        <v>18</v>
      </c>
      <c r="AI97" s="59" t="s">
        <v>19</v>
      </c>
    </row>
    <row r="98" spans="1:35" ht="20.100000000000001" customHeight="1">
      <c r="A98" s="61"/>
      <c r="B98" s="16" t="str">
        <f>'2021'!B36</f>
        <v>Szo</v>
      </c>
      <c r="C98" s="16" t="str">
        <f>'2021'!C36</f>
        <v>V</v>
      </c>
      <c r="D98" s="16" t="str">
        <f>'2021'!D36</f>
        <v>H</v>
      </c>
      <c r="E98" s="16" t="str">
        <f>'2021'!E36</f>
        <v>K</v>
      </c>
      <c r="F98" s="16" t="str">
        <f>'2021'!F36</f>
        <v>Sze</v>
      </c>
      <c r="G98" s="16" t="str">
        <f>'2021'!G36</f>
        <v>Cs</v>
      </c>
      <c r="H98" s="16" t="str">
        <f>'2021'!H36</f>
        <v>P</v>
      </c>
      <c r="I98" s="16" t="str">
        <f>'2021'!I36</f>
        <v>Szo</v>
      </c>
      <c r="J98" s="16" t="str">
        <f>'2021'!J36</f>
        <v>V</v>
      </c>
      <c r="K98" s="16" t="str">
        <f>'2021'!K36</f>
        <v>H</v>
      </c>
      <c r="L98" s="16" t="str">
        <f>'2021'!L36</f>
        <v>K</v>
      </c>
      <c r="M98" s="16" t="str">
        <f>'2021'!M36</f>
        <v>Sze</v>
      </c>
      <c r="N98" s="16" t="str">
        <f>'2021'!N36</f>
        <v>Cs</v>
      </c>
      <c r="O98" s="16" t="str">
        <f>'2021'!O36</f>
        <v>P</v>
      </c>
      <c r="P98" s="16" t="str">
        <f>'2021'!P36</f>
        <v>Szo</v>
      </c>
      <c r="Q98" s="16" t="str">
        <f>'2021'!Q36</f>
        <v>V</v>
      </c>
      <c r="R98" s="16" t="str">
        <f>'2021'!R36</f>
        <v>H</v>
      </c>
      <c r="S98" s="16" t="str">
        <f>'2021'!S36</f>
        <v>K</v>
      </c>
      <c r="T98" s="16" t="str">
        <f>'2021'!T36</f>
        <v>Sze</v>
      </c>
      <c r="U98" s="16" t="str">
        <f>'2021'!U36</f>
        <v>Cs</v>
      </c>
      <c r="V98" s="16" t="str">
        <f>'2021'!V36</f>
        <v>P</v>
      </c>
      <c r="W98" s="16" t="str">
        <f>'2021'!W36</f>
        <v>Szo</v>
      </c>
      <c r="X98" s="16" t="str">
        <f>'2021'!X36</f>
        <v>V</v>
      </c>
      <c r="Y98" s="16" t="str">
        <f>'2021'!Y36</f>
        <v>H</v>
      </c>
      <c r="Z98" s="16" t="str">
        <f>'2021'!Z36</f>
        <v>K</v>
      </c>
      <c r="AA98" s="16" t="str">
        <f>'2021'!AA36</f>
        <v>Sze</v>
      </c>
      <c r="AB98" s="16" t="str">
        <f>'2021'!AB36</f>
        <v>Cs</v>
      </c>
      <c r="AC98" s="16" t="str">
        <f>'2021'!AC36</f>
        <v>P</v>
      </c>
      <c r="AD98" s="16" t="str">
        <f>'2021'!AD36</f>
        <v>Szo</v>
      </c>
      <c r="AE98" s="16" t="str">
        <f>'2021'!AE36</f>
        <v>V</v>
      </c>
      <c r="AF98" s="16" t="str">
        <f>'2021'!AF36</f>
        <v>H</v>
      </c>
      <c r="AH98" s="60"/>
      <c r="AI98" s="60"/>
    </row>
    <row r="99" spans="1:35" ht="20.100000000000001" customHeight="1">
      <c r="A99" s="61"/>
      <c r="B99" s="15" t="str">
        <f>'2021'!B39</f>
        <v>X</v>
      </c>
      <c r="C99" s="15" t="str">
        <f>'2021'!C39</f>
        <v>X</v>
      </c>
      <c r="D99" s="15">
        <f>'2021'!D39</f>
        <v>3</v>
      </c>
      <c r="E99" s="15">
        <f>'2021'!E39</f>
        <v>3</v>
      </c>
      <c r="F99" s="15">
        <f>'2021'!F39</f>
        <v>3</v>
      </c>
      <c r="G99" s="15">
        <f>'2021'!G39</f>
        <v>3</v>
      </c>
      <c r="H99" s="15">
        <f>'2021'!H39</f>
        <v>3</v>
      </c>
      <c r="I99" s="15">
        <f>'2021'!I39</f>
        <v>3</v>
      </c>
      <c r="J99" s="15" t="str">
        <f>'2021'!J39</f>
        <v>X</v>
      </c>
      <c r="K99" s="15" t="str">
        <f>'2021'!K39</f>
        <v>X</v>
      </c>
      <c r="L99" s="15">
        <f>'2021'!L39</f>
        <v>2</v>
      </c>
      <c r="M99" s="15">
        <f>'2021'!M39</f>
        <v>2</v>
      </c>
      <c r="N99" s="15">
        <f>'2021'!N39</f>
        <v>2</v>
      </c>
      <c r="O99" s="15">
        <f>'2021'!O39</f>
        <v>2</v>
      </c>
      <c r="P99" s="15">
        <f>'2021'!P39</f>
        <v>2</v>
      </c>
      <c r="Q99" s="15">
        <f>'2021'!Q39</f>
        <v>2</v>
      </c>
      <c r="R99" s="15" t="str">
        <f>'2021'!R39</f>
        <v>X</v>
      </c>
      <c r="S99" s="15" t="str">
        <f>'2021'!S39</f>
        <v>X</v>
      </c>
      <c r="T99" s="15">
        <f>'2021'!T39</f>
        <v>1</v>
      </c>
      <c r="U99" s="15">
        <f>'2021'!U39</f>
        <v>1</v>
      </c>
      <c r="V99" s="15">
        <f>'2021'!V39</f>
        <v>1</v>
      </c>
      <c r="W99" s="15">
        <f>'2021'!W39</f>
        <v>1</v>
      </c>
      <c r="X99" s="15">
        <f>'2021'!X39</f>
        <v>1</v>
      </c>
      <c r="Y99" s="15">
        <f>'2021'!Y39</f>
        <v>1</v>
      </c>
      <c r="Z99" s="15" t="str">
        <f>'2021'!Z39</f>
        <v>X</v>
      </c>
      <c r="AA99" s="15" t="str">
        <f>'2021'!AA39</f>
        <v>X</v>
      </c>
      <c r="AB99" s="15">
        <f>'2021'!AB39</f>
        <v>3</v>
      </c>
      <c r="AC99" s="15">
        <f>'2021'!AC39</f>
        <v>3</v>
      </c>
      <c r="AD99" s="15">
        <f>'2021'!AD39</f>
        <v>3</v>
      </c>
      <c r="AE99" s="15">
        <f>'2021'!AE39</f>
        <v>3</v>
      </c>
      <c r="AF99" s="15">
        <f>'2021'!AF39</f>
        <v>3</v>
      </c>
      <c r="AH99" s="60"/>
      <c r="AI99" s="60"/>
    </row>
    <row r="100" spans="1:35" ht="20.100000000000001" customHeight="1">
      <c r="A100" s="24" t="str">
        <f>ÖSSZES!$A$49</f>
        <v>Kuik-Filep András</v>
      </c>
      <c r="B100" s="39" t="s">
        <v>2</v>
      </c>
      <c r="C100" s="39" t="s">
        <v>2</v>
      </c>
      <c r="D100" s="39"/>
      <c r="E100" s="39"/>
      <c r="F100" s="39"/>
      <c r="G100" s="39"/>
      <c r="H100" s="39"/>
      <c r="I100" s="39"/>
      <c r="J100" s="39" t="s">
        <v>2</v>
      </c>
      <c r="K100" s="39" t="s">
        <v>2</v>
      </c>
      <c r="L100" s="39"/>
      <c r="M100" s="39"/>
      <c r="N100" s="39"/>
      <c r="O100" s="39"/>
      <c r="P100" s="39"/>
      <c r="Q100" s="39"/>
      <c r="R100" s="39" t="s">
        <v>2</v>
      </c>
      <c r="S100" s="39" t="s">
        <v>2</v>
      </c>
      <c r="T100" s="39"/>
      <c r="U100" s="39"/>
      <c r="V100" s="39"/>
      <c r="W100" s="39"/>
      <c r="X100" s="39"/>
      <c r="Y100" s="39"/>
      <c r="Z100" s="39" t="s">
        <v>2</v>
      </c>
      <c r="AA100" s="39" t="s">
        <v>2</v>
      </c>
      <c r="AB100" s="39"/>
      <c r="AC100" s="39"/>
      <c r="AD100" s="39"/>
      <c r="AE100" s="39"/>
      <c r="AF100" s="39"/>
      <c r="AH100" s="20">
        <f>1*COUNTIF(A100:AF100,"+")</f>
        <v>0</v>
      </c>
      <c r="AI100" s="20">
        <f t="shared" ref="AI100" si="11">1*COUNTIF(B100:AF100,"szf")</f>
        <v>0</v>
      </c>
    </row>
    <row r="101" spans="1:35" ht="20.100000000000001" customHeight="1">
      <c r="A101" s="24" t="str">
        <f>ÖSSZES!$A$50</f>
        <v>Balogh Zsolt</v>
      </c>
      <c r="B101" s="39" t="s">
        <v>2</v>
      </c>
      <c r="C101" s="39" t="s">
        <v>2</v>
      </c>
      <c r="D101" s="39"/>
      <c r="E101" s="39"/>
      <c r="F101" s="39"/>
      <c r="G101" s="39"/>
      <c r="H101" s="39"/>
      <c r="I101" s="39"/>
      <c r="J101" s="39" t="s">
        <v>2</v>
      </c>
      <c r="K101" s="39" t="s">
        <v>2</v>
      </c>
      <c r="L101" s="39"/>
      <c r="M101" s="39"/>
      <c r="N101" s="39"/>
      <c r="O101" s="39"/>
      <c r="P101" s="39"/>
      <c r="Q101" s="39"/>
      <c r="R101" s="39" t="s">
        <v>2</v>
      </c>
      <c r="S101" s="39" t="s">
        <v>2</v>
      </c>
      <c r="T101" s="39"/>
      <c r="U101" s="39"/>
      <c r="V101" s="39"/>
      <c r="W101" s="39"/>
      <c r="X101" s="39"/>
      <c r="Y101" s="39"/>
      <c r="Z101" s="39" t="s">
        <v>2</v>
      </c>
      <c r="AA101" s="39" t="s">
        <v>2</v>
      </c>
      <c r="AB101" s="39"/>
      <c r="AC101" s="39"/>
      <c r="AD101" s="39"/>
      <c r="AE101" s="39"/>
      <c r="AF101" s="39"/>
      <c r="AH101" s="20">
        <f t="shared" ref="AH101:AH119" si="12">1*COUNTIF(A101:AF101,"+")</f>
        <v>0</v>
      </c>
      <c r="AI101" s="20">
        <f t="shared" ref="AI101:AI119" si="13">1*COUNTIF(B101:AF101,"szf")</f>
        <v>0</v>
      </c>
    </row>
    <row r="102" spans="1:35" ht="20.100000000000001" customHeight="1">
      <c r="A102" s="24" t="str">
        <f>ÖSSZES!$A$51</f>
        <v>Éliás Viktor</v>
      </c>
      <c r="B102" s="39" t="s">
        <v>2</v>
      </c>
      <c r="C102" s="39" t="s">
        <v>2</v>
      </c>
      <c r="D102" s="39"/>
      <c r="E102" s="39"/>
      <c r="F102" s="39"/>
      <c r="G102" s="39"/>
      <c r="H102" s="39"/>
      <c r="I102" s="39"/>
      <c r="J102" s="39" t="s">
        <v>2</v>
      </c>
      <c r="K102" s="39" t="s">
        <v>2</v>
      </c>
      <c r="L102" s="39"/>
      <c r="M102" s="39"/>
      <c r="N102" s="39"/>
      <c r="O102" s="39"/>
      <c r="P102" s="39"/>
      <c r="Q102" s="39"/>
      <c r="R102" s="39" t="s">
        <v>2</v>
      </c>
      <c r="S102" s="39" t="s">
        <v>2</v>
      </c>
      <c r="T102" s="39"/>
      <c r="U102" s="39"/>
      <c r="V102" s="39"/>
      <c r="W102" s="39"/>
      <c r="X102" s="39"/>
      <c r="Y102" s="39"/>
      <c r="Z102" s="39" t="s">
        <v>2</v>
      </c>
      <c r="AA102" s="39" t="s">
        <v>2</v>
      </c>
      <c r="AB102" s="39"/>
      <c r="AC102" s="39"/>
      <c r="AD102" s="39"/>
      <c r="AE102" s="39"/>
      <c r="AF102" s="39"/>
      <c r="AH102" s="20">
        <f t="shared" si="12"/>
        <v>0</v>
      </c>
      <c r="AI102" s="20">
        <f t="shared" si="13"/>
        <v>0</v>
      </c>
    </row>
    <row r="103" spans="1:35" ht="20.100000000000001" customHeight="1">
      <c r="A103" s="24" t="str">
        <f>ÖSSZES!$A$52</f>
        <v>Hadházi Kálmán</v>
      </c>
      <c r="B103" s="39" t="s">
        <v>2</v>
      </c>
      <c r="C103" s="39" t="s">
        <v>2</v>
      </c>
      <c r="D103" s="39"/>
      <c r="E103" s="39"/>
      <c r="F103" s="39"/>
      <c r="G103" s="39"/>
      <c r="H103" s="39"/>
      <c r="I103" s="39"/>
      <c r="J103" s="39" t="s">
        <v>2</v>
      </c>
      <c r="K103" s="39" t="s">
        <v>2</v>
      </c>
      <c r="L103" s="39"/>
      <c r="M103" s="39"/>
      <c r="N103" s="39"/>
      <c r="O103" s="39"/>
      <c r="P103" s="39"/>
      <c r="Q103" s="39"/>
      <c r="R103" s="39" t="s">
        <v>2</v>
      </c>
      <c r="S103" s="39" t="s">
        <v>2</v>
      </c>
      <c r="T103" s="39"/>
      <c r="U103" s="39"/>
      <c r="V103" s="39"/>
      <c r="W103" s="39"/>
      <c r="X103" s="39"/>
      <c r="Y103" s="39"/>
      <c r="Z103" s="39" t="s">
        <v>2</v>
      </c>
      <c r="AA103" s="39" t="s">
        <v>2</v>
      </c>
      <c r="AB103" s="39"/>
      <c r="AC103" s="39"/>
      <c r="AD103" s="39"/>
      <c r="AE103" s="39"/>
      <c r="AF103" s="39"/>
      <c r="AH103" s="20">
        <f t="shared" si="12"/>
        <v>0</v>
      </c>
      <c r="AI103" s="20">
        <f t="shared" si="13"/>
        <v>0</v>
      </c>
    </row>
    <row r="104" spans="1:35" ht="20.100000000000001" customHeight="1">
      <c r="A104" s="24" t="str">
        <f>ÖSSZES!$A$53</f>
        <v>Kiss Attila</v>
      </c>
      <c r="B104" s="39" t="s">
        <v>2</v>
      </c>
      <c r="C104" s="39" t="s">
        <v>2</v>
      </c>
      <c r="D104" s="39"/>
      <c r="E104" s="39"/>
      <c r="F104" s="39"/>
      <c r="G104" s="39"/>
      <c r="H104" s="39"/>
      <c r="I104" s="39"/>
      <c r="J104" s="39" t="s">
        <v>2</v>
      </c>
      <c r="K104" s="39" t="s">
        <v>2</v>
      </c>
      <c r="L104" s="39"/>
      <c r="M104" s="39"/>
      <c r="N104" s="39"/>
      <c r="O104" s="39"/>
      <c r="P104" s="39"/>
      <c r="Q104" s="39"/>
      <c r="R104" s="39" t="s">
        <v>2</v>
      </c>
      <c r="S104" s="39" t="s">
        <v>2</v>
      </c>
      <c r="T104" s="39"/>
      <c r="U104" s="39"/>
      <c r="V104" s="39"/>
      <c r="W104" s="39"/>
      <c r="X104" s="39"/>
      <c r="Y104" s="39"/>
      <c r="Z104" s="39" t="s">
        <v>2</v>
      </c>
      <c r="AA104" s="39" t="s">
        <v>2</v>
      </c>
      <c r="AB104" s="39"/>
      <c r="AC104" s="39"/>
      <c r="AD104" s="39"/>
      <c r="AE104" s="39"/>
      <c r="AF104" s="39"/>
      <c r="AH104" s="20">
        <f t="shared" si="12"/>
        <v>0</v>
      </c>
      <c r="AI104" s="20">
        <f t="shared" si="13"/>
        <v>0</v>
      </c>
    </row>
    <row r="105" spans="1:35" ht="20.100000000000001" customHeight="1">
      <c r="A105" s="24" t="str">
        <f>ÖSSZES!$A$54</f>
        <v>Serestyén Dániel</v>
      </c>
      <c r="B105" s="39" t="s">
        <v>2</v>
      </c>
      <c r="C105" s="39" t="s">
        <v>2</v>
      </c>
      <c r="D105" s="39"/>
      <c r="E105" s="39"/>
      <c r="F105" s="39"/>
      <c r="G105" s="39"/>
      <c r="H105" s="39"/>
      <c r="I105" s="39"/>
      <c r="J105" s="39" t="s">
        <v>2</v>
      </c>
      <c r="K105" s="39" t="s">
        <v>2</v>
      </c>
      <c r="L105" s="39"/>
      <c r="M105" s="39"/>
      <c r="N105" s="39"/>
      <c r="O105" s="39"/>
      <c r="P105" s="39"/>
      <c r="Q105" s="39"/>
      <c r="R105" s="39" t="s">
        <v>2</v>
      </c>
      <c r="S105" s="39" t="s">
        <v>2</v>
      </c>
      <c r="T105" s="39"/>
      <c r="U105" s="39"/>
      <c r="V105" s="39"/>
      <c r="W105" s="39"/>
      <c r="X105" s="39"/>
      <c r="Y105" s="39"/>
      <c r="Z105" s="39" t="s">
        <v>2</v>
      </c>
      <c r="AA105" s="39" t="s">
        <v>2</v>
      </c>
      <c r="AB105" s="39"/>
      <c r="AC105" s="39"/>
      <c r="AD105" s="39"/>
      <c r="AE105" s="39"/>
      <c r="AF105" s="39"/>
      <c r="AH105" s="20">
        <f t="shared" si="12"/>
        <v>0</v>
      </c>
      <c r="AI105" s="20">
        <f t="shared" si="13"/>
        <v>0</v>
      </c>
    </row>
    <row r="106" spans="1:35" ht="20.100000000000001" customHeight="1">
      <c r="A106" s="24" t="str">
        <f>ÖSSZES!$A$55</f>
        <v>Varga Imre</v>
      </c>
      <c r="B106" s="39" t="s">
        <v>2</v>
      </c>
      <c r="C106" s="39" t="s">
        <v>2</v>
      </c>
      <c r="D106" s="39"/>
      <c r="E106" s="39"/>
      <c r="F106" s="39"/>
      <c r="G106" s="39"/>
      <c r="H106" s="39"/>
      <c r="I106" s="39"/>
      <c r="J106" s="39" t="s">
        <v>2</v>
      </c>
      <c r="K106" s="39" t="s">
        <v>2</v>
      </c>
      <c r="L106" s="39"/>
      <c r="M106" s="39"/>
      <c r="N106" s="39"/>
      <c r="O106" s="39"/>
      <c r="P106" s="39"/>
      <c r="Q106" s="39"/>
      <c r="R106" s="39" t="s">
        <v>2</v>
      </c>
      <c r="S106" s="39" t="s">
        <v>2</v>
      </c>
      <c r="T106" s="39"/>
      <c r="U106" s="39"/>
      <c r="V106" s="39"/>
      <c r="W106" s="39"/>
      <c r="X106" s="39"/>
      <c r="Y106" s="39"/>
      <c r="Z106" s="39" t="s">
        <v>2</v>
      </c>
      <c r="AA106" s="39" t="s">
        <v>2</v>
      </c>
      <c r="AB106" s="39"/>
      <c r="AC106" s="39"/>
      <c r="AD106" s="39"/>
      <c r="AE106" s="39"/>
      <c r="AF106" s="39"/>
      <c r="AH106" s="20">
        <f t="shared" si="12"/>
        <v>0</v>
      </c>
      <c r="AI106" s="20">
        <f t="shared" si="13"/>
        <v>0</v>
      </c>
    </row>
    <row r="107" spans="1:35" ht="20.100000000000001" hidden="1" customHeight="1">
      <c r="A107" s="24" t="str">
        <f>ÖSSZES!$A$56</f>
        <v>Név8</v>
      </c>
      <c r="B107" s="39" t="s">
        <v>2</v>
      </c>
      <c r="C107" s="39" t="s">
        <v>2</v>
      </c>
      <c r="D107" s="39"/>
      <c r="E107" s="39"/>
      <c r="F107" s="39"/>
      <c r="G107" s="39"/>
      <c r="H107" s="39"/>
      <c r="I107" s="39"/>
      <c r="J107" s="39" t="s">
        <v>2</v>
      </c>
      <c r="K107" s="39" t="s">
        <v>2</v>
      </c>
      <c r="L107" s="39"/>
      <c r="M107" s="39"/>
      <c r="N107" s="39"/>
      <c r="O107" s="39"/>
      <c r="P107" s="39"/>
      <c r="Q107" s="39"/>
      <c r="R107" s="39" t="s">
        <v>2</v>
      </c>
      <c r="S107" s="39" t="s">
        <v>2</v>
      </c>
      <c r="T107" s="39"/>
      <c r="U107" s="39"/>
      <c r="V107" s="39"/>
      <c r="W107" s="39"/>
      <c r="X107" s="39"/>
      <c r="Y107" s="39"/>
      <c r="Z107" s="39" t="s">
        <v>2</v>
      </c>
      <c r="AA107" s="39" t="s">
        <v>2</v>
      </c>
      <c r="AB107" s="39"/>
      <c r="AC107" s="39"/>
      <c r="AD107" s="39"/>
      <c r="AE107" s="39"/>
      <c r="AF107" s="39"/>
      <c r="AH107" s="20">
        <f t="shared" si="12"/>
        <v>0</v>
      </c>
      <c r="AI107" s="20">
        <f t="shared" si="13"/>
        <v>0</v>
      </c>
    </row>
    <row r="108" spans="1:35" ht="20.100000000000001" hidden="1" customHeight="1">
      <c r="A108" s="24" t="str">
        <f>ÖSSZES!$A$57</f>
        <v>Név9</v>
      </c>
      <c r="B108" s="39" t="s">
        <v>2</v>
      </c>
      <c r="C108" s="39" t="s">
        <v>2</v>
      </c>
      <c r="D108" s="39"/>
      <c r="E108" s="39"/>
      <c r="F108" s="39"/>
      <c r="G108" s="39"/>
      <c r="H108" s="39"/>
      <c r="I108" s="39"/>
      <c r="J108" s="39" t="s">
        <v>2</v>
      </c>
      <c r="K108" s="39" t="s">
        <v>2</v>
      </c>
      <c r="L108" s="39"/>
      <c r="M108" s="39"/>
      <c r="N108" s="39"/>
      <c r="O108" s="39"/>
      <c r="P108" s="39"/>
      <c r="Q108" s="39"/>
      <c r="R108" s="39" t="s">
        <v>2</v>
      </c>
      <c r="S108" s="39" t="s">
        <v>2</v>
      </c>
      <c r="T108" s="39"/>
      <c r="U108" s="39"/>
      <c r="V108" s="39"/>
      <c r="W108" s="39"/>
      <c r="X108" s="39"/>
      <c r="Y108" s="39"/>
      <c r="Z108" s="39" t="s">
        <v>2</v>
      </c>
      <c r="AA108" s="39" t="s">
        <v>2</v>
      </c>
      <c r="AB108" s="39"/>
      <c r="AC108" s="39"/>
      <c r="AD108" s="39"/>
      <c r="AE108" s="39"/>
      <c r="AF108" s="39"/>
      <c r="AH108" s="20">
        <f t="shared" si="12"/>
        <v>0</v>
      </c>
      <c r="AI108" s="20">
        <f t="shared" si="13"/>
        <v>0</v>
      </c>
    </row>
    <row r="109" spans="1:35" ht="20.100000000000001" hidden="1" customHeight="1">
      <c r="A109" s="24" t="str">
        <f>ÖSSZES!$A$58</f>
        <v>Név10</v>
      </c>
      <c r="B109" s="39" t="s">
        <v>2</v>
      </c>
      <c r="C109" s="39" t="s">
        <v>2</v>
      </c>
      <c r="D109" s="39"/>
      <c r="E109" s="39"/>
      <c r="F109" s="39"/>
      <c r="G109" s="39"/>
      <c r="H109" s="39"/>
      <c r="I109" s="39"/>
      <c r="J109" s="39" t="s">
        <v>2</v>
      </c>
      <c r="K109" s="39" t="s">
        <v>2</v>
      </c>
      <c r="L109" s="39"/>
      <c r="M109" s="39"/>
      <c r="N109" s="39"/>
      <c r="O109" s="39"/>
      <c r="P109" s="39"/>
      <c r="Q109" s="39"/>
      <c r="R109" s="39" t="s">
        <v>2</v>
      </c>
      <c r="S109" s="39" t="s">
        <v>2</v>
      </c>
      <c r="T109" s="39"/>
      <c r="U109" s="39"/>
      <c r="V109" s="39"/>
      <c r="W109" s="39"/>
      <c r="X109" s="39"/>
      <c r="Y109" s="39"/>
      <c r="Z109" s="39" t="s">
        <v>2</v>
      </c>
      <c r="AA109" s="39" t="s">
        <v>2</v>
      </c>
      <c r="AB109" s="39"/>
      <c r="AC109" s="39"/>
      <c r="AD109" s="39"/>
      <c r="AE109" s="39"/>
      <c r="AF109" s="39"/>
      <c r="AH109" s="20">
        <f t="shared" si="12"/>
        <v>0</v>
      </c>
      <c r="AI109" s="20">
        <f t="shared" si="13"/>
        <v>0</v>
      </c>
    </row>
    <row r="110" spans="1:35" ht="20.100000000000001" hidden="1" customHeight="1">
      <c r="A110" s="24" t="str">
        <f>ÖSSZES!$A$59</f>
        <v>Név11</v>
      </c>
      <c r="B110" s="39" t="s">
        <v>2</v>
      </c>
      <c r="C110" s="39" t="s">
        <v>2</v>
      </c>
      <c r="D110" s="39"/>
      <c r="E110" s="39"/>
      <c r="F110" s="39"/>
      <c r="G110" s="39"/>
      <c r="H110" s="39"/>
      <c r="I110" s="39"/>
      <c r="J110" s="39" t="s">
        <v>2</v>
      </c>
      <c r="K110" s="39" t="s">
        <v>2</v>
      </c>
      <c r="L110" s="39"/>
      <c r="M110" s="39"/>
      <c r="N110" s="39"/>
      <c r="O110" s="39"/>
      <c r="P110" s="39"/>
      <c r="Q110" s="39"/>
      <c r="R110" s="39" t="s">
        <v>2</v>
      </c>
      <c r="S110" s="39" t="s">
        <v>2</v>
      </c>
      <c r="T110" s="39"/>
      <c r="U110" s="39"/>
      <c r="V110" s="39"/>
      <c r="W110" s="39"/>
      <c r="X110" s="39"/>
      <c r="Y110" s="39"/>
      <c r="Z110" s="39" t="s">
        <v>2</v>
      </c>
      <c r="AA110" s="39" t="s">
        <v>2</v>
      </c>
      <c r="AB110" s="39"/>
      <c r="AC110" s="39"/>
      <c r="AD110" s="39"/>
      <c r="AE110" s="39"/>
      <c r="AF110" s="39"/>
      <c r="AH110" s="20">
        <f t="shared" si="12"/>
        <v>0</v>
      </c>
      <c r="AI110" s="20">
        <f t="shared" si="13"/>
        <v>0</v>
      </c>
    </row>
    <row r="111" spans="1:35" ht="20.100000000000001" hidden="1" customHeight="1">
      <c r="A111" s="24" t="str">
        <f>ÖSSZES!$A$60</f>
        <v>Név12</v>
      </c>
      <c r="B111" s="39" t="s">
        <v>2</v>
      </c>
      <c r="C111" s="39" t="s">
        <v>2</v>
      </c>
      <c r="D111" s="39"/>
      <c r="E111" s="39"/>
      <c r="F111" s="39"/>
      <c r="G111" s="39"/>
      <c r="H111" s="39"/>
      <c r="I111" s="39"/>
      <c r="J111" s="39" t="s">
        <v>2</v>
      </c>
      <c r="K111" s="39" t="s">
        <v>2</v>
      </c>
      <c r="L111" s="39"/>
      <c r="M111" s="39"/>
      <c r="N111" s="39"/>
      <c r="O111" s="39"/>
      <c r="P111" s="39"/>
      <c r="Q111" s="39"/>
      <c r="R111" s="39" t="s">
        <v>2</v>
      </c>
      <c r="S111" s="39" t="s">
        <v>2</v>
      </c>
      <c r="T111" s="39"/>
      <c r="U111" s="39"/>
      <c r="V111" s="39"/>
      <c r="W111" s="39"/>
      <c r="X111" s="39"/>
      <c r="Y111" s="39"/>
      <c r="Z111" s="39" t="s">
        <v>2</v>
      </c>
      <c r="AA111" s="39" t="s">
        <v>2</v>
      </c>
      <c r="AB111" s="39"/>
      <c r="AC111" s="39"/>
      <c r="AD111" s="39"/>
      <c r="AE111" s="39"/>
      <c r="AF111" s="39"/>
      <c r="AH111" s="20">
        <f t="shared" si="12"/>
        <v>0</v>
      </c>
      <c r="AI111" s="20">
        <f t="shared" si="13"/>
        <v>0</v>
      </c>
    </row>
    <row r="112" spans="1:35" ht="20.100000000000001" hidden="1" customHeight="1">
      <c r="A112" s="24" t="str">
        <f>ÖSSZES!$A$61</f>
        <v>Név13</v>
      </c>
      <c r="B112" s="39" t="s">
        <v>2</v>
      </c>
      <c r="C112" s="39" t="s">
        <v>2</v>
      </c>
      <c r="D112" s="39"/>
      <c r="E112" s="39"/>
      <c r="F112" s="39"/>
      <c r="G112" s="39"/>
      <c r="H112" s="39"/>
      <c r="I112" s="39"/>
      <c r="J112" s="39" t="s">
        <v>2</v>
      </c>
      <c r="K112" s="39" t="s">
        <v>2</v>
      </c>
      <c r="L112" s="39"/>
      <c r="M112" s="39"/>
      <c r="N112" s="39"/>
      <c r="O112" s="39"/>
      <c r="P112" s="39"/>
      <c r="Q112" s="39"/>
      <c r="R112" s="39" t="s">
        <v>2</v>
      </c>
      <c r="S112" s="39" t="s">
        <v>2</v>
      </c>
      <c r="T112" s="39"/>
      <c r="U112" s="39"/>
      <c r="V112" s="39"/>
      <c r="W112" s="39"/>
      <c r="X112" s="39"/>
      <c r="Y112" s="39"/>
      <c r="Z112" s="39" t="s">
        <v>2</v>
      </c>
      <c r="AA112" s="39" t="s">
        <v>2</v>
      </c>
      <c r="AB112" s="39"/>
      <c r="AC112" s="39"/>
      <c r="AD112" s="39"/>
      <c r="AE112" s="39"/>
      <c r="AF112" s="39"/>
      <c r="AH112" s="20">
        <f t="shared" si="12"/>
        <v>0</v>
      </c>
      <c r="AI112" s="20">
        <f t="shared" si="13"/>
        <v>0</v>
      </c>
    </row>
    <row r="113" spans="1:35" ht="20.100000000000001" hidden="1" customHeight="1">
      <c r="A113" s="24" t="str">
        <f>ÖSSZES!$A$62</f>
        <v>Név14</v>
      </c>
      <c r="B113" s="39" t="s">
        <v>2</v>
      </c>
      <c r="C113" s="39" t="s">
        <v>2</v>
      </c>
      <c r="D113" s="39"/>
      <c r="E113" s="39"/>
      <c r="F113" s="39"/>
      <c r="G113" s="39"/>
      <c r="H113" s="39"/>
      <c r="I113" s="39"/>
      <c r="J113" s="39" t="s">
        <v>2</v>
      </c>
      <c r="K113" s="39" t="s">
        <v>2</v>
      </c>
      <c r="L113" s="39"/>
      <c r="M113" s="39"/>
      <c r="N113" s="39"/>
      <c r="O113" s="39"/>
      <c r="P113" s="39"/>
      <c r="Q113" s="39"/>
      <c r="R113" s="39" t="s">
        <v>2</v>
      </c>
      <c r="S113" s="39" t="s">
        <v>2</v>
      </c>
      <c r="T113" s="39"/>
      <c r="U113" s="39"/>
      <c r="V113" s="39"/>
      <c r="W113" s="39"/>
      <c r="X113" s="39"/>
      <c r="Y113" s="39"/>
      <c r="Z113" s="39" t="s">
        <v>2</v>
      </c>
      <c r="AA113" s="39" t="s">
        <v>2</v>
      </c>
      <c r="AB113" s="39"/>
      <c r="AC113" s="39"/>
      <c r="AD113" s="39"/>
      <c r="AE113" s="39"/>
      <c r="AF113" s="39"/>
      <c r="AH113" s="20">
        <f t="shared" si="12"/>
        <v>0</v>
      </c>
      <c r="AI113" s="20">
        <f t="shared" si="13"/>
        <v>0</v>
      </c>
    </row>
    <row r="114" spans="1:35" ht="20.100000000000001" hidden="1" customHeight="1">
      <c r="A114" s="24" t="str">
        <f>ÖSSZES!$A$63</f>
        <v>Név15</v>
      </c>
      <c r="B114" s="39" t="s">
        <v>2</v>
      </c>
      <c r="C114" s="39" t="s">
        <v>2</v>
      </c>
      <c r="D114" s="39"/>
      <c r="E114" s="39"/>
      <c r="F114" s="39"/>
      <c r="G114" s="39"/>
      <c r="H114" s="39"/>
      <c r="I114" s="39"/>
      <c r="J114" s="39" t="s">
        <v>2</v>
      </c>
      <c r="K114" s="39" t="s">
        <v>2</v>
      </c>
      <c r="L114" s="39"/>
      <c r="M114" s="39"/>
      <c r="N114" s="39"/>
      <c r="O114" s="39"/>
      <c r="P114" s="39"/>
      <c r="Q114" s="39"/>
      <c r="R114" s="39" t="s">
        <v>2</v>
      </c>
      <c r="S114" s="39" t="s">
        <v>2</v>
      </c>
      <c r="T114" s="39"/>
      <c r="U114" s="39"/>
      <c r="V114" s="39"/>
      <c r="W114" s="39"/>
      <c r="X114" s="39"/>
      <c r="Y114" s="39"/>
      <c r="Z114" s="39" t="s">
        <v>2</v>
      </c>
      <c r="AA114" s="39" t="s">
        <v>2</v>
      </c>
      <c r="AB114" s="39"/>
      <c r="AC114" s="39"/>
      <c r="AD114" s="39"/>
      <c r="AE114" s="39"/>
      <c r="AF114" s="39"/>
      <c r="AH114" s="20">
        <f t="shared" si="12"/>
        <v>0</v>
      </c>
      <c r="AI114" s="20">
        <f t="shared" si="13"/>
        <v>0</v>
      </c>
    </row>
    <row r="115" spans="1:35" ht="20.100000000000001" hidden="1" customHeight="1">
      <c r="A115" s="24" t="str">
        <f>ÖSSZES!$A$64</f>
        <v>Név16</v>
      </c>
      <c r="B115" s="39" t="s">
        <v>2</v>
      </c>
      <c r="C115" s="39" t="s">
        <v>2</v>
      </c>
      <c r="D115" s="39"/>
      <c r="E115" s="39"/>
      <c r="F115" s="39"/>
      <c r="G115" s="39"/>
      <c r="H115" s="39"/>
      <c r="I115" s="39"/>
      <c r="J115" s="39" t="s">
        <v>2</v>
      </c>
      <c r="K115" s="39" t="s">
        <v>2</v>
      </c>
      <c r="L115" s="39"/>
      <c r="M115" s="39"/>
      <c r="N115" s="39"/>
      <c r="O115" s="39"/>
      <c r="P115" s="39"/>
      <c r="Q115" s="39"/>
      <c r="R115" s="39" t="s">
        <v>2</v>
      </c>
      <c r="S115" s="39" t="s">
        <v>2</v>
      </c>
      <c r="T115" s="39"/>
      <c r="U115" s="39"/>
      <c r="V115" s="39"/>
      <c r="W115" s="39"/>
      <c r="X115" s="39"/>
      <c r="Y115" s="39"/>
      <c r="Z115" s="39" t="s">
        <v>2</v>
      </c>
      <c r="AA115" s="39" t="s">
        <v>2</v>
      </c>
      <c r="AB115" s="39"/>
      <c r="AC115" s="39"/>
      <c r="AD115" s="39"/>
      <c r="AE115" s="39"/>
      <c r="AF115" s="39"/>
      <c r="AH115" s="20">
        <f t="shared" si="12"/>
        <v>0</v>
      </c>
      <c r="AI115" s="20">
        <f t="shared" si="13"/>
        <v>0</v>
      </c>
    </row>
    <row r="116" spans="1:35" ht="20.100000000000001" hidden="1" customHeight="1">
      <c r="A116" s="24" t="str">
        <f>ÖSSZES!$A$65</f>
        <v>Név17</v>
      </c>
      <c r="B116" s="39" t="s">
        <v>2</v>
      </c>
      <c r="C116" s="39" t="s">
        <v>2</v>
      </c>
      <c r="D116" s="39"/>
      <c r="E116" s="39"/>
      <c r="F116" s="39"/>
      <c r="G116" s="39"/>
      <c r="H116" s="39"/>
      <c r="I116" s="39"/>
      <c r="J116" s="39" t="s">
        <v>2</v>
      </c>
      <c r="K116" s="39" t="s">
        <v>2</v>
      </c>
      <c r="L116" s="39"/>
      <c r="M116" s="39"/>
      <c r="N116" s="39"/>
      <c r="O116" s="39"/>
      <c r="P116" s="39"/>
      <c r="Q116" s="39"/>
      <c r="R116" s="39" t="s">
        <v>2</v>
      </c>
      <c r="S116" s="39" t="s">
        <v>2</v>
      </c>
      <c r="T116" s="39"/>
      <c r="U116" s="39"/>
      <c r="V116" s="39"/>
      <c r="W116" s="39"/>
      <c r="X116" s="39"/>
      <c r="Y116" s="39"/>
      <c r="Z116" s="39" t="s">
        <v>2</v>
      </c>
      <c r="AA116" s="39" t="s">
        <v>2</v>
      </c>
      <c r="AB116" s="39"/>
      <c r="AC116" s="39"/>
      <c r="AD116" s="39"/>
      <c r="AE116" s="39"/>
      <c r="AF116" s="39"/>
      <c r="AH116" s="20">
        <f t="shared" si="12"/>
        <v>0</v>
      </c>
      <c r="AI116" s="20">
        <f t="shared" si="13"/>
        <v>0</v>
      </c>
    </row>
    <row r="117" spans="1:35" ht="20.100000000000001" hidden="1" customHeight="1">
      <c r="A117" s="24" t="str">
        <f>ÖSSZES!$A$66</f>
        <v>Név18</v>
      </c>
      <c r="B117" s="39" t="s">
        <v>2</v>
      </c>
      <c r="C117" s="39" t="s">
        <v>2</v>
      </c>
      <c r="D117" s="39"/>
      <c r="E117" s="39"/>
      <c r="F117" s="39"/>
      <c r="G117" s="39"/>
      <c r="H117" s="39"/>
      <c r="I117" s="39"/>
      <c r="J117" s="39" t="s">
        <v>2</v>
      </c>
      <c r="K117" s="39" t="s">
        <v>2</v>
      </c>
      <c r="L117" s="39"/>
      <c r="M117" s="39"/>
      <c r="N117" s="39"/>
      <c r="O117" s="39"/>
      <c r="P117" s="39"/>
      <c r="Q117" s="39"/>
      <c r="R117" s="39" t="s">
        <v>2</v>
      </c>
      <c r="S117" s="39" t="s">
        <v>2</v>
      </c>
      <c r="T117" s="39"/>
      <c r="U117" s="39"/>
      <c r="V117" s="39"/>
      <c r="W117" s="39"/>
      <c r="X117" s="39"/>
      <c r="Y117" s="39"/>
      <c r="Z117" s="39" t="s">
        <v>2</v>
      </c>
      <c r="AA117" s="39" t="s">
        <v>2</v>
      </c>
      <c r="AB117" s="39"/>
      <c r="AC117" s="39"/>
      <c r="AD117" s="39"/>
      <c r="AE117" s="39"/>
      <c r="AF117" s="39"/>
      <c r="AH117" s="20">
        <f t="shared" si="12"/>
        <v>0</v>
      </c>
      <c r="AI117" s="20">
        <f t="shared" si="13"/>
        <v>0</v>
      </c>
    </row>
    <row r="118" spans="1:35" ht="20.100000000000001" hidden="1" customHeight="1">
      <c r="A118" s="24" t="str">
        <f>ÖSSZES!$A$67</f>
        <v>Név19</v>
      </c>
      <c r="B118" s="39" t="s">
        <v>2</v>
      </c>
      <c r="C118" s="39" t="s">
        <v>2</v>
      </c>
      <c r="D118" s="39"/>
      <c r="E118" s="39"/>
      <c r="F118" s="39"/>
      <c r="G118" s="39"/>
      <c r="H118" s="39"/>
      <c r="I118" s="39"/>
      <c r="J118" s="39" t="s">
        <v>2</v>
      </c>
      <c r="K118" s="39" t="s">
        <v>2</v>
      </c>
      <c r="L118" s="39"/>
      <c r="M118" s="39"/>
      <c r="N118" s="39"/>
      <c r="O118" s="39"/>
      <c r="P118" s="39"/>
      <c r="Q118" s="39"/>
      <c r="R118" s="39" t="s">
        <v>2</v>
      </c>
      <c r="S118" s="39" t="s">
        <v>2</v>
      </c>
      <c r="T118" s="39"/>
      <c r="U118" s="39"/>
      <c r="V118" s="39"/>
      <c r="W118" s="39"/>
      <c r="X118" s="39"/>
      <c r="Y118" s="39"/>
      <c r="Z118" s="39" t="s">
        <v>2</v>
      </c>
      <c r="AA118" s="39" t="s">
        <v>2</v>
      </c>
      <c r="AB118" s="39"/>
      <c r="AC118" s="39"/>
      <c r="AD118" s="39"/>
      <c r="AE118" s="39"/>
      <c r="AF118" s="39"/>
      <c r="AH118" s="20">
        <f t="shared" si="12"/>
        <v>0</v>
      </c>
      <c r="AI118" s="20">
        <f t="shared" si="13"/>
        <v>0</v>
      </c>
    </row>
    <row r="119" spans="1:35" ht="20.100000000000001" hidden="1" customHeight="1">
      <c r="A119" s="24" t="str">
        <f>ÖSSZES!$A$68</f>
        <v>Név20</v>
      </c>
      <c r="B119" s="39" t="s">
        <v>2</v>
      </c>
      <c r="C119" s="39" t="s">
        <v>2</v>
      </c>
      <c r="D119" s="39"/>
      <c r="E119" s="39"/>
      <c r="F119" s="39"/>
      <c r="G119" s="39"/>
      <c r="H119" s="39"/>
      <c r="I119" s="39"/>
      <c r="J119" s="39" t="s">
        <v>2</v>
      </c>
      <c r="K119" s="39" t="s">
        <v>2</v>
      </c>
      <c r="L119" s="39"/>
      <c r="M119" s="39"/>
      <c r="N119" s="39"/>
      <c r="O119" s="39"/>
      <c r="P119" s="39"/>
      <c r="Q119" s="39"/>
      <c r="R119" s="39" t="s">
        <v>2</v>
      </c>
      <c r="S119" s="39" t="s">
        <v>2</v>
      </c>
      <c r="T119" s="39"/>
      <c r="U119" s="39"/>
      <c r="V119" s="39"/>
      <c r="W119" s="39"/>
      <c r="X119" s="39"/>
      <c r="Y119" s="39"/>
      <c r="Z119" s="39" t="s">
        <v>2</v>
      </c>
      <c r="AA119" s="39" t="s">
        <v>2</v>
      </c>
      <c r="AB119" s="39"/>
      <c r="AC119" s="39"/>
      <c r="AD119" s="39"/>
      <c r="AE119" s="39"/>
      <c r="AF119" s="39"/>
      <c r="AH119" s="20">
        <f t="shared" si="12"/>
        <v>0</v>
      </c>
      <c r="AI119" s="20">
        <f t="shared" si="13"/>
        <v>0</v>
      </c>
    </row>
    <row r="120" spans="1:35" ht="20.100000000000001" customHeight="1"/>
    <row r="121" spans="1:35" s="11" customFormat="1" ht="20.100000000000001" customHeight="1">
      <c r="A121" s="57" t="s">
        <v>10</v>
      </c>
      <c r="B121" s="23">
        <v>1</v>
      </c>
      <c r="C121" s="23">
        <v>2</v>
      </c>
      <c r="D121" s="23">
        <v>3</v>
      </c>
      <c r="E121" s="23">
        <v>4</v>
      </c>
      <c r="F121" s="23">
        <v>5</v>
      </c>
      <c r="G121" s="23">
        <v>6</v>
      </c>
      <c r="H121" s="23">
        <v>7</v>
      </c>
      <c r="I121" s="23">
        <v>8</v>
      </c>
      <c r="J121" s="23">
        <v>9</v>
      </c>
      <c r="K121" s="23">
        <v>10</v>
      </c>
      <c r="L121" s="23">
        <v>11</v>
      </c>
      <c r="M121" s="23">
        <v>12</v>
      </c>
      <c r="N121" s="23">
        <v>13</v>
      </c>
      <c r="O121" s="23">
        <v>14</v>
      </c>
      <c r="P121" s="23">
        <v>15</v>
      </c>
      <c r="Q121" s="23">
        <v>16</v>
      </c>
      <c r="R121" s="23">
        <v>17</v>
      </c>
      <c r="S121" s="23">
        <v>18</v>
      </c>
      <c r="T121" s="23">
        <v>19</v>
      </c>
      <c r="U121" s="23">
        <v>20</v>
      </c>
      <c r="V121" s="23">
        <v>21</v>
      </c>
      <c r="W121" s="23">
        <v>22</v>
      </c>
      <c r="X121" s="23">
        <v>23</v>
      </c>
      <c r="Y121" s="23">
        <v>24</v>
      </c>
      <c r="Z121" s="23">
        <v>25</v>
      </c>
      <c r="AA121" s="23">
        <v>26</v>
      </c>
      <c r="AB121" s="23">
        <v>27</v>
      </c>
      <c r="AC121" s="23">
        <v>28</v>
      </c>
      <c r="AD121" s="23">
        <v>29</v>
      </c>
      <c r="AE121" s="23">
        <v>30</v>
      </c>
      <c r="AH121" s="59" t="s">
        <v>18</v>
      </c>
      <c r="AI121" s="59" t="s">
        <v>19</v>
      </c>
    </row>
    <row r="122" spans="1:35" ht="20.100000000000001" customHeight="1">
      <c r="A122" s="61"/>
      <c r="B122" s="15" t="str">
        <f>'2021'!B44</f>
        <v>K</v>
      </c>
      <c r="C122" s="15" t="str">
        <f>'2021'!C44</f>
        <v>Sze</v>
      </c>
      <c r="D122" s="15" t="str">
        <f>'2021'!D44</f>
        <v>Cs</v>
      </c>
      <c r="E122" s="15" t="str">
        <f>'2021'!E44</f>
        <v>P</v>
      </c>
      <c r="F122" s="15" t="str">
        <f>'2021'!F44</f>
        <v>Szo</v>
      </c>
      <c r="G122" s="15" t="str">
        <f>'2021'!G44</f>
        <v>V</v>
      </c>
      <c r="H122" s="15" t="str">
        <f>'2021'!H44</f>
        <v>H</v>
      </c>
      <c r="I122" s="15" t="str">
        <f>'2021'!I44</f>
        <v>K</v>
      </c>
      <c r="J122" s="15" t="str">
        <f>'2021'!J44</f>
        <v>Sze</v>
      </c>
      <c r="K122" s="15" t="str">
        <f>'2021'!K44</f>
        <v>Cs</v>
      </c>
      <c r="L122" s="15" t="str">
        <f>'2021'!L44</f>
        <v>P</v>
      </c>
      <c r="M122" s="15" t="str">
        <f>'2021'!M44</f>
        <v>Szo</v>
      </c>
      <c r="N122" s="15" t="str">
        <f>'2021'!N44</f>
        <v>V</v>
      </c>
      <c r="O122" s="15" t="str">
        <f>'2021'!O44</f>
        <v>H</v>
      </c>
      <c r="P122" s="15" t="str">
        <f>'2021'!P44</f>
        <v>K</v>
      </c>
      <c r="Q122" s="15" t="str">
        <f>'2021'!Q44</f>
        <v>Sze</v>
      </c>
      <c r="R122" s="15" t="str">
        <f>'2021'!R44</f>
        <v>Cs</v>
      </c>
      <c r="S122" s="15" t="str">
        <f>'2021'!S44</f>
        <v>P</v>
      </c>
      <c r="T122" s="15" t="str">
        <f>'2021'!T44</f>
        <v>Szo</v>
      </c>
      <c r="U122" s="15" t="str">
        <f>'2021'!U44</f>
        <v>V</v>
      </c>
      <c r="V122" s="15" t="str">
        <f>'2021'!V44</f>
        <v>H</v>
      </c>
      <c r="W122" s="15" t="str">
        <f>'2021'!W44</f>
        <v>K</v>
      </c>
      <c r="X122" s="15" t="str">
        <f>'2021'!X44</f>
        <v>Sze</v>
      </c>
      <c r="Y122" s="15" t="str">
        <f>'2021'!Y44</f>
        <v>Cs</v>
      </c>
      <c r="Z122" s="15" t="str">
        <f>'2021'!Z44</f>
        <v>P</v>
      </c>
      <c r="AA122" s="15" t="str">
        <f>'2021'!AA44</f>
        <v>Szo</v>
      </c>
      <c r="AB122" s="15" t="str">
        <f>'2021'!AB44</f>
        <v>V</v>
      </c>
      <c r="AC122" s="15" t="str">
        <f>'2021'!AC44</f>
        <v>H</v>
      </c>
      <c r="AD122" s="15" t="str">
        <f>'2021'!AD44</f>
        <v>K</v>
      </c>
      <c r="AE122" s="15" t="str">
        <f>'2021'!AE44</f>
        <v>Sze</v>
      </c>
      <c r="AF122" s="6"/>
      <c r="AH122" s="60"/>
      <c r="AI122" s="60"/>
    </row>
    <row r="123" spans="1:35" ht="20.100000000000001" customHeight="1">
      <c r="A123" s="61"/>
      <c r="B123" s="15">
        <f>'2021'!B47</f>
        <v>3</v>
      </c>
      <c r="C123" s="15" t="str">
        <f>'2021'!C47</f>
        <v>X</v>
      </c>
      <c r="D123" s="15" t="str">
        <f>'2021'!D47</f>
        <v>X</v>
      </c>
      <c r="E123" s="15">
        <f>'2021'!E47</f>
        <v>2</v>
      </c>
      <c r="F123" s="15">
        <f>'2021'!F47</f>
        <v>2</v>
      </c>
      <c r="G123" s="15">
        <f>'2021'!G47</f>
        <v>2</v>
      </c>
      <c r="H123" s="15">
        <f>'2021'!H47</f>
        <v>2</v>
      </c>
      <c r="I123" s="15">
        <f>'2021'!I47</f>
        <v>2</v>
      </c>
      <c r="J123" s="15">
        <f>'2021'!J47</f>
        <v>2</v>
      </c>
      <c r="K123" s="15" t="str">
        <f>'2021'!K47</f>
        <v>X</v>
      </c>
      <c r="L123" s="15" t="str">
        <f>'2021'!L47</f>
        <v>X</v>
      </c>
      <c r="M123" s="15">
        <f>'2021'!M47</f>
        <v>1</v>
      </c>
      <c r="N123" s="15">
        <f>'2021'!N47</f>
        <v>1</v>
      </c>
      <c r="O123" s="15">
        <f>'2021'!O47</f>
        <v>1</v>
      </c>
      <c r="P123" s="15">
        <f>'2021'!P47</f>
        <v>1</v>
      </c>
      <c r="Q123" s="15">
        <f>'2021'!Q47</f>
        <v>1</v>
      </c>
      <c r="R123" s="15">
        <f>'2021'!R47</f>
        <v>1</v>
      </c>
      <c r="S123" s="15" t="str">
        <f>'2021'!S47</f>
        <v>X</v>
      </c>
      <c r="T123" s="15" t="str">
        <f>'2021'!T47</f>
        <v>X</v>
      </c>
      <c r="U123" s="15">
        <f>'2021'!U47</f>
        <v>3</v>
      </c>
      <c r="V123" s="15">
        <f>'2021'!V47</f>
        <v>3</v>
      </c>
      <c r="W123" s="15">
        <f>'2021'!W47</f>
        <v>3</v>
      </c>
      <c r="X123" s="15">
        <f>'2021'!X47</f>
        <v>3</v>
      </c>
      <c r="Y123" s="15">
        <f>'2021'!Y47</f>
        <v>3</v>
      </c>
      <c r="Z123" s="15">
        <f>'2021'!Z47</f>
        <v>3</v>
      </c>
      <c r="AA123" s="15" t="str">
        <f>'2021'!AA47</f>
        <v>X</v>
      </c>
      <c r="AB123" s="15" t="str">
        <f>'2021'!AB47</f>
        <v>X</v>
      </c>
      <c r="AC123" s="15">
        <f>'2021'!AC47</f>
        <v>2</v>
      </c>
      <c r="AD123" s="15">
        <f>'2021'!AD47</f>
        <v>2</v>
      </c>
      <c r="AE123" s="15">
        <f>'2021'!AE47</f>
        <v>2</v>
      </c>
      <c r="AF123" s="6"/>
      <c r="AH123" s="60"/>
      <c r="AI123" s="60"/>
    </row>
    <row r="124" spans="1:35" ht="20.100000000000001" customHeight="1">
      <c r="A124" s="24" t="str">
        <f>ÖSSZES!$A$49</f>
        <v>Kuik-Filep András</v>
      </c>
      <c r="B124" s="19"/>
      <c r="C124" s="39" t="s">
        <v>2</v>
      </c>
      <c r="D124" s="39" t="s">
        <v>2</v>
      </c>
      <c r="E124" s="19"/>
      <c r="F124" s="19"/>
      <c r="G124" s="19"/>
      <c r="H124" s="19"/>
      <c r="I124" s="19"/>
      <c r="J124" s="19"/>
      <c r="K124" s="39" t="s">
        <v>2</v>
      </c>
      <c r="L124" s="39" t="s">
        <v>2</v>
      </c>
      <c r="M124" s="19"/>
      <c r="N124" s="19"/>
      <c r="O124" s="19"/>
      <c r="P124" s="19"/>
      <c r="Q124" s="19"/>
      <c r="R124" s="19"/>
      <c r="S124" s="39" t="s">
        <v>2</v>
      </c>
      <c r="T124" s="39" t="s">
        <v>2</v>
      </c>
      <c r="U124" s="19"/>
      <c r="V124" s="19"/>
      <c r="W124" s="19"/>
      <c r="X124" s="19"/>
      <c r="Y124" s="19"/>
      <c r="Z124" s="19"/>
      <c r="AA124" s="39" t="s">
        <v>2</v>
      </c>
      <c r="AB124" s="39" t="s">
        <v>2</v>
      </c>
      <c r="AC124" s="19"/>
      <c r="AD124" s="19"/>
      <c r="AE124" s="19"/>
      <c r="AF124" s="6"/>
      <c r="AH124" s="20">
        <f>1*COUNTIF(A124:AF124,"+")</f>
        <v>0</v>
      </c>
      <c r="AI124" s="20">
        <f t="shared" ref="AI124" si="14">1*COUNTIF(B124:AF124,"szf")</f>
        <v>0</v>
      </c>
    </row>
    <row r="125" spans="1:35" ht="20.100000000000001" customHeight="1">
      <c r="A125" s="24" t="str">
        <f>ÖSSZES!$A$50</f>
        <v>Balogh Zsolt</v>
      </c>
      <c r="B125" s="19"/>
      <c r="C125" s="39" t="s">
        <v>2</v>
      </c>
      <c r="D125" s="39" t="s">
        <v>2</v>
      </c>
      <c r="E125" s="19"/>
      <c r="F125" s="19"/>
      <c r="G125" s="19"/>
      <c r="H125" s="19"/>
      <c r="I125" s="19"/>
      <c r="J125" s="19"/>
      <c r="K125" s="39" t="s">
        <v>2</v>
      </c>
      <c r="L125" s="39" t="s">
        <v>2</v>
      </c>
      <c r="M125" s="19"/>
      <c r="N125" s="19"/>
      <c r="O125" s="19"/>
      <c r="P125" s="19"/>
      <c r="Q125" s="19"/>
      <c r="R125" s="19"/>
      <c r="S125" s="39" t="s">
        <v>2</v>
      </c>
      <c r="T125" s="39" t="s">
        <v>2</v>
      </c>
      <c r="U125" s="19"/>
      <c r="V125" s="19"/>
      <c r="W125" s="19"/>
      <c r="X125" s="19"/>
      <c r="Y125" s="19"/>
      <c r="Z125" s="19"/>
      <c r="AA125" s="39" t="s">
        <v>2</v>
      </c>
      <c r="AB125" s="39" t="s">
        <v>2</v>
      </c>
      <c r="AC125" s="19"/>
      <c r="AD125" s="19"/>
      <c r="AE125" s="19"/>
      <c r="AF125" s="6"/>
      <c r="AH125" s="20">
        <f t="shared" ref="AH125:AH143" si="15">1*COUNTIF(A125:AF125,"+")</f>
        <v>0</v>
      </c>
      <c r="AI125" s="20">
        <f t="shared" ref="AI125:AI143" si="16">1*COUNTIF(B125:AF125,"szf")</f>
        <v>0</v>
      </c>
    </row>
    <row r="126" spans="1:35" ht="20.100000000000001" customHeight="1">
      <c r="A126" s="24" t="str">
        <f>ÖSSZES!$A$51</f>
        <v>Éliás Viktor</v>
      </c>
      <c r="B126" s="19"/>
      <c r="C126" s="39" t="s">
        <v>2</v>
      </c>
      <c r="D126" s="39" t="s">
        <v>2</v>
      </c>
      <c r="E126" s="19"/>
      <c r="F126" s="19"/>
      <c r="G126" s="19"/>
      <c r="H126" s="19"/>
      <c r="I126" s="19"/>
      <c r="J126" s="19"/>
      <c r="K126" s="39" t="s">
        <v>2</v>
      </c>
      <c r="L126" s="39" t="s">
        <v>2</v>
      </c>
      <c r="M126" s="19"/>
      <c r="N126" s="19"/>
      <c r="O126" s="19"/>
      <c r="P126" s="19"/>
      <c r="Q126" s="19"/>
      <c r="R126" s="19"/>
      <c r="S126" s="39" t="s">
        <v>2</v>
      </c>
      <c r="T126" s="39" t="s">
        <v>2</v>
      </c>
      <c r="U126" s="19"/>
      <c r="V126" s="19"/>
      <c r="W126" s="19"/>
      <c r="X126" s="19"/>
      <c r="Y126" s="19"/>
      <c r="Z126" s="19"/>
      <c r="AA126" s="39" t="s">
        <v>2</v>
      </c>
      <c r="AB126" s="39" t="s">
        <v>2</v>
      </c>
      <c r="AC126" s="19"/>
      <c r="AD126" s="19"/>
      <c r="AE126" s="19"/>
      <c r="AF126" s="6"/>
      <c r="AH126" s="20">
        <f t="shared" si="15"/>
        <v>0</v>
      </c>
      <c r="AI126" s="20">
        <f t="shared" si="16"/>
        <v>0</v>
      </c>
    </row>
    <row r="127" spans="1:35" ht="20.100000000000001" customHeight="1">
      <c r="A127" s="24" t="str">
        <f>ÖSSZES!$A$52</f>
        <v>Hadházi Kálmán</v>
      </c>
      <c r="B127" s="19"/>
      <c r="C127" s="39" t="s">
        <v>2</v>
      </c>
      <c r="D127" s="39" t="s">
        <v>2</v>
      </c>
      <c r="E127" s="19"/>
      <c r="F127" s="19"/>
      <c r="G127" s="19"/>
      <c r="H127" s="19"/>
      <c r="I127" s="19"/>
      <c r="J127" s="19"/>
      <c r="K127" s="39" t="s">
        <v>2</v>
      </c>
      <c r="L127" s="39" t="s">
        <v>2</v>
      </c>
      <c r="M127" s="19"/>
      <c r="N127" s="19"/>
      <c r="O127" s="19"/>
      <c r="P127" s="19"/>
      <c r="Q127" s="19"/>
      <c r="R127" s="19"/>
      <c r="S127" s="39" t="s">
        <v>2</v>
      </c>
      <c r="T127" s="39" t="s">
        <v>2</v>
      </c>
      <c r="U127" s="19"/>
      <c r="V127" s="19"/>
      <c r="W127" s="19"/>
      <c r="X127" s="19"/>
      <c r="Y127" s="19"/>
      <c r="Z127" s="19"/>
      <c r="AA127" s="39" t="s">
        <v>2</v>
      </c>
      <c r="AB127" s="39" t="s">
        <v>2</v>
      </c>
      <c r="AC127" s="19"/>
      <c r="AD127" s="19"/>
      <c r="AE127" s="19"/>
      <c r="AF127" s="6"/>
      <c r="AH127" s="20">
        <f t="shared" si="15"/>
        <v>0</v>
      </c>
      <c r="AI127" s="20">
        <f t="shared" si="16"/>
        <v>0</v>
      </c>
    </row>
    <row r="128" spans="1:35" ht="20.100000000000001" customHeight="1">
      <c r="A128" s="24" t="str">
        <f>ÖSSZES!$A$53</f>
        <v>Kiss Attila</v>
      </c>
      <c r="B128" s="19"/>
      <c r="C128" s="39" t="s">
        <v>2</v>
      </c>
      <c r="D128" s="39" t="s">
        <v>2</v>
      </c>
      <c r="E128" s="19"/>
      <c r="F128" s="19"/>
      <c r="G128" s="19"/>
      <c r="H128" s="19"/>
      <c r="I128" s="19"/>
      <c r="J128" s="19"/>
      <c r="K128" s="39" t="s">
        <v>2</v>
      </c>
      <c r="L128" s="39" t="s">
        <v>2</v>
      </c>
      <c r="M128" s="19"/>
      <c r="N128" s="19"/>
      <c r="O128" s="19"/>
      <c r="P128" s="19"/>
      <c r="Q128" s="19"/>
      <c r="R128" s="19"/>
      <c r="S128" s="39" t="s">
        <v>2</v>
      </c>
      <c r="T128" s="39" t="s">
        <v>2</v>
      </c>
      <c r="U128" s="19"/>
      <c r="V128" s="19"/>
      <c r="W128" s="19"/>
      <c r="X128" s="19"/>
      <c r="Y128" s="19"/>
      <c r="Z128" s="19"/>
      <c r="AA128" s="39" t="s">
        <v>2</v>
      </c>
      <c r="AB128" s="39" t="s">
        <v>2</v>
      </c>
      <c r="AC128" s="19"/>
      <c r="AD128" s="19"/>
      <c r="AE128" s="19"/>
      <c r="AF128" s="6"/>
      <c r="AH128" s="20">
        <f t="shared" si="15"/>
        <v>0</v>
      </c>
      <c r="AI128" s="20">
        <f t="shared" si="16"/>
        <v>0</v>
      </c>
    </row>
    <row r="129" spans="1:35" ht="20.100000000000001" customHeight="1">
      <c r="A129" s="24" t="str">
        <f>ÖSSZES!$A$54</f>
        <v>Serestyén Dániel</v>
      </c>
      <c r="B129" s="19"/>
      <c r="C129" s="39" t="s">
        <v>2</v>
      </c>
      <c r="D129" s="39" t="s">
        <v>2</v>
      </c>
      <c r="E129" s="19"/>
      <c r="F129" s="19"/>
      <c r="G129" s="19"/>
      <c r="H129" s="19"/>
      <c r="I129" s="19"/>
      <c r="J129" s="19"/>
      <c r="K129" s="39" t="s">
        <v>2</v>
      </c>
      <c r="L129" s="39" t="s">
        <v>2</v>
      </c>
      <c r="M129" s="19"/>
      <c r="N129" s="19"/>
      <c r="O129" s="19"/>
      <c r="P129" s="19"/>
      <c r="Q129" s="19"/>
      <c r="R129" s="19"/>
      <c r="S129" s="39" t="s">
        <v>2</v>
      </c>
      <c r="T129" s="39" t="s">
        <v>2</v>
      </c>
      <c r="U129" s="19"/>
      <c r="V129" s="19"/>
      <c r="W129" s="19"/>
      <c r="X129" s="19"/>
      <c r="Y129" s="19"/>
      <c r="Z129" s="19"/>
      <c r="AA129" s="39" t="s">
        <v>2</v>
      </c>
      <c r="AB129" s="39" t="s">
        <v>2</v>
      </c>
      <c r="AC129" s="19"/>
      <c r="AD129" s="19"/>
      <c r="AE129" s="19"/>
      <c r="AF129" s="6"/>
      <c r="AH129" s="20">
        <f t="shared" si="15"/>
        <v>0</v>
      </c>
      <c r="AI129" s="20">
        <f t="shared" si="16"/>
        <v>0</v>
      </c>
    </row>
    <row r="130" spans="1:35" ht="20.100000000000001" customHeight="1">
      <c r="A130" s="24" t="str">
        <f>ÖSSZES!$A$55</f>
        <v>Varga Imre</v>
      </c>
      <c r="B130" s="19"/>
      <c r="C130" s="39" t="s">
        <v>2</v>
      </c>
      <c r="D130" s="39" t="s">
        <v>2</v>
      </c>
      <c r="E130" s="19"/>
      <c r="F130" s="19"/>
      <c r="G130" s="19"/>
      <c r="H130" s="19"/>
      <c r="I130" s="19"/>
      <c r="J130" s="19"/>
      <c r="K130" s="39" t="s">
        <v>2</v>
      </c>
      <c r="L130" s="39" t="s">
        <v>2</v>
      </c>
      <c r="M130" s="19"/>
      <c r="N130" s="19"/>
      <c r="O130" s="19"/>
      <c r="P130" s="19"/>
      <c r="Q130" s="19"/>
      <c r="R130" s="19"/>
      <c r="S130" s="39" t="s">
        <v>2</v>
      </c>
      <c r="T130" s="39" t="s">
        <v>2</v>
      </c>
      <c r="U130" s="19"/>
      <c r="V130" s="19"/>
      <c r="W130" s="19"/>
      <c r="X130" s="19"/>
      <c r="Y130" s="19"/>
      <c r="Z130" s="19"/>
      <c r="AA130" s="39" t="s">
        <v>2</v>
      </c>
      <c r="AB130" s="39" t="s">
        <v>2</v>
      </c>
      <c r="AC130" s="19"/>
      <c r="AD130" s="19"/>
      <c r="AE130" s="19"/>
      <c r="AF130" s="6"/>
      <c r="AH130" s="20">
        <f t="shared" si="15"/>
        <v>0</v>
      </c>
      <c r="AI130" s="20">
        <f t="shared" si="16"/>
        <v>0</v>
      </c>
    </row>
    <row r="131" spans="1:35" ht="20.100000000000001" hidden="1" customHeight="1">
      <c r="A131" s="24" t="str">
        <f>ÖSSZES!$A$56</f>
        <v>Név8</v>
      </c>
      <c r="B131" s="19"/>
      <c r="C131" s="39" t="s">
        <v>2</v>
      </c>
      <c r="D131" s="39" t="s">
        <v>2</v>
      </c>
      <c r="E131" s="19"/>
      <c r="F131" s="19"/>
      <c r="G131" s="19"/>
      <c r="H131" s="19"/>
      <c r="I131" s="19"/>
      <c r="J131" s="19"/>
      <c r="K131" s="39" t="s">
        <v>2</v>
      </c>
      <c r="L131" s="39" t="s">
        <v>2</v>
      </c>
      <c r="M131" s="19"/>
      <c r="N131" s="19"/>
      <c r="O131" s="19"/>
      <c r="P131" s="19"/>
      <c r="Q131" s="19"/>
      <c r="R131" s="19"/>
      <c r="S131" s="39" t="s">
        <v>2</v>
      </c>
      <c r="T131" s="39" t="s">
        <v>2</v>
      </c>
      <c r="U131" s="19"/>
      <c r="V131" s="19"/>
      <c r="W131" s="19"/>
      <c r="X131" s="19"/>
      <c r="Y131" s="19"/>
      <c r="Z131" s="19"/>
      <c r="AA131" s="39" t="s">
        <v>2</v>
      </c>
      <c r="AB131" s="39" t="s">
        <v>2</v>
      </c>
      <c r="AC131" s="19"/>
      <c r="AD131" s="19"/>
      <c r="AE131" s="19"/>
      <c r="AF131" s="6"/>
      <c r="AH131" s="20">
        <f t="shared" si="15"/>
        <v>0</v>
      </c>
      <c r="AI131" s="20">
        <f t="shared" si="16"/>
        <v>0</v>
      </c>
    </row>
    <row r="132" spans="1:35" ht="20.100000000000001" hidden="1" customHeight="1">
      <c r="A132" s="24" t="str">
        <f>ÖSSZES!$A$57</f>
        <v>Név9</v>
      </c>
      <c r="B132" s="19"/>
      <c r="C132" s="39" t="s">
        <v>2</v>
      </c>
      <c r="D132" s="39" t="s">
        <v>2</v>
      </c>
      <c r="E132" s="19"/>
      <c r="F132" s="19"/>
      <c r="G132" s="19"/>
      <c r="H132" s="19"/>
      <c r="I132" s="19"/>
      <c r="J132" s="19"/>
      <c r="K132" s="39" t="s">
        <v>2</v>
      </c>
      <c r="L132" s="39" t="s">
        <v>2</v>
      </c>
      <c r="M132" s="19"/>
      <c r="N132" s="19"/>
      <c r="O132" s="19"/>
      <c r="P132" s="19"/>
      <c r="Q132" s="19"/>
      <c r="R132" s="19"/>
      <c r="S132" s="39" t="s">
        <v>2</v>
      </c>
      <c r="T132" s="39" t="s">
        <v>2</v>
      </c>
      <c r="U132" s="19"/>
      <c r="V132" s="19"/>
      <c r="W132" s="19"/>
      <c r="X132" s="19"/>
      <c r="Y132" s="19"/>
      <c r="Z132" s="19"/>
      <c r="AA132" s="39" t="s">
        <v>2</v>
      </c>
      <c r="AB132" s="39" t="s">
        <v>2</v>
      </c>
      <c r="AC132" s="19"/>
      <c r="AD132" s="19"/>
      <c r="AE132" s="19"/>
      <c r="AF132" s="6"/>
      <c r="AH132" s="20">
        <f t="shared" si="15"/>
        <v>0</v>
      </c>
      <c r="AI132" s="20">
        <f t="shared" si="16"/>
        <v>0</v>
      </c>
    </row>
    <row r="133" spans="1:35" ht="20.100000000000001" hidden="1" customHeight="1">
      <c r="A133" s="24" t="str">
        <f>ÖSSZES!$A$58</f>
        <v>Név10</v>
      </c>
      <c r="B133" s="19"/>
      <c r="C133" s="39" t="s">
        <v>2</v>
      </c>
      <c r="D133" s="39" t="s">
        <v>2</v>
      </c>
      <c r="E133" s="19"/>
      <c r="F133" s="19"/>
      <c r="G133" s="19"/>
      <c r="H133" s="19"/>
      <c r="I133" s="19"/>
      <c r="J133" s="19"/>
      <c r="K133" s="39" t="s">
        <v>2</v>
      </c>
      <c r="L133" s="39" t="s">
        <v>2</v>
      </c>
      <c r="M133" s="19"/>
      <c r="N133" s="19"/>
      <c r="O133" s="19"/>
      <c r="P133" s="19"/>
      <c r="Q133" s="19"/>
      <c r="R133" s="19"/>
      <c r="S133" s="39" t="s">
        <v>2</v>
      </c>
      <c r="T133" s="39" t="s">
        <v>2</v>
      </c>
      <c r="U133" s="19"/>
      <c r="V133" s="19"/>
      <c r="W133" s="19"/>
      <c r="X133" s="19"/>
      <c r="Y133" s="19"/>
      <c r="Z133" s="19"/>
      <c r="AA133" s="39" t="s">
        <v>2</v>
      </c>
      <c r="AB133" s="39" t="s">
        <v>2</v>
      </c>
      <c r="AC133" s="19"/>
      <c r="AD133" s="19"/>
      <c r="AE133" s="19"/>
      <c r="AF133" s="6"/>
      <c r="AH133" s="20">
        <f t="shared" si="15"/>
        <v>0</v>
      </c>
      <c r="AI133" s="20">
        <f t="shared" si="16"/>
        <v>0</v>
      </c>
    </row>
    <row r="134" spans="1:35" ht="20.100000000000001" hidden="1" customHeight="1">
      <c r="A134" s="24" t="str">
        <f>ÖSSZES!$A$59</f>
        <v>Név11</v>
      </c>
      <c r="B134" s="19"/>
      <c r="C134" s="39" t="s">
        <v>2</v>
      </c>
      <c r="D134" s="39" t="s">
        <v>2</v>
      </c>
      <c r="E134" s="19"/>
      <c r="F134" s="19"/>
      <c r="G134" s="19"/>
      <c r="H134" s="19"/>
      <c r="I134" s="19"/>
      <c r="J134" s="19"/>
      <c r="K134" s="39" t="s">
        <v>2</v>
      </c>
      <c r="L134" s="39" t="s">
        <v>2</v>
      </c>
      <c r="M134" s="19"/>
      <c r="N134" s="19"/>
      <c r="O134" s="19"/>
      <c r="P134" s="19"/>
      <c r="Q134" s="19"/>
      <c r="R134" s="19"/>
      <c r="S134" s="39" t="s">
        <v>2</v>
      </c>
      <c r="T134" s="39" t="s">
        <v>2</v>
      </c>
      <c r="U134" s="19"/>
      <c r="V134" s="19"/>
      <c r="W134" s="19"/>
      <c r="X134" s="19"/>
      <c r="Y134" s="19"/>
      <c r="Z134" s="19"/>
      <c r="AA134" s="39" t="s">
        <v>2</v>
      </c>
      <c r="AB134" s="39" t="s">
        <v>2</v>
      </c>
      <c r="AC134" s="19"/>
      <c r="AD134" s="19"/>
      <c r="AE134" s="19"/>
      <c r="AF134" s="6"/>
      <c r="AH134" s="20">
        <f t="shared" si="15"/>
        <v>0</v>
      </c>
      <c r="AI134" s="20">
        <f t="shared" si="16"/>
        <v>0</v>
      </c>
    </row>
    <row r="135" spans="1:35" ht="20.100000000000001" hidden="1" customHeight="1">
      <c r="A135" s="24" t="str">
        <f>ÖSSZES!$A$60</f>
        <v>Név12</v>
      </c>
      <c r="B135" s="19"/>
      <c r="C135" s="39" t="s">
        <v>2</v>
      </c>
      <c r="D135" s="39" t="s">
        <v>2</v>
      </c>
      <c r="E135" s="19"/>
      <c r="F135" s="19"/>
      <c r="G135" s="19"/>
      <c r="H135" s="19"/>
      <c r="I135" s="19"/>
      <c r="J135" s="19"/>
      <c r="K135" s="39" t="s">
        <v>2</v>
      </c>
      <c r="L135" s="39" t="s">
        <v>2</v>
      </c>
      <c r="M135" s="19"/>
      <c r="N135" s="19"/>
      <c r="O135" s="19"/>
      <c r="P135" s="19"/>
      <c r="Q135" s="19"/>
      <c r="R135" s="19"/>
      <c r="S135" s="39" t="s">
        <v>2</v>
      </c>
      <c r="T135" s="39" t="s">
        <v>2</v>
      </c>
      <c r="U135" s="19"/>
      <c r="V135" s="19"/>
      <c r="W135" s="19"/>
      <c r="X135" s="19"/>
      <c r="Y135" s="19"/>
      <c r="Z135" s="19"/>
      <c r="AA135" s="39" t="s">
        <v>2</v>
      </c>
      <c r="AB135" s="39" t="s">
        <v>2</v>
      </c>
      <c r="AC135" s="19"/>
      <c r="AD135" s="19"/>
      <c r="AE135" s="19"/>
      <c r="AF135" s="6"/>
      <c r="AH135" s="20">
        <f t="shared" si="15"/>
        <v>0</v>
      </c>
      <c r="AI135" s="20">
        <f t="shared" si="16"/>
        <v>0</v>
      </c>
    </row>
    <row r="136" spans="1:35" ht="20.100000000000001" hidden="1" customHeight="1">
      <c r="A136" s="24" t="str">
        <f>ÖSSZES!$A$61</f>
        <v>Név13</v>
      </c>
      <c r="B136" s="19"/>
      <c r="C136" s="39" t="s">
        <v>2</v>
      </c>
      <c r="D136" s="39" t="s">
        <v>2</v>
      </c>
      <c r="E136" s="19"/>
      <c r="F136" s="19"/>
      <c r="G136" s="19"/>
      <c r="H136" s="19"/>
      <c r="I136" s="19"/>
      <c r="J136" s="19"/>
      <c r="K136" s="39" t="s">
        <v>2</v>
      </c>
      <c r="L136" s="39" t="s">
        <v>2</v>
      </c>
      <c r="M136" s="19"/>
      <c r="N136" s="19"/>
      <c r="O136" s="19"/>
      <c r="P136" s="19"/>
      <c r="Q136" s="19"/>
      <c r="R136" s="19"/>
      <c r="S136" s="39" t="s">
        <v>2</v>
      </c>
      <c r="T136" s="39" t="s">
        <v>2</v>
      </c>
      <c r="U136" s="19"/>
      <c r="V136" s="19"/>
      <c r="W136" s="19"/>
      <c r="X136" s="19"/>
      <c r="Y136" s="19"/>
      <c r="Z136" s="19"/>
      <c r="AA136" s="39" t="s">
        <v>2</v>
      </c>
      <c r="AB136" s="39" t="s">
        <v>2</v>
      </c>
      <c r="AC136" s="19"/>
      <c r="AD136" s="19"/>
      <c r="AE136" s="19"/>
      <c r="AF136" s="6"/>
      <c r="AH136" s="20">
        <f t="shared" si="15"/>
        <v>0</v>
      </c>
      <c r="AI136" s="20">
        <f t="shared" si="16"/>
        <v>0</v>
      </c>
    </row>
    <row r="137" spans="1:35" ht="20.100000000000001" hidden="1" customHeight="1">
      <c r="A137" s="24" t="str">
        <f>ÖSSZES!$A$62</f>
        <v>Név14</v>
      </c>
      <c r="B137" s="19"/>
      <c r="C137" s="39" t="s">
        <v>2</v>
      </c>
      <c r="D137" s="39" t="s">
        <v>2</v>
      </c>
      <c r="E137" s="19"/>
      <c r="F137" s="19"/>
      <c r="G137" s="19"/>
      <c r="H137" s="19"/>
      <c r="I137" s="19"/>
      <c r="J137" s="19"/>
      <c r="K137" s="39" t="s">
        <v>2</v>
      </c>
      <c r="L137" s="39" t="s">
        <v>2</v>
      </c>
      <c r="M137" s="19"/>
      <c r="N137" s="19"/>
      <c r="O137" s="19"/>
      <c r="P137" s="19"/>
      <c r="Q137" s="19"/>
      <c r="R137" s="19"/>
      <c r="S137" s="39" t="s">
        <v>2</v>
      </c>
      <c r="T137" s="39" t="s">
        <v>2</v>
      </c>
      <c r="U137" s="19"/>
      <c r="V137" s="19"/>
      <c r="W137" s="19"/>
      <c r="X137" s="19"/>
      <c r="Y137" s="19"/>
      <c r="Z137" s="19"/>
      <c r="AA137" s="39" t="s">
        <v>2</v>
      </c>
      <c r="AB137" s="39" t="s">
        <v>2</v>
      </c>
      <c r="AC137" s="19"/>
      <c r="AD137" s="19"/>
      <c r="AE137" s="19"/>
      <c r="AF137" s="6"/>
      <c r="AH137" s="20">
        <f t="shared" si="15"/>
        <v>0</v>
      </c>
      <c r="AI137" s="20">
        <f t="shared" si="16"/>
        <v>0</v>
      </c>
    </row>
    <row r="138" spans="1:35" ht="20.100000000000001" hidden="1" customHeight="1">
      <c r="A138" s="24" t="str">
        <f>ÖSSZES!$A$63</f>
        <v>Név15</v>
      </c>
      <c r="B138" s="19"/>
      <c r="C138" s="39" t="s">
        <v>2</v>
      </c>
      <c r="D138" s="39" t="s">
        <v>2</v>
      </c>
      <c r="E138" s="19"/>
      <c r="F138" s="19"/>
      <c r="G138" s="19"/>
      <c r="H138" s="19"/>
      <c r="I138" s="19"/>
      <c r="J138" s="19"/>
      <c r="K138" s="39" t="s">
        <v>2</v>
      </c>
      <c r="L138" s="39" t="s">
        <v>2</v>
      </c>
      <c r="M138" s="19"/>
      <c r="N138" s="19"/>
      <c r="O138" s="19"/>
      <c r="P138" s="19"/>
      <c r="Q138" s="19"/>
      <c r="R138" s="19"/>
      <c r="S138" s="39" t="s">
        <v>2</v>
      </c>
      <c r="T138" s="39" t="s">
        <v>2</v>
      </c>
      <c r="U138" s="19"/>
      <c r="V138" s="19"/>
      <c r="W138" s="19"/>
      <c r="X138" s="19"/>
      <c r="Y138" s="19"/>
      <c r="Z138" s="19"/>
      <c r="AA138" s="39" t="s">
        <v>2</v>
      </c>
      <c r="AB138" s="39" t="s">
        <v>2</v>
      </c>
      <c r="AC138" s="19"/>
      <c r="AD138" s="19"/>
      <c r="AE138" s="19"/>
      <c r="AF138" s="6"/>
      <c r="AH138" s="20">
        <f t="shared" si="15"/>
        <v>0</v>
      </c>
      <c r="AI138" s="20">
        <f t="shared" si="16"/>
        <v>0</v>
      </c>
    </row>
    <row r="139" spans="1:35" ht="20.100000000000001" hidden="1" customHeight="1">
      <c r="A139" s="24" t="str">
        <f>ÖSSZES!$A$64</f>
        <v>Név16</v>
      </c>
      <c r="B139" s="19"/>
      <c r="C139" s="39" t="s">
        <v>2</v>
      </c>
      <c r="D139" s="39" t="s">
        <v>2</v>
      </c>
      <c r="E139" s="19"/>
      <c r="F139" s="19"/>
      <c r="G139" s="19"/>
      <c r="H139" s="19"/>
      <c r="I139" s="19"/>
      <c r="J139" s="19"/>
      <c r="K139" s="39" t="s">
        <v>2</v>
      </c>
      <c r="L139" s="39" t="s">
        <v>2</v>
      </c>
      <c r="M139" s="19"/>
      <c r="N139" s="19"/>
      <c r="O139" s="19"/>
      <c r="P139" s="19"/>
      <c r="Q139" s="19"/>
      <c r="R139" s="19"/>
      <c r="S139" s="39" t="s">
        <v>2</v>
      </c>
      <c r="T139" s="39" t="s">
        <v>2</v>
      </c>
      <c r="U139" s="19"/>
      <c r="V139" s="19"/>
      <c r="W139" s="19"/>
      <c r="X139" s="19"/>
      <c r="Y139" s="19"/>
      <c r="Z139" s="19"/>
      <c r="AA139" s="39" t="s">
        <v>2</v>
      </c>
      <c r="AB139" s="39" t="s">
        <v>2</v>
      </c>
      <c r="AC139" s="19"/>
      <c r="AD139" s="19"/>
      <c r="AE139" s="19"/>
      <c r="AF139" s="6"/>
      <c r="AH139" s="20">
        <f t="shared" si="15"/>
        <v>0</v>
      </c>
      <c r="AI139" s="20">
        <f t="shared" si="16"/>
        <v>0</v>
      </c>
    </row>
    <row r="140" spans="1:35" ht="20.100000000000001" hidden="1" customHeight="1">
      <c r="A140" s="24" t="str">
        <f>ÖSSZES!$A$65</f>
        <v>Név17</v>
      </c>
      <c r="B140" s="19"/>
      <c r="C140" s="39" t="s">
        <v>2</v>
      </c>
      <c r="D140" s="39" t="s">
        <v>2</v>
      </c>
      <c r="E140" s="19"/>
      <c r="F140" s="19"/>
      <c r="G140" s="19"/>
      <c r="H140" s="19"/>
      <c r="I140" s="19"/>
      <c r="J140" s="19"/>
      <c r="K140" s="39" t="s">
        <v>2</v>
      </c>
      <c r="L140" s="39" t="s">
        <v>2</v>
      </c>
      <c r="M140" s="19"/>
      <c r="N140" s="19"/>
      <c r="O140" s="19"/>
      <c r="P140" s="19"/>
      <c r="Q140" s="19"/>
      <c r="R140" s="19"/>
      <c r="S140" s="39" t="s">
        <v>2</v>
      </c>
      <c r="T140" s="39" t="s">
        <v>2</v>
      </c>
      <c r="U140" s="19"/>
      <c r="V140" s="19"/>
      <c r="W140" s="19"/>
      <c r="X140" s="19"/>
      <c r="Y140" s="19"/>
      <c r="Z140" s="19"/>
      <c r="AA140" s="39" t="s">
        <v>2</v>
      </c>
      <c r="AB140" s="39" t="s">
        <v>2</v>
      </c>
      <c r="AC140" s="19"/>
      <c r="AD140" s="19"/>
      <c r="AE140" s="19"/>
      <c r="AF140" s="6"/>
      <c r="AH140" s="20">
        <f t="shared" si="15"/>
        <v>0</v>
      </c>
      <c r="AI140" s="20">
        <f t="shared" si="16"/>
        <v>0</v>
      </c>
    </row>
    <row r="141" spans="1:35" ht="20.100000000000001" hidden="1" customHeight="1">
      <c r="A141" s="24" t="str">
        <f>ÖSSZES!$A$66</f>
        <v>Név18</v>
      </c>
      <c r="B141" s="19"/>
      <c r="C141" s="39" t="s">
        <v>2</v>
      </c>
      <c r="D141" s="39" t="s">
        <v>2</v>
      </c>
      <c r="E141" s="19"/>
      <c r="F141" s="19"/>
      <c r="G141" s="19"/>
      <c r="H141" s="19"/>
      <c r="I141" s="19"/>
      <c r="J141" s="19"/>
      <c r="K141" s="39" t="s">
        <v>2</v>
      </c>
      <c r="L141" s="39" t="s">
        <v>2</v>
      </c>
      <c r="M141" s="19"/>
      <c r="N141" s="19"/>
      <c r="O141" s="19"/>
      <c r="P141" s="19"/>
      <c r="Q141" s="19"/>
      <c r="R141" s="19"/>
      <c r="S141" s="39" t="s">
        <v>2</v>
      </c>
      <c r="T141" s="39" t="s">
        <v>2</v>
      </c>
      <c r="U141" s="19"/>
      <c r="V141" s="19"/>
      <c r="W141" s="19"/>
      <c r="X141" s="19"/>
      <c r="Y141" s="19"/>
      <c r="Z141" s="19"/>
      <c r="AA141" s="39" t="s">
        <v>2</v>
      </c>
      <c r="AB141" s="39" t="s">
        <v>2</v>
      </c>
      <c r="AC141" s="19"/>
      <c r="AD141" s="19"/>
      <c r="AE141" s="19"/>
      <c r="AF141" s="6"/>
      <c r="AH141" s="20">
        <f t="shared" si="15"/>
        <v>0</v>
      </c>
      <c r="AI141" s="20">
        <f t="shared" si="16"/>
        <v>0</v>
      </c>
    </row>
    <row r="142" spans="1:35" ht="20.100000000000001" hidden="1" customHeight="1">
      <c r="A142" s="24" t="str">
        <f>ÖSSZES!$A$67</f>
        <v>Név19</v>
      </c>
      <c r="B142" s="19"/>
      <c r="C142" s="39" t="s">
        <v>2</v>
      </c>
      <c r="D142" s="39" t="s">
        <v>2</v>
      </c>
      <c r="E142" s="19"/>
      <c r="F142" s="19"/>
      <c r="G142" s="19"/>
      <c r="H142" s="19"/>
      <c r="I142" s="19"/>
      <c r="J142" s="19"/>
      <c r="K142" s="39" t="s">
        <v>2</v>
      </c>
      <c r="L142" s="39" t="s">
        <v>2</v>
      </c>
      <c r="M142" s="19"/>
      <c r="N142" s="19"/>
      <c r="O142" s="19"/>
      <c r="P142" s="19"/>
      <c r="Q142" s="19"/>
      <c r="R142" s="19"/>
      <c r="S142" s="39" t="s">
        <v>2</v>
      </c>
      <c r="T142" s="39" t="s">
        <v>2</v>
      </c>
      <c r="U142" s="19"/>
      <c r="V142" s="19"/>
      <c r="W142" s="19"/>
      <c r="X142" s="19"/>
      <c r="Y142" s="19"/>
      <c r="Z142" s="19"/>
      <c r="AA142" s="39" t="s">
        <v>2</v>
      </c>
      <c r="AB142" s="39" t="s">
        <v>2</v>
      </c>
      <c r="AC142" s="19"/>
      <c r="AD142" s="19"/>
      <c r="AE142" s="19"/>
      <c r="AF142" s="6"/>
      <c r="AH142" s="20">
        <f t="shared" si="15"/>
        <v>0</v>
      </c>
      <c r="AI142" s="20">
        <f t="shared" si="16"/>
        <v>0</v>
      </c>
    </row>
    <row r="143" spans="1:35" ht="20.100000000000001" hidden="1" customHeight="1">
      <c r="A143" s="24" t="str">
        <f>ÖSSZES!$A$68</f>
        <v>Név20</v>
      </c>
      <c r="B143" s="19"/>
      <c r="C143" s="39" t="s">
        <v>2</v>
      </c>
      <c r="D143" s="39" t="s">
        <v>2</v>
      </c>
      <c r="E143" s="19"/>
      <c r="F143" s="19"/>
      <c r="G143" s="19"/>
      <c r="H143" s="19"/>
      <c r="I143" s="19"/>
      <c r="J143" s="19"/>
      <c r="K143" s="39" t="s">
        <v>2</v>
      </c>
      <c r="L143" s="39" t="s">
        <v>2</v>
      </c>
      <c r="M143" s="19"/>
      <c r="N143" s="19"/>
      <c r="O143" s="19"/>
      <c r="P143" s="19"/>
      <c r="Q143" s="19"/>
      <c r="R143" s="19"/>
      <c r="S143" s="39" t="s">
        <v>2</v>
      </c>
      <c r="T143" s="39" t="s">
        <v>2</v>
      </c>
      <c r="U143" s="19"/>
      <c r="V143" s="19"/>
      <c r="W143" s="19"/>
      <c r="X143" s="19"/>
      <c r="Y143" s="19"/>
      <c r="Z143" s="19"/>
      <c r="AA143" s="39" t="s">
        <v>2</v>
      </c>
      <c r="AB143" s="39" t="s">
        <v>2</v>
      </c>
      <c r="AC143" s="19"/>
      <c r="AD143" s="19"/>
      <c r="AE143" s="19"/>
      <c r="AF143" s="6"/>
      <c r="AH143" s="20">
        <f t="shared" si="15"/>
        <v>0</v>
      </c>
      <c r="AI143" s="20">
        <f t="shared" si="16"/>
        <v>0</v>
      </c>
    </row>
    <row r="144" spans="1:35" ht="20.100000000000001" customHeight="1"/>
    <row r="145" spans="1:35" s="11" customFormat="1" ht="20.100000000000001" customHeight="1">
      <c r="A145" s="57" t="s">
        <v>11</v>
      </c>
      <c r="B145" s="23">
        <v>1</v>
      </c>
      <c r="C145" s="23">
        <v>2</v>
      </c>
      <c r="D145" s="23">
        <v>3</v>
      </c>
      <c r="E145" s="23">
        <v>4</v>
      </c>
      <c r="F145" s="23">
        <v>5</v>
      </c>
      <c r="G145" s="23">
        <v>6</v>
      </c>
      <c r="H145" s="23">
        <v>7</v>
      </c>
      <c r="I145" s="23">
        <v>8</v>
      </c>
      <c r="J145" s="23">
        <v>9</v>
      </c>
      <c r="K145" s="23">
        <v>10</v>
      </c>
      <c r="L145" s="23">
        <v>11</v>
      </c>
      <c r="M145" s="23">
        <v>12</v>
      </c>
      <c r="N145" s="23">
        <v>13</v>
      </c>
      <c r="O145" s="23">
        <v>14</v>
      </c>
      <c r="P145" s="23">
        <v>15</v>
      </c>
      <c r="Q145" s="23">
        <v>16</v>
      </c>
      <c r="R145" s="23">
        <v>17</v>
      </c>
      <c r="S145" s="23">
        <v>18</v>
      </c>
      <c r="T145" s="23">
        <v>19</v>
      </c>
      <c r="U145" s="23">
        <v>20</v>
      </c>
      <c r="V145" s="23">
        <v>21</v>
      </c>
      <c r="W145" s="23">
        <v>22</v>
      </c>
      <c r="X145" s="23">
        <v>23</v>
      </c>
      <c r="Y145" s="23">
        <v>24</v>
      </c>
      <c r="Z145" s="23">
        <v>25</v>
      </c>
      <c r="AA145" s="23">
        <v>26</v>
      </c>
      <c r="AB145" s="23">
        <v>27</v>
      </c>
      <c r="AC145" s="23">
        <v>28</v>
      </c>
      <c r="AD145" s="23">
        <v>29</v>
      </c>
      <c r="AE145" s="23">
        <v>30</v>
      </c>
      <c r="AF145" s="23">
        <v>31</v>
      </c>
      <c r="AH145" s="59" t="s">
        <v>18</v>
      </c>
      <c r="AI145" s="59" t="s">
        <v>19</v>
      </c>
    </row>
    <row r="146" spans="1:35" ht="20.100000000000001" customHeight="1">
      <c r="A146" s="61"/>
      <c r="B146" s="15" t="str">
        <f>'2021'!B52</f>
        <v>Cs</v>
      </c>
      <c r="C146" s="15" t="str">
        <f>'2021'!C52</f>
        <v>P</v>
      </c>
      <c r="D146" s="15" t="str">
        <f>'2021'!D52</f>
        <v>Szo</v>
      </c>
      <c r="E146" s="15" t="str">
        <f>'2021'!E52</f>
        <v>V</v>
      </c>
      <c r="F146" s="15" t="str">
        <f>'2021'!F52</f>
        <v>H</v>
      </c>
      <c r="G146" s="15" t="str">
        <f>'2021'!G52</f>
        <v>K</v>
      </c>
      <c r="H146" s="15" t="str">
        <f>'2021'!H52</f>
        <v>Sze</v>
      </c>
      <c r="I146" s="15" t="str">
        <f>'2021'!I52</f>
        <v>Cs</v>
      </c>
      <c r="J146" s="15" t="str">
        <f>'2021'!J52</f>
        <v>P</v>
      </c>
      <c r="K146" s="15" t="str">
        <f>'2021'!K52</f>
        <v>Szo</v>
      </c>
      <c r="L146" s="15" t="str">
        <f>'2021'!L52</f>
        <v>V</v>
      </c>
      <c r="M146" s="15" t="str">
        <f>'2021'!M52</f>
        <v>H</v>
      </c>
      <c r="N146" s="15" t="str">
        <f>'2021'!N52</f>
        <v>K</v>
      </c>
      <c r="O146" s="15" t="str">
        <f>'2021'!O52</f>
        <v>Sze</v>
      </c>
      <c r="P146" s="15" t="str">
        <f>'2021'!P52</f>
        <v>Cs</v>
      </c>
      <c r="Q146" s="15" t="str">
        <f>'2021'!Q52</f>
        <v>P</v>
      </c>
      <c r="R146" s="15" t="str">
        <f>'2021'!R52</f>
        <v>Szo</v>
      </c>
      <c r="S146" s="15" t="str">
        <f>'2021'!S52</f>
        <v>V</v>
      </c>
      <c r="T146" s="15" t="str">
        <f>'2021'!T52</f>
        <v>H</v>
      </c>
      <c r="U146" s="15" t="str">
        <f>'2021'!U52</f>
        <v>K</v>
      </c>
      <c r="V146" s="15" t="str">
        <f>'2021'!V52</f>
        <v>Sze</v>
      </c>
      <c r="W146" s="15" t="str">
        <f>'2021'!W52</f>
        <v>Cs</v>
      </c>
      <c r="X146" s="15" t="str">
        <f>'2021'!X52</f>
        <v>P</v>
      </c>
      <c r="Y146" s="15" t="str">
        <f>'2021'!Y52</f>
        <v>Szo</v>
      </c>
      <c r="Z146" s="15" t="str">
        <f>'2021'!Z52</f>
        <v>V</v>
      </c>
      <c r="AA146" s="15" t="str">
        <f>'2021'!AA52</f>
        <v>H</v>
      </c>
      <c r="AB146" s="15" t="str">
        <f>'2021'!AB52</f>
        <v>K</v>
      </c>
      <c r="AC146" s="15" t="str">
        <f>'2021'!AC52</f>
        <v>Sze</v>
      </c>
      <c r="AD146" s="15" t="str">
        <f>'2021'!AD52</f>
        <v>Cs</v>
      </c>
      <c r="AE146" s="15" t="str">
        <f>'2021'!AE52</f>
        <v>P</v>
      </c>
      <c r="AF146" s="15" t="str">
        <f>'2021'!AF52</f>
        <v>Szo</v>
      </c>
      <c r="AH146" s="60"/>
      <c r="AI146" s="60"/>
    </row>
    <row r="147" spans="1:35" ht="20.100000000000001" customHeight="1">
      <c r="A147" s="61"/>
      <c r="B147" s="15">
        <f>'2021'!B55</f>
        <v>2</v>
      </c>
      <c r="C147" s="15">
        <f>'2021'!C55</f>
        <v>2</v>
      </c>
      <c r="D147" s="15">
        <f>'2021'!D55</f>
        <v>2</v>
      </c>
      <c r="E147" s="15" t="str">
        <f>'2021'!E55</f>
        <v>X</v>
      </c>
      <c r="F147" s="15" t="str">
        <f>'2021'!F55</f>
        <v>X</v>
      </c>
      <c r="G147" s="15">
        <f>'2021'!G55</f>
        <v>1</v>
      </c>
      <c r="H147" s="15">
        <f>'2021'!H55</f>
        <v>1</v>
      </c>
      <c r="I147" s="15">
        <f>'2021'!I55</f>
        <v>1</v>
      </c>
      <c r="J147" s="15">
        <f>'2021'!J55</f>
        <v>1</v>
      </c>
      <c r="K147" s="15">
        <f>'2021'!K55</f>
        <v>1</v>
      </c>
      <c r="L147" s="15">
        <f>'2021'!L55</f>
        <v>1</v>
      </c>
      <c r="M147" s="15" t="str">
        <f>'2021'!M55</f>
        <v>X</v>
      </c>
      <c r="N147" s="15" t="str">
        <f>'2021'!N55</f>
        <v>X</v>
      </c>
      <c r="O147" s="15">
        <f>'2021'!O55</f>
        <v>3</v>
      </c>
      <c r="P147" s="15">
        <f>'2021'!P55</f>
        <v>3</v>
      </c>
      <c r="Q147" s="15">
        <f>'2021'!Q55</f>
        <v>3</v>
      </c>
      <c r="R147" s="15">
        <f>'2021'!R55</f>
        <v>3</v>
      </c>
      <c r="S147" s="15">
        <f>'2021'!S55</f>
        <v>3</v>
      </c>
      <c r="T147" s="15">
        <f>'2021'!T55</f>
        <v>3</v>
      </c>
      <c r="U147" s="15" t="str">
        <f>'2021'!U55</f>
        <v>X</v>
      </c>
      <c r="V147" s="15" t="str">
        <f>'2021'!V55</f>
        <v>X</v>
      </c>
      <c r="W147" s="15">
        <f>'2021'!W55</f>
        <v>2</v>
      </c>
      <c r="X147" s="15">
        <f>'2021'!X55</f>
        <v>2</v>
      </c>
      <c r="Y147" s="15">
        <f>'2021'!Y55</f>
        <v>2</v>
      </c>
      <c r="Z147" s="15">
        <f>'2021'!Z55</f>
        <v>2</v>
      </c>
      <c r="AA147" s="15">
        <f>'2021'!AA55</f>
        <v>2</v>
      </c>
      <c r="AB147" s="15">
        <f>'2021'!AB55</f>
        <v>2</v>
      </c>
      <c r="AC147" s="15" t="str">
        <f>'2021'!AC55</f>
        <v>X</v>
      </c>
      <c r="AD147" s="15" t="str">
        <f>'2021'!AD55</f>
        <v>X</v>
      </c>
      <c r="AE147" s="15">
        <f>'2021'!AE55</f>
        <v>1</v>
      </c>
      <c r="AF147" s="15">
        <f>'2021'!AF55</f>
        <v>1</v>
      </c>
      <c r="AH147" s="60"/>
      <c r="AI147" s="60"/>
    </row>
    <row r="148" spans="1:35" ht="20.100000000000001" customHeight="1">
      <c r="A148" s="24" t="str">
        <f>ÖSSZES!$A$49</f>
        <v>Kuik-Filep András</v>
      </c>
      <c r="B148" s="37"/>
      <c r="C148" s="37"/>
      <c r="D148" s="37"/>
      <c r="E148" s="39" t="s">
        <v>2</v>
      </c>
      <c r="F148" s="39" t="s">
        <v>2</v>
      </c>
      <c r="G148" s="37"/>
      <c r="H148" s="37"/>
      <c r="I148" s="37"/>
      <c r="J148" s="37"/>
      <c r="K148" s="37"/>
      <c r="L148" s="37"/>
      <c r="M148" s="39" t="s">
        <v>2</v>
      </c>
      <c r="N148" s="39" t="s">
        <v>2</v>
      </c>
      <c r="O148" s="37"/>
      <c r="P148" s="37"/>
      <c r="Q148" s="37"/>
      <c r="R148" s="37"/>
      <c r="S148" s="37"/>
      <c r="T148" s="37"/>
      <c r="U148" s="39" t="s">
        <v>2</v>
      </c>
      <c r="V148" s="39" t="s">
        <v>2</v>
      </c>
      <c r="W148" s="37"/>
      <c r="X148" s="37"/>
      <c r="Y148" s="37"/>
      <c r="Z148" s="37"/>
      <c r="AA148" s="37"/>
      <c r="AB148" s="37"/>
      <c r="AC148" s="39" t="s">
        <v>2</v>
      </c>
      <c r="AD148" s="39" t="s">
        <v>2</v>
      </c>
      <c r="AE148" s="37"/>
      <c r="AF148" s="37"/>
      <c r="AH148" s="20">
        <f>1*COUNTIF(A148:AF148,"+")</f>
        <v>0</v>
      </c>
      <c r="AI148" s="20">
        <f t="shared" ref="AI148" si="17">1*COUNTIF(B148:AF148,"szf")</f>
        <v>0</v>
      </c>
    </row>
    <row r="149" spans="1:35" ht="20.100000000000001" customHeight="1">
      <c r="A149" s="24" t="str">
        <f>ÖSSZES!$A$50</f>
        <v>Balogh Zsolt</v>
      </c>
      <c r="B149" s="37"/>
      <c r="C149" s="37"/>
      <c r="D149" s="37"/>
      <c r="E149" s="39" t="s">
        <v>2</v>
      </c>
      <c r="F149" s="39" t="s">
        <v>2</v>
      </c>
      <c r="G149" s="37"/>
      <c r="H149" s="37"/>
      <c r="I149" s="37"/>
      <c r="J149" s="37"/>
      <c r="K149" s="37"/>
      <c r="L149" s="37"/>
      <c r="M149" s="39" t="s">
        <v>2</v>
      </c>
      <c r="N149" s="39" t="s">
        <v>2</v>
      </c>
      <c r="O149" s="37"/>
      <c r="P149" s="37"/>
      <c r="Q149" s="37"/>
      <c r="R149" s="37"/>
      <c r="S149" s="37"/>
      <c r="T149" s="37"/>
      <c r="U149" s="39" t="s">
        <v>2</v>
      </c>
      <c r="V149" s="39" t="s">
        <v>2</v>
      </c>
      <c r="W149" s="37"/>
      <c r="X149" s="37"/>
      <c r="Y149" s="37"/>
      <c r="Z149" s="37"/>
      <c r="AA149" s="37"/>
      <c r="AB149" s="37"/>
      <c r="AC149" s="39" t="s">
        <v>2</v>
      </c>
      <c r="AD149" s="39" t="s">
        <v>2</v>
      </c>
      <c r="AE149" s="37"/>
      <c r="AF149" s="37"/>
      <c r="AH149" s="20">
        <f t="shared" ref="AH149:AH167" si="18">1*COUNTIF(A149:AF149,"+")</f>
        <v>0</v>
      </c>
      <c r="AI149" s="20">
        <f t="shared" ref="AI149:AI167" si="19">1*COUNTIF(B149:AF149,"szf")</f>
        <v>0</v>
      </c>
    </row>
    <row r="150" spans="1:35" ht="20.100000000000001" customHeight="1">
      <c r="A150" s="24" t="str">
        <f>ÖSSZES!$A$51</f>
        <v>Éliás Viktor</v>
      </c>
      <c r="B150" s="37"/>
      <c r="C150" s="37"/>
      <c r="D150" s="37"/>
      <c r="E150" s="39" t="s">
        <v>2</v>
      </c>
      <c r="F150" s="39" t="s">
        <v>2</v>
      </c>
      <c r="G150" s="37"/>
      <c r="H150" s="37"/>
      <c r="I150" s="37"/>
      <c r="J150" s="37"/>
      <c r="K150" s="37"/>
      <c r="L150" s="37"/>
      <c r="M150" s="39" t="s">
        <v>2</v>
      </c>
      <c r="N150" s="39" t="s">
        <v>2</v>
      </c>
      <c r="O150" s="37"/>
      <c r="P150" s="37"/>
      <c r="Q150" s="37"/>
      <c r="R150" s="37"/>
      <c r="S150" s="37"/>
      <c r="T150" s="37"/>
      <c r="U150" s="39" t="s">
        <v>2</v>
      </c>
      <c r="V150" s="39" t="s">
        <v>2</v>
      </c>
      <c r="W150" s="37"/>
      <c r="X150" s="37"/>
      <c r="Y150" s="37"/>
      <c r="Z150" s="37"/>
      <c r="AA150" s="37"/>
      <c r="AB150" s="37"/>
      <c r="AC150" s="39" t="s">
        <v>2</v>
      </c>
      <c r="AD150" s="39" t="s">
        <v>2</v>
      </c>
      <c r="AE150" s="37"/>
      <c r="AF150" s="37"/>
      <c r="AH150" s="20">
        <f t="shared" si="18"/>
        <v>0</v>
      </c>
      <c r="AI150" s="20">
        <f t="shared" si="19"/>
        <v>0</v>
      </c>
    </row>
    <row r="151" spans="1:35" ht="20.100000000000001" customHeight="1">
      <c r="A151" s="24" t="str">
        <f>ÖSSZES!$A$52</f>
        <v>Hadházi Kálmán</v>
      </c>
      <c r="B151" s="37"/>
      <c r="C151" s="37"/>
      <c r="D151" s="37"/>
      <c r="E151" s="39" t="s">
        <v>2</v>
      </c>
      <c r="F151" s="39" t="s">
        <v>2</v>
      </c>
      <c r="G151" s="37"/>
      <c r="H151" s="37"/>
      <c r="I151" s="37"/>
      <c r="J151" s="37"/>
      <c r="K151" s="37"/>
      <c r="L151" s="37"/>
      <c r="M151" s="39" t="s">
        <v>2</v>
      </c>
      <c r="N151" s="39" t="s">
        <v>2</v>
      </c>
      <c r="O151" s="37"/>
      <c r="P151" s="37"/>
      <c r="Q151" s="37"/>
      <c r="R151" s="37"/>
      <c r="S151" s="37"/>
      <c r="T151" s="37"/>
      <c r="U151" s="39" t="s">
        <v>2</v>
      </c>
      <c r="V151" s="39" t="s">
        <v>2</v>
      </c>
      <c r="W151" s="37"/>
      <c r="X151" s="37"/>
      <c r="Y151" s="37"/>
      <c r="Z151" s="37"/>
      <c r="AA151" s="37"/>
      <c r="AB151" s="37"/>
      <c r="AC151" s="39" t="s">
        <v>2</v>
      </c>
      <c r="AD151" s="39" t="s">
        <v>2</v>
      </c>
      <c r="AE151" s="37"/>
      <c r="AF151" s="37"/>
      <c r="AH151" s="20">
        <f t="shared" si="18"/>
        <v>0</v>
      </c>
      <c r="AI151" s="20">
        <f t="shared" si="19"/>
        <v>0</v>
      </c>
    </row>
    <row r="152" spans="1:35" ht="20.100000000000001" customHeight="1">
      <c r="A152" s="24" t="str">
        <f>ÖSSZES!$A$53</f>
        <v>Kiss Attila</v>
      </c>
      <c r="B152" s="37"/>
      <c r="C152" s="37"/>
      <c r="D152" s="37"/>
      <c r="E152" s="39" t="s">
        <v>2</v>
      </c>
      <c r="F152" s="39" t="s">
        <v>2</v>
      </c>
      <c r="G152" s="37"/>
      <c r="H152" s="37"/>
      <c r="I152" s="37"/>
      <c r="J152" s="37"/>
      <c r="K152" s="37"/>
      <c r="L152" s="37"/>
      <c r="M152" s="39" t="s">
        <v>2</v>
      </c>
      <c r="N152" s="39" t="s">
        <v>2</v>
      </c>
      <c r="O152" s="37"/>
      <c r="P152" s="37"/>
      <c r="Q152" s="37"/>
      <c r="R152" s="37"/>
      <c r="S152" s="37"/>
      <c r="T152" s="37"/>
      <c r="U152" s="39" t="s">
        <v>2</v>
      </c>
      <c r="V152" s="39" t="s">
        <v>2</v>
      </c>
      <c r="W152" s="37"/>
      <c r="X152" s="37"/>
      <c r="Y152" s="37"/>
      <c r="Z152" s="37"/>
      <c r="AA152" s="37"/>
      <c r="AB152" s="37"/>
      <c r="AC152" s="39" t="s">
        <v>2</v>
      </c>
      <c r="AD152" s="39" t="s">
        <v>2</v>
      </c>
      <c r="AE152" s="37"/>
      <c r="AF152" s="37"/>
      <c r="AH152" s="20">
        <f t="shared" si="18"/>
        <v>0</v>
      </c>
      <c r="AI152" s="20">
        <f t="shared" si="19"/>
        <v>0</v>
      </c>
    </row>
    <row r="153" spans="1:35" ht="20.100000000000001" customHeight="1">
      <c r="A153" s="24" t="str">
        <f>ÖSSZES!$A$54</f>
        <v>Serestyén Dániel</v>
      </c>
      <c r="B153" s="37"/>
      <c r="C153" s="37"/>
      <c r="D153" s="37"/>
      <c r="E153" s="39" t="s">
        <v>2</v>
      </c>
      <c r="F153" s="39" t="s">
        <v>2</v>
      </c>
      <c r="G153" s="37"/>
      <c r="H153" s="37"/>
      <c r="I153" s="37"/>
      <c r="J153" s="37"/>
      <c r="K153" s="37"/>
      <c r="L153" s="37"/>
      <c r="M153" s="39" t="s">
        <v>2</v>
      </c>
      <c r="N153" s="39" t="s">
        <v>2</v>
      </c>
      <c r="O153" s="37"/>
      <c r="P153" s="37"/>
      <c r="Q153" s="37"/>
      <c r="R153" s="37"/>
      <c r="S153" s="37"/>
      <c r="T153" s="37"/>
      <c r="U153" s="39" t="s">
        <v>2</v>
      </c>
      <c r="V153" s="39" t="s">
        <v>2</v>
      </c>
      <c r="W153" s="37"/>
      <c r="X153" s="37"/>
      <c r="Y153" s="37"/>
      <c r="Z153" s="37"/>
      <c r="AA153" s="37"/>
      <c r="AB153" s="37"/>
      <c r="AC153" s="39" t="s">
        <v>2</v>
      </c>
      <c r="AD153" s="39" t="s">
        <v>2</v>
      </c>
      <c r="AE153" s="37"/>
      <c r="AF153" s="37"/>
      <c r="AH153" s="20">
        <f t="shared" si="18"/>
        <v>0</v>
      </c>
      <c r="AI153" s="20">
        <f t="shared" si="19"/>
        <v>0</v>
      </c>
    </row>
    <row r="154" spans="1:35" ht="20.100000000000001" customHeight="1">
      <c r="A154" s="24" t="str">
        <f>ÖSSZES!$A$55</f>
        <v>Varga Imre</v>
      </c>
      <c r="B154" s="37"/>
      <c r="C154" s="37"/>
      <c r="D154" s="37"/>
      <c r="E154" s="39" t="s">
        <v>2</v>
      </c>
      <c r="F154" s="39" t="s">
        <v>2</v>
      </c>
      <c r="G154" s="37"/>
      <c r="H154" s="37"/>
      <c r="I154" s="37"/>
      <c r="J154" s="37"/>
      <c r="K154" s="37"/>
      <c r="L154" s="37"/>
      <c r="M154" s="39" t="s">
        <v>2</v>
      </c>
      <c r="N154" s="39" t="s">
        <v>2</v>
      </c>
      <c r="O154" s="37"/>
      <c r="P154" s="37"/>
      <c r="Q154" s="37"/>
      <c r="R154" s="37"/>
      <c r="S154" s="37"/>
      <c r="T154" s="37"/>
      <c r="U154" s="39" t="s">
        <v>2</v>
      </c>
      <c r="V154" s="39" t="s">
        <v>2</v>
      </c>
      <c r="W154" s="37"/>
      <c r="X154" s="37"/>
      <c r="Y154" s="37"/>
      <c r="Z154" s="37"/>
      <c r="AA154" s="37"/>
      <c r="AB154" s="37"/>
      <c r="AC154" s="39" t="s">
        <v>2</v>
      </c>
      <c r="AD154" s="39" t="s">
        <v>2</v>
      </c>
      <c r="AE154" s="37"/>
      <c r="AF154" s="37"/>
      <c r="AH154" s="20">
        <f t="shared" si="18"/>
        <v>0</v>
      </c>
      <c r="AI154" s="20">
        <f t="shared" si="19"/>
        <v>0</v>
      </c>
    </row>
    <row r="155" spans="1:35" ht="20.100000000000001" hidden="1" customHeight="1">
      <c r="A155" s="24" t="str">
        <f>ÖSSZES!$A$56</f>
        <v>Név8</v>
      </c>
      <c r="B155" s="37"/>
      <c r="C155" s="37"/>
      <c r="D155" s="37"/>
      <c r="E155" s="39" t="s">
        <v>2</v>
      </c>
      <c r="F155" s="39" t="s">
        <v>2</v>
      </c>
      <c r="G155" s="37"/>
      <c r="H155" s="37"/>
      <c r="I155" s="37"/>
      <c r="J155" s="37"/>
      <c r="K155" s="37"/>
      <c r="L155" s="37"/>
      <c r="M155" s="39" t="s">
        <v>2</v>
      </c>
      <c r="N155" s="39" t="s">
        <v>2</v>
      </c>
      <c r="O155" s="37"/>
      <c r="P155" s="37"/>
      <c r="Q155" s="37"/>
      <c r="R155" s="37"/>
      <c r="S155" s="37"/>
      <c r="T155" s="37"/>
      <c r="U155" s="39" t="s">
        <v>2</v>
      </c>
      <c r="V155" s="39" t="s">
        <v>2</v>
      </c>
      <c r="W155" s="37"/>
      <c r="X155" s="37"/>
      <c r="Y155" s="37"/>
      <c r="Z155" s="37"/>
      <c r="AA155" s="37"/>
      <c r="AB155" s="37"/>
      <c r="AC155" s="39" t="s">
        <v>2</v>
      </c>
      <c r="AD155" s="39" t="s">
        <v>2</v>
      </c>
      <c r="AE155" s="37"/>
      <c r="AF155" s="37"/>
      <c r="AH155" s="20">
        <f t="shared" si="18"/>
        <v>0</v>
      </c>
      <c r="AI155" s="20">
        <f t="shared" si="19"/>
        <v>0</v>
      </c>
    </row>
    <row r="156" spans="1:35" ht="20.100000000000001" hidden="1" customHeight="1">
      <c r="A156" s="24" t="str">
        <f>ÖSSZES!$A$57</f>
        <v>Név9</v>
      </c>
      <c r="B156" s="37"/>
      <c r="C156" s="37"/>
      <c r="D156" s="37"/>
      <c r="E156" s="39" t="s">
        <v>2</v>
      </c>
      <c r="F156" s="39" t="s">
        <v>2</v>
      </c>
      <c r="G156" s="37"/>
      <c r="H156" s="37"/>
      <c r="I156" s="37"/>
      <c r="J156" s="37"/>
      <c r="K156" s="37"/>
      <c r="L156" s="37"/>
      <c r="M156" s="39" t="s">
        <v>2</v>
      </c>
      <c r="N156" s="39" t="s">
        <v>2</v>
      </c>
      <c r="O156" s="37"/>
      <c r="P156" s="37"/>
      <c r="Q156" s="37"/>
      <c r="R156" s="37"/>
      <c r="S156" s="37"/>
      <c r="T156" s="37"/>
      <c r="U156" s="39" t="s">
        <v>2</v>
      </c>
      <c r="V156" s="39" t="s">
        <v>2</v>
      </c>
      <c r="W156" s="37"/>
      <c r="X156" s="37"/>
      <c r="Y156" s="37"/>
      <c r="Z156" s="37"/>
      <c r="AA156" s="37"/>
      <c r="AB156" s="37"/>
      <c r="AC156" s="39" t="s">
        <v>2</v>
      </c>
      <c r="AD156" s="39" t="s">
        <v>2</v>
      </c>
      <c r="AE156" s="37"/>
      <c r="AF156" s="37"/>
      <c r="AH156" s="20">
        <f t="shared" si="18"/>
        <v>0</v>
      </c>
      <c r="AI156" s="20">
        <f t="shared" si="19"/>
        <v>0</v>
      </c>
    </row>
    <row r="157" spans="1:35" ht="20.100000000000001" hidden="1" customHeight="1">
      <c r="A157" s="24" t="str">
        <f>ÖSSZES!$A$58</f>
        <v>Név10</v>
      </c>
      <c r="B157" s="37"/>
      <c r="C157" s="37"/>
      <c r="D157" s="37"/>
      <c r="E157" s="39" t="s">
        <v>2</v>
      </c>
      <c r="F157" s="39" t="s">
        <v>2</v>
      </c>
      <c r="G157" s="37"/>
      <c r="H157" s="37"/>
      <c r="I157" s="37"/>
      <c r="J157" s="37"/>
      <c r="K157" s="37"/>
      <c r="L157" s="37"/>
      <c r="M157" s="39" t="s">
        <v>2</v>
      </c>
      <c r="N157" s="39" t="s">
        <v>2</v>
      </c>
      <c r="O157" s="37"/>
      <c r="P157" s="37"/>
      <c r="Q157" s="37"/>
      <c r="R157" s="37"/>
      <c r="S157" s="37"/>
      <c r="T157" s="37"/>
      <c r="U157" s="39" t="s">
        <v>2</v>
      </c>
      <c r="V157" s="39" t="s">
        <v>2</v>
      </c>
      <c r="W157" s="37"/>
      <c r="X157" s="37"/>
      <c r="Y157" s="37"/>
      <c r="Z157" s="37"/>
      <c r="AA157" s="37"/>
      <c r="AB157" s="37"/>
      <c r="AC157" s="39" t="s">
        <v>2</v>
      </c>
      <c r="AD157" s="39" t="s">
        <v>2</v>
      </c>
      <c r="AE157" s="37"/>
      <c r="AF157" s="37"/>
      <c r="AH157" s="20">
        <f t="shared" si="18"/>
        <v>0</v>
      </c>
      <c r="AI157" s="20">
        <f t="shared" si="19"/>
        <v>0</v>
      </c>
    </row>
    <row r="158" spans="1:35" ht="20.100000000000001" hidden="1" customHeight="1">
      <c r="A158" s="24" t="str">
        <f>ÖSSZES!$A$59</f>
        <v>Név11</v>
      </c>
      <c r="B158" s="37"/>
      <c r="C158" s="37"/>
      <c r="D158" s="37"/>
      <c r="E158" s="39" t="s">
        <v>2</v>
      </c>
      <c r="F158" s="39" t="s">
        <v>2</v>
      </c>
      <c r="G158" s="37"/>
      <c r="H158" s="37"/>
      <c r="I158" s="37"/>
      <c r="J158" s="37"/>
      <c r="K158" s="37"/>
      <c r="L158" s="37"/>
      <c r="M158" s="39" t="s">
        <v>2</v>
      </c>
      <c r="N158" s="39" t="s">
        <v>2</v>
      </c>
      <c r="O158" s="37"/>
      <c r="P158" s="37"/>
      <c r="Q158" s="37"/>
      <c r="R158" s="37"/>
      <c r="S158" s="37"/>
      <c r="T158" s="37"/>
      <c r="U158" s="39" t="s">
        <v>2</v>
      </c>
      <c r="V158" s="39" t="s">
        <v>2</v>
      </c>
      <c r="W158" s="37"/>
      <c r="X158" s="37"/>
      <c r="Y158" s="37"/>
      <c r="Z158" s="37"/>
      <c r="AA158" s="37"/>
      <c r="AB158" s="37"/>
      <c r="AC158" s="39" t="s">
        <v>2</v>
      </c>
      <c r="AD158" s="39" t="s">
        <v>2</v>
      </c>
      <c r="AE158" s="37"/>
      <c r="AF158" s="37"/>
      <c r="AH158" s="20">
        <f t="shared" si="18"/>
        <v>0</v>
      </c>
      <c r="AI158" s="20">
        <f t="shared" si="19"/>
        <v>0</v>
      </c>
    </row>
    <row r="159" spans="1:35" ht="20.100000000000001" hidden="1" customHeight="1">
      <c r="A159" s="24" t="str">
        <f>ÖSSZES!$A$60</f>
        <v>Név12</v>
      </c>
      <c r="B159" s="37"/>
      <c r="C159" s="37"/>
      <c r="D159" s="37"/>
      <c r="E159" s="39" t="s">
        <v>2</v>
      </c>
      <c r="F159" s="39" t="s">
        <v>2</v>
      </c>
      <c r="G159" s="37"/>
      <c r="H159" s="37"/>
      <c r="I159" s="37"/>
      <c r="J159" s="37"/>
      <c r="K159" s="37"/>
      <c r="L159" s="37"/>
      <c r="M159" s="39" t="s">
        <v>2</v>
      </c>
      <c r="N159" s="39" t="s">
        <v>2</v>
      </c>
      <c r="O159" s="37"/>
      <c r="P159" s="37"/>
      <c r="Q159" s="37"/>
      <c r="R159" s="37"/>
      <c r="S159" s="37"/>
      <c r="T159" s="37"/>
      <c r="U159" s="39" t="s">
        <v>2</v>
      </c>
      <c r="V159" s="39" t="s">
        <v>2</v>
      </c>
      <c r="W159" s="37"/>
      <c r="X159" s="37"/>
      <c r="Y159" s="37"/>
      <c r="Z159" s="37"/>
      <c r="AA159" s="37"/>
      <c r="AB159" s="37"/>
      <c r="AC159" s="39" t="s">
        <v>2</v>
      </c>
      <c r="AD159" s="39" t="s">
        <v>2</v>
      </c>
      <c r="AE159" s="37"/>
      <c r="AF159" s="37"/>
      <c r="AH159" s="20">
        <f t="shared" si="18"/>
        <v>0</v>
      </c>
      <c r="AI159" s="20">
        <f t="shared" si="19"/>
        <v>0</v>
      </c>
    </row>
    <row r="160" spans="1:35" ht="20.100000000000001" hidden="1" customHeight="1">
      <c r="A160" s="24" t="str">
        <f>ÖSSZES!$A$61</f>
        <v>Név13</v>
      </c>
      <c r="B160" s="37"/>
      <c r="C160" s="37"/>
      <c r="D160" s="37"/>
      <c r="E160" s="39" t="s">
        <v>2</v>
      </c>
      <c r="F160" s="39" t="s">
        <v>2</v>
      </c>
      <c r="G160" s="37"/>
      <c r="H160" s="37"/>
      <c r="I160" s="37"/>
      <c r="J160" s="37"/>
      <c r="K160" s="37"/>
      <c r="L160" s="37"/>
      <c r="M160" s="39" t="s">
        <v>2</v>
      </c>
      <c r="N160" s="39" t="s">
        <v>2</v>
      </c>
      <c r="O160" s="37"/>
      <c r="P160" s="37"/>
      <c r="Q160" s="37"/>
      <c r="R160" s="37"/>
      <c r="S160" s="37"/>
      <c r="T160" s="37"/>
      <c r="U160" s="39" t="s">
        <v>2</v>
      </c>
      <c r="V160" s="39" t="s">
        <v>2</v>
      </c>
      <c r="W160" s="37"/>
      <c r="X160" s="37"/>
      <c r="Y160" s="37"/>
      <c r="Z160" s="37"/>
      <c r="AA160" s="37"/>
      <c r="AB160" s="37"/>
      <c r="AC160" s="39" t="s">
        <v>2</v>
      </c>
      <c r="AD160" s="39" t="s">
        <v>2</v>
      </c>
      <c r="AE160" s="37"/>
      <c r="AF160" s="37"/>
      <c r="AH160" s="20">
        <f t="shared" si="18"/>
        <v>0</v>
      </c>
      <c r="AI160" s="20">
        <f t="shared" si="19"/>
        <v>0</v>
      </c>
    </row>
    <row r="161" spans="1:35" ht="20.100000000000001" hidden="1" customHeight="1">
      <c r="A161" s="24" t="str">
        <f>ÖSSZES!$A$62</f>
        <v>Név14</v>
      </c>
      <c r="B161" s="37"/>
      <c r="C161" s="37"/>
      <c r="D161" s="37"/>
      <c r="E161" s="39" t="s">
        <v>2</v>
      </c>
      <c r="F161" s="39" t="s">
        <v>2</v>
      </c>
      <c r="G161" s="37"/>
      <c r="H161" s="37"/>
      <c r="I161" s="37"/>
      <c r="J161" s="37"/>
      <c r="K161" s="37"/>
      <c r="L161" s="37"/>
      <c r="M161" s="39" t="s">
        <v>2</v>
      </c>
      <c r="N161" s="39" t="s">
        <v>2</v>
      </c>
      <c r="O161" s="37"/>
      <c r="P161" s="37"/>
      <c r="Q161" s="37"/>
      <c r="R161" s="37"/>
      <c r="S161" s="37"/>
      <c r="T161" s="37"/>
      <c r="U161" s="39" t="s">
        <v>2</v>
      </c>
      <c r="V161" s="39" t="s">
        <v>2</v>
      </c>
      <c r="W161" s="37"/>
      <c r="X161" s="37"/>
      <c r="Y161" s="37"/>
      <c r="Z161" s="37"/>
      <c r="AA161" s="37"/>
      <c r="AB161" s="37"/>
      <c r="AC161" s="39" t="s">
        <v>2</v>
      </c>
      <c r="AD161" s="39" t="s">
        <v>2</v>
      </c>
      <c r="AE161" s="37"/>
      <c r="AF161" s="37"/>
      <c r="AH161" s="20">
        <f t="shared" si="18"/>
        <v>0</v>
      </c>
      <c r="AI161" s="20">
        <f t="shared" si="19"/>
        <v>0</v>
      </c>
    </row>
    <row r="162" spans="1:35" ht="20.100000000000001" hidden="1" customHeight="1">
      <c r="A162" s="24" t="str">
        <f>ÖSSZES!$A$63</f>
        <v>Név15</v>
      </c>
      <c r="B162" s="37"/>
      <c r="C162" s="37"/>
      <c r="D162" s="37"/>
      <c r="E162" s="39" t="s">
        <v>2</v>
      </c>
      <c r="F162" s="39" t="s">
        <v>2</v>
      </c>
      <c r="G162" s="37"/>
      <c r="H162" s="37"/>
      <c r="I162" s="37"/>
      <c r="J162" s="37"/>
      <c r="K162" s="37"/>
      <c r="L162" s="37"/>
      <c r="M162" s="39" t="s">
        <v>2</v>
      </c>
      <c r="N162" s="39" t="s">
        <v>2</v>
      </c>
      <c r="O162" s="37"/>
      <c r="P162" s="37"/>
      <c r="Q162" s="37"/>
      <c r="R162" s="37"/>
      <c r="S162" s="37"/>
      <c r="T162" s="37"/>
      <c r="U162" s="39" t="s">
        <v>2</v>
      </c>
      <c r="V162" s="39" t="s">
        <v>2</v>
      </c>
      <c r="W162" s="37"/>
      <c r="X162" s="37"/>
      <c r="Y162" s="37"/>
      <c r="Z162" s="37"/>
      <c r="AA162" s="37"/>
      <c r="AB162" s="37"/>
      <c r="AC162" s="39" t="s">
        <v>2</v>
      </c>
      <c r="AD162" s="39" t="s">
        <v>2</v>
      </c>
      <c r="AE162" s="37"/>
      <c r="AF162" s="37"/>
      <c r="AH162" s="20">
        <f t="shared" si="18"/>
        <v>0</v>
      </c>
      <c r="AI162" s="20">
        <f t="shared" si="19"/>
        <v>0</v>
      </c>
    </row>
    <row r="163" spans="1:35" ht="20.100000000000001" hidden="1" customHeight="1">
      <c r="A163" s="24" t="str">
        <f>ÖSSZES!$A$64</f>
        <v>Név16</v>
      </c>
      <c r="B163" s="37"/>
      <c r="C163" s="37"/>
      <c r="D163" s="37"/>
      <c r="E163" s="39" t="s">
        <v>2</v>
      </c>
      <c r="F163" s="39" t="s">
        <v>2</v>
      </c>
      <c r="G163" s="37"/>
      <c r="H163" s="37"/>
      <c r="I163" s="37"/>
      <c r="J163" s="37"/>
      <c r="K163" s="37"/>
      <c r="L163" s="37"/>
      <c r="M163" s="39" t="s">
        <v>2</v>
      </c>
      <c r="N163" s="39" t="s">
        <v>2</v>
      </c>
      <c r="O163" s="37"/>
      <c r="P163" s="37"/>
      <c r="Q163" s="37"/>
      <c r="R163" s="37"/>
      <c r="S163" s="37"/>
      <c r="T163" s="37"/>
      <c r="U163" s="39" t="s">
        <v>2</v>
      </c>
      <c r="V163" s="39" t="s">
        <v>2</v>
      </c>
      <c r="W163" s="37"/>
      <c r="X163" s="37"/>
      <c r="Y163" s="37"/>
      <c r="Z163" s="37"/>
      <c r="AA163" s="37"/>
      <c r="AB163" s="37"/>
      <c r="AC163" s="39" t="s">
        <v>2</v>
      </c>
      <c r="AD163" s="39" t="s">
        <v>2</v>
      </c>
      <c r="AE163" s="37"/>
      <c r="AF163" s="37"/>
      <c r="AH163" s="20">
        <f t="shared" si="18"/>
        <v>0</v>
      </c>
      <c r="AI163" s="20">
        <f t="shared" si="19"/>
        <v>0</v>
      </c>
    </row>
    <row r="164" spans="1:35" ht="20.100000000000001" hidden="1" customHeight="1">
      <c r="A164" s="24" t="str">
        <f>ÖSSZES!$A$65</f>
        <v>Név17</v>
      </c>
      <c r="B164" s="37"/>
      <c r="C164" s="37"/>
      <c r="D164" s="37"/>
      <c r="E164" s="39" t="s">
        <v>2</v>
      </c>
      <c r="F164" s="39" t="s">
        <v>2</v>
      </c>
      <c r="G164" s="37"/>
      <c r="H164" s="37"/>
      <c r="I164" s="37"/>
      <c r="J164" s="37"/>
      <c r="K164" s="37"/>
      <c r="L164" s="37"/>
      <c r="M164" s="39" t="s">
        <v>2</v>
      </c>
      <c r="N164" s="39" t="s">
        <v>2</v>
      </c>
      <c r="O164" s="37"/>
      <c r="P164" s="37"/>
      <c r="Q164" s="37"/>
      <c r="R164" s="37"/>
      <c r="S164" s="37"/>
      <c r="T164" s="37"/>
      <c r="U164" s="39" t="s">
        <v>2</v>
      </c>
      <c r="V164" s="39" t="s">
        <v>2</v>
      </c>
      <c r="W164" s="37"/>
      <c r="X164" s="37"/>
      <c r="Y164" s="37"/>
      <c r="Z164" s="37"/>
      <c r="AA164" s="37"/>
      <c r="AB164" s="37"/>
      <c r="AC164" s="39" t="s">
        <v>2</v>
      </c>
      <c r="AD164" s="39" t="s">
        <v>2</v>
      </c>
      <c r="AE164" s="37"/>
      <c r="AF164" s="37"/>
      <c r="AH164" s="20">
        <f t="shared" si="18"/>
        <v>0</v>
      </c>
      <c r="AI164" s="20">
        <f t="shared" si="19"/>
        <v>0</v>
      </c>
    </row>
    <row r="165" spans="1:35" ht="20.100000000000001" hidden="1" customHeight="1">
      <c r="A165" s="24" t="str">
        <f>ÖSSZES!$A$66</f>
        <v>Név18</v>
      </c>
      <c r="B165" s="37"/>
      <c r="C165" s="37"/>
      <c r="D165" s="37"/>
      <c r="E165" s="39" t="s">
        <v>2</v>
      </c>
      <c r="F165" s="39" t="s">
        <v>2</v>
      </c>
      <c r="G165" s="37"/>
      <c r="H165" s="37"/>
      <c r="I165" s="37"/>
      <c r="J165" s="37"/>
      <c r="K165" s="37"/>
      <c r="L165" s="37"/>
      <c r="M165" s="39" t="s">
        <v>2</v>
      </c>
      <c r="N165" s="39" t="s">
        <v>2</v>
      </c>
      <c r="O165" s="37"/>
      <c r="P165" s="37"/>
      <c r="Q165" s="37"/>
      <c r="R165" s="37"/>
      <c r="S165" s="37"/>
      <c r="T165" s="37"/>
      <c r="U165" s="39" t="s">
        <v>2</v>
      </c>
      <c r="V165" s="39" t="s">
        <v>2</v>
      </c>
      <c r="W165" s="37"/>
      <c r="X165" s="37"/>
      <c r="Y165" s="37"/>
      <c r="Z165" s="37"/>
      <c r="AA165" s="37"/>
      <c r="AB165" s="37"/>
      <c r="AC165" s="39" t="s">
        <v>2</v>
      </c>
      <c r="AD165" s="39" t="s">
        <v>2</v>
      </c>
      <c r="AE165" s="37"/>
      <c r="AF165" s="37"/>
      <c r="AH165" s="20">
        <f t="shared" si="18"/>
        <v>0</v>
      </c>
      <c r="AI165" s="20">
        <f t="shared" si="19"/>
        <v>0</v>
      </c>
    </row>
    <row r="166" spans="1:35" ht="20.100000000000001" hidden="1" customHeight="1">
      <c r="A166" s="24" t="str">
        <f>ÖSSZES!$A$67</f>
        <v>Név19</v>
      </c>
      <c r="B166" s="37"/>
      <c r="C166" s="37"/>
      <c r="D166" s="37"/>
      <c r="E166" s="39" t="s">
        <v>2</v>
      </c>
      <c r="F166" s="39" t="s">
        <v>2</v>
      </c>
      <c r="G166" s="37"/>
      <c r="H166" s="37"/>
      <c r="I166" s="37"/>
      <c r="J166" s="37"/>
      <c r="K166" s="37"/>
      <c r="L166" s="37"/>
      <c r="M166" s="39" t="s">
        <v>2</v>
      </c>
      <c r="N166" s="39" t="s">
        <v>2</v>
      </c>
      <c r="O166" s="37"/>
      <c r="P166" s="37"/>
      <c r="Q166" s="37"/>
      <c r="R166" s="37"/>
      <c r="S166" s="37"/>
      <c r="T166" s="37"/>
      <c r="U166" s="39" t="s">
        <v>2</v>
      </c>
      <c r="V166" s="39" t="s">
        <v>2</v>
      </c>
      <c r="W166" s="37"/>
      <c r="X166" s="37"/>
      <c r="Y166" s="37"/>
      <c r="Z166" s="37"/>
      <c r="AA166" s="37"/>
      <c r="AB166" s="37"/>
      <c r="AC166" s="39" t="s">
        <v>2</v>
      </c>
      <c r="AD166" s="39" t="s">
        <v>2</v>
      </c>
      <c r="AE166" s="37"/>
      <c r="AF166" s="37"/>
      <c r="AH166" s="20">
        <f t="shared" si="18"/>
        <v>0</v>
      </c>
      <c r="AI166" s="20">
        <f t="shared" si="19"/>
        <v>0</v>
      </c>
    </row>
    <row r="167" spans="1:35" ht="20.100000000000001" hidden="1" customHeight="1">
      <c r="A167" s="24" t="str">
        <f>ÖSSZES!$A$68</f>
        <v>Név20</v>
      </c>
      <c r="B167" s="37"/>
      <c r="C167" s="37"/>
      <c r="D167" s="37"/>
      <c r="E167" s="39" t="s">
        <v>2</v>
      </c>
      <c r="F167" s="39" t="s">
        <v>2</v>
      </c>
      <c r="G167" s="37"/>
      <c r="H167" s="37"/>
      <c r="I167" s="37"/>
      <c r="J167" s="37"/>
      <c r="K167" s="37"/>
      <c r="L167" s="37"/>
      <c r="M167" s="39" t="s">
        <v>2</v>
      </c>
      <c r="N167" s="39" t="s">
        <v>2</v>
      </c>
      <c r="O167" s="37"/>
      <c r="P167" s="37"/>
      <c r="Q167" s="37"/>
      <c r="R167" s="37"/>
      <c r="S167" s="37"/>
      <c r="T167" s="37"/>
      <c r="U167" s="39" t="s">
        <v>2</v>
      </c>
      <c r="V167" s="39" t="s">
        <v>2</v>
      </c>
      <c r="W167" s="37"/>
      <c r="X167" s="37"/>
      <c r="Y167" s="37"/>
      <c r="Z167" s="37"/>
      <c r="AA167" s="37"/>
      <c r="AB167" s="37"/>
      <c r="AC167" s="39" t="s">
        <v>2</v>
      </c>
      <c r="AD167" s="39" t="s">
        <v>2</v>
      </c>
      <c r="AE167" s="37"/>
      <c r="AF167" s="37"/>
      <c r="AH167" s="20">
        <f t="shared" si="18"/>
        <v>0</v>
      </c>
      <c r="AI167" s="20">
        <f t="shared" si="19"/>
        <v>0</v>
      </c>
    </row>
    <row r="168" spans="1:35" ht="20.100000000000001" customHeight="1"/>
    <row r="169" spans="1:35" s="11" customFormat="1" ht="20.100000000000001" customHeight="1">
      <c r="A169" s="57" t="s">
        <v>12</v>
      </c>
      <c r="B169" s="23">
        <v>1</v>
      </c>
      <c r="C169" s="23">
        <v>2</v>
      </c>
      <c r="D169" s="23">
        <v>3</v>
      </c>
      <c r="E169" s="23">
        <v>4</v>
      </c>
      <c r="F169" s="23">
        <v>5</v>
      </c>
      <c r="G169" s="23">
        <v>6</v>
      </c>
      <c r="H169" s="23">
        <v>7</v>
      </c>
      <c r="I169" s="23">
        <v>8</v>
      </c>
      <c r="J169" s="23">
        <v>9</v>
      </c>
      <c r="K169" s="23">
        <v>10</v>
      </c>
      <c r="L169" s="23">
        <v>11</v>
      </c>
      <c r="M169" s="23">
        <v>12</v>
      </c>
      <c r="N169" s="23">
        <v>13</v>
      </c>
      <c r="O169" s="23">
        <v>14</v>
      </c>
      <c r="P169" s="23">
        <v>15</v>
      </c>
      <c r="Q169" s="23">
        <v>16</v>
      </c>
      <c r="R169" s="23">
        <v>17</v>
      </c>
      <c r="S169" s="23">
        <v>18</v>
      </c>
      <c r="T169" s="23">
        <v>19</v>
      </c>
      <c r="U169" s="25">
        <v>20</v>
      </c>
      <c r="V169" s="23">
        <v>21</v>
      </c>
      <c r="W169" s="23">
        <v>22</v>
      </c>
      <c r="X169" s="23">
        <v>23</v>
      </c>
      <c r="Y169" s="23">
        <v>24</v>
      </c>
      <c r="Z169" s="23">
        <v>25</v>
      </c>
      <c r="AA169" s="23">
        <v>26</v>
      </c>
      <c r="AB169" s="23">
        <v>27</v>
      </c>
      <c r="AC169" s="23">
        <v>28</v>
      </c>
      <c r="AD169" s="23">
        <v>29</v>
      </c>
      <c r="AE169" s="23">
        <v>30</v>
      </c>
      <c r="AF169" s="23">
        <v>31</v>
      </c>
      <c r="AH169" s="59" t="s">
        <v>18</v>
      </c>
      <c r="AI169" s="59" t="s">
        <v>19</v>
      </c>
    </row>
    <row r="170" spans="1:35" ht="20.100000000000001" customHeight="1">
      <c r="A170" s="61"/>
      <c r="B170" s="15" t="str">
        <f>'2021'!B60</f>
        <v>V</v>
      </c>
      <c r="C170" s="15" t="str">
        <f>'2021'!C60</f>
        <v>H</v>
      </c>
      <c r="D170" s="15" t="str">
        <f>'2021'!D60</f>
        <v>K</v>
      </c>
      <c r="E170" s="15" t="str">
        <f>'2021'!E60</f>
        <v>Sze</v>
      </c>
      <c r="F170" s="15" t="str">
        <f>'2021'!F60</f>
        <v>Cs</v>
      </c>
      <c r="G170" s="15" t="str">
        <f>'2021'!G60</f>
        <v>P</v>
      </c>
      <c r="H170" s="15" t="str">
        <f>'2021'!H60</f>
        <v>Szo</v>
      </c>
      <c r="I170" s="15" t="str">
        <f>'2021'!I60</f>
        <v>V</v>
      </c>
      <c r="J170" s="15" t="str">
        <f>'2021'!J60</f>
        <v>H</v>
      </c>
      <c r="K170" s="15" t="str">
        <f>'2021'!K60</f>
        <v>K</v>
      </c>
      <c r="L170" s="15" t="str">
        <f>'2021'!L60</f>
        <v>Sze</v>
      </c>
      <c r="M170" s="15" t="str">
        <f>'2021'!M60</f>
        <v>Cs</v>
      </c>
      <c r="N170" s="15" t="str">
        <f>'2021'!N60</f>
        <v>P</v>
      </c>
      <c r="O170" s="15" t="str">
        <f>'2021'!O60</f>
        <v>Szo</v>
      </c>
      <c r="P170" s="15" t="str">
        <f>'2021'!P60</f>
        <v>V</v>
      </c>
      <c r="Q170" s="15" t="str">
        <f>'2021'!Q60</f>
        <v>H</v>
      </c>
      <c r="R170" s="15" t="str">
        <f>'2021'!R60</f>
        <v>K</v>
      </c>
      <c r="S170" s="15" t="str">
        <f>'2021'!S60</f>
        <v>Sze</v>
      </c>
      <c r="T170" s="15" t="str">
        <f>'2021'!T60</f>
        <v>Cs</v>
      </c>
      <c r="U170" s="15" t="str">
        <f>'2021'!U60</f>
        <v>P</v>
      </c>
      <c r="V170" s="15" t="str">
        <f>'2021'!V60</f>
        <v>Szo</v>
      </c>
      <c r="W170" s="15" t="str">
        <f>'2021'!W60</f>
        <v>V</v>
      </c>
      <c r="X170" s="15" t="str">
        <f>'2021'!X60</f>
        <v>H</v>
      </c>
      <c r="Y170" s="15" t="str">
        <f>'2021'!Y60</f>
        <v>K</v>
      </c>
      <c r="Z170" s="15" t="str">
        <f>'2021'!Z60</f>
        <v>Sze</v>
      </c>
      <c r="AA170" s="15" t="str">
        <f>'2021'!AA60</f>
        <v>Cs</v>
      </c>
      <c r="AB170" s="15" t="str">
        <f>'2021'!AB60</f>
        <v>P</v>
      </c>
      <c r="AC170" s="15" t="str">
        <f>'2021'!AC60</f>
        <v>Szo</v>
      </c>
      <c r="AD170" s="15" t="str">
        <f>'2021'!AD60</f>
        <v>V</v>
      </c>
      <c r="AE170" s="15" t="str">
        <f>'2021'!AE60</f>
        <v>H</v>
      </c>
      <c r="AF170" s="15" t="str">
        <f>'2021'!AF60</f>
        <v>K</v>
      </c>
      <c r="AH170" s="60"/>
      <c r="AI170" s="60"/>
    </row>
    <row r="171" spans="1:35" ht="20.100000000000001" customHeight="1">
      <c r="A171" s="61"/>
      <c r="B171" s="15">
        <f>'2021'!B63</f>
        <v>1</v>
      </c>
      <c r="C171" s="15">
        <f>'2021'!C63</f>
        <v>1</v>
      </c>
      <c r="D171" s="15">
        <f>'2021'!D63</f>
        <v>1</v>
      </c>
      <c r="E171" s="15">
        <f>'2021'!E63</f>
        <v>1</v>
      </c>
      <c r="F171" s="15" t="str">
        <f>'2021'!F63</f>
        <v>X</v>
      </c>
      <c r="G171" s="15" t="str">
        <f>'2021'!G63</f>
        <v>X</v>
      </c>
      <c r="H171" s="15">
        <f>'2021'!H63</f>
        <v>3</v>
      </c>
      <c r="I171" s="15">
        <f>'2021'!I63</f>
        <v>3</v>
      </c>
      <c r="J171" s="15">
        <f>'2021'!J63</f>
        <v>3</v>
      </c>
      <c r="K171" s="15">
        <f>'2021'!K63</f>
        <v>3</v>
      </c>
      <c r="L171" s="15">
        <f>'2021'!L63</f>
        <v>3</v>
      </c>
      <c r="M171" s="15">
        <f>'2021'!M63</f>
        <v>3</v>
      </c>
      <c r="N171" s="15" t="str">
        <f>'2021'!N63</f>
        <v>X</v>
      </c>
      <c r="O171" s="15" t="str">
        <f>'2021'!O63</f>
        <v>X</v>
      </c>
      <c r="P171" s="15">
        <f>'2021'!P63</f>
        <v>2</v>
      </c>
      <c r="Q171" s="15">
        <f>'2021'!Q63</f>
        <v>2</v>
      </c>
      <c r="R171" s="15">
        <f>'2021'!R63</f>
        <v>2</v>
      </c>
      <c r="S171" s="15">
        <f>'2021'!S63</f>
        <v>2</v>
      </c>
      <c r="T171" s="15">
        <f>'2021'!T63</f>
        <v>2</v>
      </c>
      <c r="U171" s="15">
        <f>'2021'!U63</f>
        <v>2</v>
      </c>
      <c r="V171" s="15" t="str">
        <f>'2021'!V63</f>
        <v>X</v>
      </c>
      <c r="W171" s="15" t="str">
        <f>'2021'!W63</f>
        <v>X</v>
      </c>
      <c r="X171" s="15">
        <f>'2021'!X63</f>
        <v>1</v>
      </c>
      <c r="Y171" s="15">
        <f>'2021'!Y63</f>
        <v>1</v>
      </c>
      <c r="Z171" s="15">
        <f>'2021'!Z63</f>
        <v>1</v>
      </c>
      <c r="AA171" s="15">
        <f>'2021'!AA63</f>
        <v>1</v>
      </c>
      <c r="AB171" s="15">
        <f>'2021'!AB63</f>
        <v>1</v>
      </c>
      <c r="AC171" s="15">
        <f>'2021'!AC63</f>
        <v>1</v>
      </c>
      <c r="AD171" s="15" t="str">
        <f>'2021'!AD63</f>
        <v>X</v>
      </c>
      <c r="AE171" s="15" t="str">
        <f>'2021'!AE63</f>
        <v>X</v>
      </c>
      <c r="AF171" s="15">
        <f>'2021'!AF63</f>
        <v>3</v>
      </c>
      <c r="AH171" s="60"/>
      <c r="AI171" s="60"/>
    </row>
    <row r="172" spans="1:35" ht="20.100000000000001" customHeight="1">
      <c r="A172" s="24" t="str">
        <f>ÖSSZES!$A$49</f>
        <v>Kuik-Filep András</v>
      </c>
      <c r="B172" s="39"/>
      <c r="C172" s="39"/>
      <c r="D172" s="39"/>
      <c r="E172" s="39"/>
      <c r="F172" s="39" t="s">
        <v>2</v>
      </c>
      <c r="G172" s="39" t="s">
        <v>2</v>
      </c>
      <c r="H172" s="39"/>
      <c r="I172" s="39"/>
      <c r="J172" s="39"/>
      <c r="K172" s="39"/>
      <c r="L172" s="39"/>
      <c r="M172" s="39"/>
      <c r="N172" s="39" t="s">
        <v>2</v>
      </c>
      <c r="O172" s="39" t="s">
        <v>2</v>
      </c>
      <c r="P172" s="39"/>
      <c r="Q172" s="39"/>
      <c r="R172" s="39"/>
      <c r="S172" s="39"/>
      <c r="T172" s="39"/>
      <c r="U172" s="39"/>
      <c r="V172" s="39" t="s">
        <v>2</v>
      </c>
      <c r="W172" s="39" t="s">
        <v>2</v>
      </c>
      <c r="X172" s="39"/>
      <c r="Y172" s="39"/>
      <c r="Z172" s="39"/>
      <c r="AA172" s="39"/>
      <c r="AB172" s="39"/>
      <c r="AC172" s="39"/>
      <c r="AD172" s="39" t="s">
        <v>2</v>
      </c>
      <c r="AE172" s="39" t="s">
        <v>2</v>
      </c>
      <c r="AF172" s="37"/>
      <c r="AH172" s="20">
        <f>1*COUNTIF(A172:AF172,"+")</f>
        <v>0</v>
      </c>
      <c r="AI172" s="20">
        <f t="shared" ref="AI172" si="20">1*COUNTIF(B172:AF172,"szf")</f>
        <v>0</v>
      </c>
    </row>
    <row r="173" spans="1:35" ht="20.100000000000001" customHeight="1">
      <c r="A173" s="24" t="str">
        <f>ÖSSZES!$A$50</f>
        <v>Balogh Zsolt</v>
      </c>
      <c r="B173" s="39"/>
      <c r="C173" s="39"/>
      <c r="D173" s="39"/>
      <c r="E173" s="39"/>
      <c r="F173" s="39" t="s">
        <v>2</v>
      </c>
      <c r="G173" s="39" t="s">
        <v>2</v>
      </c>
      <c r="H173" s="39"/>
      <c r="I173" s="39"/>
      <c r="J173" s="39"/>
      <c r="K173" s="39"/>
      <c r="L173" s="39"/>
      <c r="M173" s="39"/>
      <c r="N173" s="39" t="s">
        <v>2</v>
      </c>
      <c r="O173" s="39" t="s">
        <v>2</v>
      </c>
      <c r="P173" s="39"/>
      <c r="Q173" s="39"/>
      <c r="R173" s="39"/>
      <c r="S173" s="39"/>
      <c r="T173" s="39"/>
      <c r="U173" s="39"/>
      <c r="V173" s="39" t="s">
        <v>2</v>
      </c>
      <c r="W173" s="39" t="s">
        <v>2</v>
      </c>
      <c r="X173" s="39"/>
      <c r="Y173" s="39"/>
      <c r="Z173" s="39"/>
      <c r="AA173" s="39"/>
      <c r="AB173" s="39"/>
      <c r="AC173" s="39"/>
      <c r="AD173" s="39" t="s">
        <v>2</v>
      </c>
      <c r="AE173" s="39" t="s">
        <v>2</v>
      </c>
      <c r="AF173" s="37"/>
      <c r="AH173" s="20">
        <f t="shared" ref="AH173:AH191" si="21">1*COUNTIF(A173:AF173,"+")</f>
        <v>0</v>
      </c>
      <c r="AI173" s="20">
        <f t="shared" ref="AI173:AI191" si="22">1*COUNTIF(B173:AF173,"szf")</f>
        <v>0</v>
      </c>
    </row>
    <row r="174" spans="1:35" ht="20.100000000000001" customHeight="1">
      <c r="A174" s="24" t="str">
        <f>ÖSSZES!$A$51</f>
        <v>Éliás Viktor</v>
      </c>
      <c r="B174" s="39"/>
      <c r="C174" s="39"/>
      <c r="D174" s="39"/>
      <c r="E174" s="39"/>
      <c r="F174" s="39" t="s">
        <v>2</v>
      </c>
      <c r="G174" s="39" t="s">
        <v>2</v>
      </c>
      <c r="H174" s="39"/>
      <c r="I174" s="39"/>
      <c r="J174" s="39"/>
      <c r="K174" s="39"/>
      <c r="L174" s="39"/>
      <c r="M174" s="39"/>
      <c r="N174" s="39" t="s">
        <v>2</v>
      </c>
      <c r="O174" s="39" t="s">
        <v>2</v>
      </c>
      <c r="P174" s="39"/>
      <c r="Q174" s="39"/>
      <c r="R174" s="39"/>
      <c r="S174" s="39"/>
      <c r="T174" s="39"/>
      <c r="U174" s="39"/>
      <c r="V174" s="39" t="s">
        <v>2</v>
      </c>
      <c r="W174" s="39" t="s">
        <v>2</v>
      </c>
      <c r="X174" s="39"/>
      <c r="Y174" s="39"/>
      <c r="Z174" s="39"/>
      <c r="AA174" s="39"/>
      <c r="AB174" s="39"/>
      <c r="AC174" s="39"/>
      <c r="AD174" s="39" t="s">
        <v>2</v>
      </c>
      <c r="AE174" s="39" t="s">
        <v>2</v>
      </c>
      <c r="AF174" s="37"/>
      <c r="AH174" s="20">
        <f t="shared" si="21"/>
        <v>0</v>
      </c>
      <c r="AI174" s="20">
        <f t="shared" si="22"/>
        <v>0</v>
      </c>
    </row>
    <row r="175" spans="1:35" ht="20.100000000000001" customHeight="1">
      <c r="A175" s="24" t="str">
        <f>ÖSSZES!$A$52</f>
        <v>Hadházi Kálmán</v>
      </c>
      <c r="B175" s="39"/>
      <c r="C175" s="39"/>
      <c r="D175" s="39"/>
      <c r="E175" s="39"/>
      <c r="F175" s="39" t="s">
        <v>2</v>
      </c>
      <c r="G175" s="39" t="s">
        <v>2</v>
      </c>
      <c r="H175" s="39"/>
      <c r="I175" s="39"/>
      <c r="J175" s="39"/>
      <c r="K175" s="39"/>
      <c r="L175" s="39"/>
      <c r="M175" s="39"/>
      <c r="N175" s="39" t="s">
        <v>2</v>
      </c>
      <c r="O175" s="39" t="s">
        <v>2</v>
      </c>
      <c r="P175" s="39"/>
      <c r="Q175" s="39"/>
      <c r="R175" s="39"/>
      <c r="S175" s="39"/>
      <c r="T175" s="39"/>
      <c r="U175" s="39"/>
      <c r="V175" s="39" t="s">
        <v>2</v>
      </c>
      <c r="W175" s="39" t="s">
        <v>2</v>
      </c>
      <c r="X175" s="39"/>
      <c r="Y175" s="39"/>
      <c r="Z175" s="39"/>
      <c r="AA175" s="39"/>
      <c r="AB175" s="39"/>
      <c r="AC175" s="39"/>
      <c r="AD175" s="39" t="s">
        <v>2</v>
      </c>
      <c r="AE175" s="39" t="s">
        <v>2</v>
      </c>
      <c r="AF175" s="37"/>
      <c r="AH175" s="20">
        <f t="shared" si="21"/>
        <v>0</v>
      </c>
      <c r="AI175" s="20">
        <f t="shared" si="22"/>
        <v>0</v>
      </c>
    </row>
    <row r="176" spans="1:35" ht="20.100000000000001" customHeight="1">
      <c r="A176" s="24" t="str">
        <f>ÖSSZES!$A$53</f>
        <v>Kiss Attila</v>
      </c>
      <c r="B176" s="39"/>
      <c r="C176" s="39"/>
      <c r="D176" s="39"/>
      <c r="E176" s="39"/>
      <c r="F176" s="39" t="s">
        <v>2</v>
      </c>
      <c r="G176" s="39" t="s">
        <v>2</v>
      </c>
      <c r="H176" s="39"/>
      <c r="I176" s="39"/>
      <c r="J176" s="39"/>
      <c r="K176" s="39"/>
      <c r="L176" s="39"/>
      <c r="M176" s="39"/>
      <c r="N176" s="39" t="s">
        <v>2</v>
      </c>
      <c r="O176" s="39" t="s">
        <v>2</v>
      </c>
      <c r="P176" s="39"/>
      <c r="Q176" s="39"/>
      <c r="R176" s="39"/>
      <c r="S176" s="39"/>
      <c r="T176" s="39"/>
      <c r="U176" s="39"/>
      <c r="V176" s="39" t="s">
        <v>2</v>
      </c>
      <c r="W176" s="39" t="s">
        <v>2</v>
      </c>
      <c r="X176" s="39"/>
      <c r="Y176" s="39"/>
      <c r="Z176" s="39"/>
      <c r="AA176" s="39"/>
      <c r="AB176" s="39"/>
      <c r="AC176" s="39"/>
      <c r="AD176" s="39" t="s">
        <v>2</v>
      </c>
      <c r="AE176" s="39" t="s">
        <v>2</v>
      </c>
      <c r="AF176" s="37"/>
      <c r="AH176" s="20">
        <f t="shared" si="21"/>
        <v>0</v>
      </c>
      <c r="AI176" s="20">
        <f t="shared" si="22"/>
        <v>0</v>
      </c>
    </row>
    <row r="177" spans="1:35" ht="20.100000000000001" customHeight="1">
      <c r="A177" s="24" t="str">
        <f>ÖSSZES!$A$54</f>
        <v>Serestyén Dániel</v>
      </c>
      <c r="B177" s="39"/>
      <c r="C177" s="39"/>
      <c r="D177" s="39"/>
      <c r="E177" s="39"/>
      <c r="F177" s="39" t="s">
        <v>2</v>
      </c>
      <c r="G177" s="39" t="s">
        <v>2</v>
      </c>
      <c r="H177" s="39"/>
      <c r="I177" s="39"/>
      <c r="J177" s="39"/>
      <c r="K177" s="39"/>
      <c r="L177" s="39"/>
      <c r="M177" s="39"/>
      <c r="N177" s="39" t="s">
        <v>2</v>
      </c>
      <c r="O177" s="39" t="s">
        <v>2</v>
      </c>
      <c r="P177" s="39"/>
      <c r="Q177" s="39"/>
      <c r="R177" s="39"/>
      <c r="S177" s="39"/>
      <c r="T177" s="39"/>
      <c r="U177" s="39"/>
      <c r="V177" s="39" t="s">
        <v>2</v>
      </c>
      <c r="W177" s="39" t="s">
        <v>2</v>
      </c>
      <c r="X177" s="39"/>
      <c r="Y177" s="39"/>
      <c r="Z177" s="39"/>
      <c r="AA177" s="39"/>
      <c r="AB177" s="39"/>
      <c r="AC177" s="39"/>
      <c r="AD177" s="39" t="s">
        <v>2</v>
      </c>
      <c r="AE177" s="39" t="s">
        <v>2</v>
      </c>
      <c r="AF177" s="37"/>
      <c r="AH177" s="20">
        <f t="shared" si="21"/>
        <v>0</v>
      </c>
      <c r="AI177" s="20">
        <f t="shared" si="22"/>
        <v>0</v>
      </c>
    </row>
    <row r="178" spans="1:35" ht="20.100000000000001" customHeight="1">
      <c r="A178" s="24" t="str">
        <f>ÖSSZES!$A$55</f>
        <v>Varga Imre</v>
      </c>
      <c r="B178" s="39"/>
      <c r="C178" s="39"/>
      <c r="D178" s="39"/>
      <c r="E178" s="39"/>
      <c r="F178" s="39" t="s">
        <v>2</v>
      </c>
      <c r="G178" s="39" t="s">
        <v>2</v>
      </c>
      <c r="H178" s="39"/>
      <c r="I178" s="39"/>
      <c r="J178" s="39"/>
      <c r="K178" s="39"/>
      <c r="L178" s="39"/>
      <c r="M178" s="39"/>
      <c r="N178" s="39" t="s">
        <v>2</v>
      </c>
      <c r="O178" s="39" t="s">
        <v>2</v>
      </c>
      <c r="P178" s="39"/>
      <c r="Q178" s="39"/>
      <c r="R178" s="39"/>
      <c r="S178" s="39"/>
      <c r="T178" s="39"/>
      <c r="U178" s="39"/>
      <c r="V178" s="39" t="s">
        <v>2</v>
      </c>
      <c r="W178" s="39" t="s">
        <v>2</v>
      </c>
      <c r="X178" s="39"/>
      <c r="Y178" s="39"/>
      <c r="Z178" s="39"/>
      <c r="AA178" s="39"/>
      <c r="AB178" s="39"/>
      <c r="AC178" s="39"/>
      <c r="AD178" s="39" t="s">
        <v>2</v>
      </c>
      <c r="AE178" s="39" t="s">
        <v>2</v>
      </c>
      <c r="AF178" s="37"/>
      <c r="AH178" s="20">
        <f t="shared" si="21"/>
        <v>0</v>
      </c>
      <c r="AI178" s="20">
        <f t="shared" si="22"/>
        <v>0</v>
      </c>
    </row>
    <row r="179" spans="1:35" ht="20.100000000000001" hidden="1" customHeight="1">
      <c r="A179" s="24" t="str">
        <f>ÖSSZES!$A$56</f>
        <v>Név8</v>
      </c>
      <c r="B179" s="39"/>
      <c r="C179" s="39"/>
      <c r="D179" s="39"/>
      <c r="E179" s="39"/>
      <c r="F179" s="39" t="s">
        <v>2</v>
      </c>
      <c r="G179" s="39" t="s">
        <v>2</v>
      </c>
      <c r="H179" s="39"/>
      <c r="I179" s="39"/>
      <c r="J179" s="39"/>
      <c r="K179" s="39"/>
      <c r="L179" s="39"/>
      <c r="M179" s="39"/>
      <c r="N179" s="39" t="s">
        <v>2</v>
      </c>
      <c r="O179" s="39" t="s">
        <v>2</v>
      </c>
      <c r="P179" s="39"/>
      <c r="Q179" s="39"/>
      <c r="R179" s="39"/>
      <c r="S179" s="39"/>
      <c r="T179" s="39"/>
      <c r="U179" s="39"/>
      <c r="V179" s="39" t="s">
        <v>2</v>
      </c>
      <c r="W179" s="39" t="s">
        <v>2</v>
      </c>
      <c r="X179" s="39"/>
      <c r="Y179" s="39"/>
      <c r="Z179" s="39"/>
      <c r="AA179" s="39"/>
      <c r="AB179" s="39"/>
      <c r="AC179" s="39"/>
      <c r="AD179" s="39" t="s">
        <v>2</v>
      </c>
      <c r="AE179" s="39" t="s">
        <v>2</v>
      </c>
      <c r="AF179" s="37"/>
      <c r="AH179" s="20">
        <f t="shared" si="21"/>
        <v>0</v>
      </c>
      <c r="AI179" s="20">
        <f t="shared" si="22"/>
        <v>0</v>
      </c>
    </row>
    <row r="180" spans="1:35" ht="20.100000000000001" hidden="1" customHeight="1">
      <c r="A180" s="24" t="str">
        <f>ÖSSZES!$A$57</f>
        <v>Név9</v>
      </c>
      <c r="B180" s="39"/>
      <c r="C180" s="39"/>
      <c r="D180" s="39"/>
      <c r="E180" s="39"/>
      <c r="F180" s="39" t="s">
        <v>2</v>
      </c>
      <c r="G180" s="39" t="s">
        <v>2</v>
      </c>
      <c r="H180" s="39"/>
      <c r="I180" s="39"/>
      <c r="J180" s="39"/>
      <c r="K180" s="39"/>
      <c r="L180" s="39"/>
      <c r="M180" s="39"/>
      <c r="N180" s="39" t="s">
        <v>2</v>
      </c>
      <c r="O180" s="39" t="s">
        <v>2</v>
      </c>
      <c r="P180" s="39"/>
      <c r="Q180" s="39"/>
      <c r="R180" s="39"/>
      <c r="S180" s="39"/>
      <c r="T180" s="39"/>
      <c r="U180" s="39"/>
      <c r="V180" s="39" t="s">
        <v>2</v>
      </c>
      <c r="W180" s="39" t="s">
        <v>2</v>
      </c>
      <c r="X180" s="39"/>
      <c r="Y180" s="39"/>
      <c r="Z180" s="39"/>
      <c r="AA180" s="39"/>
      <c r="AB180" s="39"/>
      <c r="AC180" s="39"/>
      <c r="AD180" s="39" t="s">
        <v>2</v>
      </c>
      <c r="AE180" s="39" t="s">
        <v>2</v>
      </c>
      <c r="AF180" s="37"/>
      <c r="AH180" s="20">
        <f t="shared" si="21"/>
        <v>0</v>
      </c>
      <c r="AI180" s="20">
        <f t="shared" si="22"/>
        <v>0</v>
      </c>
    </row>
    <row r="181" spans="1:35" ht="20.100000000000001" hidden="1" customHeight="1">
      <c r="A181" s="24" t="str">
        <f>ÖSSZES!$A$58</f>
        <v>Név10</v>
      </c>
      <c r="B181" s="39"/>
      <c r="C181" s="39"/>
      <c r="D181" s="39"/>
      <c r="E181" s="39"/>
      <c r="F181" s="39" t="s">
        <v>2</v>
      </c>
      <c r="G181" s="39" t="s">
        <v>2</v>
      </c>
      <c r="H181" s="39"/>
      <c r="I181" s="39"/>
      <c r="J181" s="39"/>
      <c r="K181" s="39"/>
      <c r="L181" s="39"/>
      <c r="M181" s="39"/>
      <c r="N181" s="39" t="s">
        <v>2</v>
      </c>
      <c r="O181" s="39" t="s">
        <v>2</v>
      </c>
      <c r="P181" s="39"/>
      <c r="Q181" s="39"/>
      <c r="R181" s="39"/>
      <c r="S181" s="39"/>
      <c r="T181" s="39"/>
      <c r="U181" s="39"/>
      <c r="V181" s="39" t="s">
        <v>2</v>
      </c>
      <c r="W181" s="39" t="s">
        <v>2</v>
      </c>
      <c r="X181" s="39"/>
      <c r="Y181" s="39"/>
      <c r="Z181" s="39"/>
      <c r="AA181" s="39"/>
      <c r="AB181" s="39"/>
      <c r="AC181" s="39"/>
      <c r="AD181" s="39" t="s">
        <v>2</v>
      </c>
      <c r="AE181" s="39" t="s">
        <v>2</v>
      </c>
      <c r="AF181" s="37"/>
      <c r="AH181" s="20">
        <f t="shared" si="21"/>
        <v>0</v>
      </c>
      <c r="AI181" s="20">
        <f t="shared" si="22"/>
        <v>0</v>
      </c>
    </row>
    <row r="182" spans="1:35" ht="20.100000000000001" hidden="1" customHeight="1">
      <c r="A182" s="24" t="str">
        <f>ÖSSZES!$A$59</f>
        <v>Név11</v>
      </c>
      <c r="B182" s="39"/>
      <c r="C182" s="39"/>
      <c r="D182" s="39"/>
      <c r="E182" s="39"/>
      <c r="F182" s="39" t="s">
        <v>2</v>
      </c>
      <c r="G182" s="39" t="s">
        <v>2</v>
      </c>
      <c r="H182" s="39"/>
      <c r="I182" s="39"/>
      <c r="J182" s="39"/>
      <c r="K182" s="39"/>
      <c r="L182" s="39"/>
      <c r="M182" s="39"/>
      <c r="N182" s="39" t="s">
        <v>2</v>
      </c>
      <c r="O182" s="39" t="s">
        <v>2</v>
      </c>
      <c r="P182" s="39"/>
      <c r="Q182" s="39"/>
      <c r="R182" s="39"/>
      <c r="S182" s="39"/>
      <c r="T182" s="39"/>
      <c r="U182" s="39"/>
      <c r="V182" s="39" t="s">
        <v>2</v>
      </c>
      <c r="W182" s="39" t="s">
        <v>2</v>
      </c>
      <c r="X182" s="39"/>
      <c r="Y182" s="39"/>
      <c r="Z182" s="39"/>
      <c r="AA182" s="39"/>
      <c r="AB182" s="39"/>
      <c r="AC182" s="39"/>
      <c r="AD182" s="39" t="s">
        <v>2</v>
      </c>
      <c r="AE182" s="39" t="s">
        <v>2</v>
      </c>
      <c r="AF182" s="37"/>
      <c r="AH182" s="20">
        <f t="shared" si="21"/>
        <v>0</v>
      </c>
      <c r="AI182" s="20">
        <f t="shared" si="22"/>
        <v>0</v>
      </c>
    </row>
    <row r="183" spans="1:35" ht="20.100000000000001" hidden="1" customHeight="1">
      <c r="A183" s="24" t="str">
        <f>ÖSSZES!$A$60</f>
        <v>Név12</v>
      </c>
      <c r="B183" s="39"/>
      <c r="C183" s="39"/>
      <c r="D183" s="39"/>
      <c r="E183" s="39"/>
      <c r="F183" s="39" t="s">
        <v>2</v>
      </c>
      <c r="G183" s="39" t="s">
        <v>2</v>
      </c>
      <c r="H183" s="39"/>
      <c r="I183" s="39"/>
      <c r="J183" s="39"/>
      <c r="K183" s="39"/>
      <c r="L183" s="39"/>
      <c r="M183" s="39"/>
      <c r="N183" s="39" t="s">
        <v>2</v>
      </c>
      <c r="O183" s="39" t="s">
        <v>2</v>
      </c>
      <c r="P183" s="39"/>
      <c r="Q183" s="39"/>
      <c r="R183" s="39"/>
      <c r="S183" s="39"/>
      <c r="T183" s="39"/>
      <c r="U183" s="39"/>
      <c r="V183" s="39" t="s">
        <v>2</v>
      </c>
      <c r="W183" s="39" t="s">
        <v>2</v>
      </c>
      <c r="X183" s="39"/>
      <c r="Y183" s="39"/>
      <c r="Z183" s="39"/>
      <c r="AA183" s="39"/>
      <c r="AB183" s="39"/>
      <c r="AC183" s="39"/>
      <c r="AD183" s="39" t="s">
        <v>2</v>
      </c>
      <c r="AE183" s="39" t="s">
        <v>2</v>
      </c>
      <c r="AF183" s="37"/>
      <c r="AH183" s="20">
        <f t="shared" si="21"/>
        <v>0</v>
      </c>
      <c r="AI183" s="20">
        <f t="shared" si="22"/>
        <v>0</v>
      </c>
    </row>
    <row r="184" spans="1:35" ht="20.100000000000001" hidden="1" customHeight="1">
      <c r="A184" s="24" t="str">
        <f>ÖSSZES!$A$61</f>
        <v>Név13</v>
      </c>
      <c r="B184" s="39"/>
      <c r="C184" s="39"/>
      <c r="D184" s="39"/>
      <c r="E184" s="39"/>
      <c r="F184" s="39" t="s">
        <v>2</v>
      </c>
      <c r="G184" s="39" t="s">
        <v>2</v>
      </c>
      <c r="H184" s="39"/>
      <c r="I184" s="39"/>
      <c r="J184" s="39"/>
      <c r="K184" s="39"/>
      <c r="L184" s="39"/>
      <c r="M184" s="39"/>
      <c r="N184" s="39" t="s">
        <v>2</v>
      </c>
      <c r="O184" s="39" t="s">
        <v>2</v>
      </c>
      <c r="P184" s="39"/>
      <c r="Q184" s="39"/>
      <c r="R184" s="39"/>
      <c r="S184" s="39"/>
      <c r="T184" s="39"/>
      <c r="U184" s="39"/>
      <c r="V184" s="39" t="s">
        <v>2</v>
      </c>
      <c r="W184" s="39" t="s">
        <v>2</v>
      </c>
      <c r="X184" s="39"/>
      <c r="Y184" s="39"/>
      <c r="Z184" s="39"/>
      <c r="AA184" s="39"/>
      <c r="AB184" s="39"/>
      <c r="AC184" s="39"/>
      <c r="AD184" s="39" t="s">
        <v>2</v>
      </c>
      <c r="AE184" s="39" t="s">
        <v>2</v>
      </c>
      <c r="AF184" s="37"/>
      <c r="AH184" s="20">
        <f t="shared" si="21"/>
        <v>0</v>
      </c>
      <c r="AI184" s="20">
        <f t="shared" si="22"/>
        <v>0</v>
      </c>
    </row>
    <row r="185" spans="1:35" ht="20.100000000000001" hidden="1" customHeight="1">
      <c r="A185" s="24" t="str">
        <f>ÖSSZES!$A$62</f>
        <v>Név14</v>
      </c>
      <c r="B185" s="39"/>
      <c r="C185" s="39"/>
      <c r="D185" s="39"/>
      <c r="E185" s="39"/>
      <c r="F185" s="39" t="s">
        <v>2</v>
      </c>
      <c r="G185" s="39" t="s">
        <v>2</v>
      </c>
      <c r="H185" s="39"/>
      <c r="I185" s="39"/>
      <c r="J185" s="39"/>
      <c r="K185" s="39"/>
      <c r="L185" s="39"/>
      <c r="M185" s="39"/>
      <c r="N185" s="39" t="s">
        <v>2</v>
      </c>
      <c r="O185" s="39" t="s">
        <v>2</v>
      </c>
      <c r="P185" s="39"/>
      <c r="Q185" s="39"/>
      <c r="R185" s="39"/>
      <c r="S185" s="39"/>
      <c r="T185" s="39"/>
      <c r="U185" s="39"/>
      <c r="V185" s="39" t="s">
        <v>2</v>
      </c>
      <c r="W185" s="39" t="s">
        <v>2</v>
      </c>
      <c r="X185" s="39"/>
      <c r="Y185" s="39"/>
      <c r="Z185" s="39"/>
      <c r="AA185" s="39"/>
      <c r="AB185" s="39"/>
      <c r="AC185" s="39"/>
      <c r="AD185" s="39" t="s">
        <v>2</v>
      </c>
      <c r="AE185" s="39" t="s">
        <v>2</v>
      </c>
      <c r="AF185" s="37"/>
      <c r="AH185" s="20">
        <f t="shared" si="21"/>
        <v>0</v>
      </c>
      <c r="AI185" s="20">
        <f t="shared" si="22"/>
        <v>0</v>
      </c>
    </row>
    <row r="186" spans="1:35" ht="20.100000000000001" hidden="1" customHeight="1">
      <c r="A186" s="24" t="str">
        <f>ÖSSZES!$A$63</f>
        <v>Név15</v>
      </c>
      <c r="B186" s="39"/>
      <c r="C186" s="39"/>
      <c r="D186" s="39"/>
      <c r="E186" s="39"/>
      <c r="F186" s="39" t="s">
        <v>2</v>
      </c>
      <c r="G186" s="39" t="s">
        <v>2</v>
      </c>
      <c r="H186" s="39"/>
      <c r="I186" s="39"/>
      <c r="J186" s="39"/>
      <c r="K186" s="39"/>
      <c r="L186" s="39"/>
      <c r="M186" s="39"/>
      <c r="N186" s="39" t="s">
        <v>2</v>
      </c>
      <c r="O186" s="39" t="s">
        <v>2</v>
      </c>
      <c r="P186" s="39"/>
      <c r="Q186" s="39"/>
      <c r="R186" s="39"/>
      <c r="S186" s="39"/>
      <c r="T186" s="39"/>
      <c r="U186" s="39"/>
      <c r="V186" s="39" t="s">
        <v>2</v>
      </c>
      <c r="W186" s="39" t="s">
        <v>2</v>
      </c>
      <c r="X186" s="39"/>
      <c r="Y186" s="39"/>
      <c r="Z186" s="39"/>
      <c r="AA186" s="39"/>
      <c r="AB186" s="39"/>
      <c r="AC186" s="39"/>
      <c r="AD186" s="39" t="s">
        <v>2</v>
      </c>
      <c r="AE186" s="39" t="s">
        <v>2</v>
      </c>
      <c r="AF186" s="37"/>
      <c r="AH186" s="20">
        <f t="shared" si="21"/>
        <v>0</v>
      </c>
      <c r="AI186" s="20">
        <f t="shared" si="22"/>
        <v>0</v>
      </c>
    </row>
    <row r="187" spans="1:35" ht="20.100000000000001" hidden="1" customHeight="1">
      <c r="A187" s="24" t="str">
        <f>ÖSSZES!$A$64</f>
        <v>Név16</v>
      </c>
      <c r="B187" s="39"/>
      <c r="C187" s="39"/>
      <c r="D187" s="39"/>
      <c r="E187" s="39"/>
      <c r="F187" s="39" t="s">
        <v>2</v>
      </c>
      <c r="G187" s="39" t="s">
        <v>2</v>
      </c>
      <c r="H187" s="39"/>
      <c r="I187" s="39"/>
      <c r="J187" s="39"/>
      <c r="K187" s="39"/>
      <c r="L187" s="39"/>
      <c r="M187" s="39"/>
      <c r="N187" s="39" t="s">
        <v>2</v>
      </c>
      <c r="O187" s="39" t="s">
        <v>2</v>
      </c>
      <c r="P187" s="39"/>
      <c r="Q187" s="39"/>
      <c r="R187" s="39"/>
      <c r="S187" s="39"/>
      <c r="T187" s="39"/>
      <c r="U187" s="39"/>
      <c r="V187" s="39" t="s">
        <v>2</v>
      </c>
      <c r="W187" s="39" t="s">
        <v>2</v>
      </c>
      <c r="X187" s="39"/>
      <c r="Y187" s="39"/>
      <c r="Z187" s="39"/>
      <c r="AA187" s="39"/>
      <c r="AB187" s="39"/>
      <c r="AC187" s="39"/>
      <c r="AD187" s="39" t="s">
        <v>2</v>
      </c>
      <c r="AE187" s="39" t="s">
        <v>2</v>
      </c>
      <c r="AF187" s="37"/>
      <c r="AH187" s="20">
        <f t="shared" si="21"/>
        <v>0</v>
      </c>
      <c r="AI187" s="20">
        <f t="shared" si="22"/>
        <v>0</v>
      </c>
    </row>
    <row r="188" spans="1:35" ht="20.100000000000001" hidden="1" customHeight="1">
      <c r="A188" s="24" t="str">
        <f>ÖSSZES!$A$65</f>
        <v>Név17</v>
      </c>
      <c r="B188" s="39"/>
      <c r="C188" s="39"/>
      <c r="D188" s="39"/>
      <c r="E188" s="39"/>
      <c r="F188" s="39" t="s">
        <v>2</v>
      </c>
      <c r="G188" s="39" t="s">
        <v>2</v>
      </c>
      <c r="H188" s="39"/>
      <c r="I188" s="39"/>
      <c r="J188" s="39"/>
      <c r="K188" s="39"/>
      <c r="L188" s="39"/>
      <c r="M188" s="39"/>
      <c r="N188" s="39" t="s">
        <v>2</v>
      </c>
      <c r="O188" s="39" t="s">
        <v>2</v>
      </c>
      <c r="P188" s="39"/>
      <c r="Q188" s="39"/>
      <c r="R188" s="39"/>
      <c r="S188" s="39"/>
      <c r="T188" s="39"/>
      <c r="U188" s="39"/>
      <c r="V188" s="39" t="s">
        <v>2</v>
      </c>
      <c r="W188" s="39" t="s">
        <v>2</v>
      </c>
      <c r="X188" s="39"/>
      <c r="Y188" s="39"/>
      <c r="Z188" s="39"/>
      <c r="AA188" s="39"/>
      <c r="AB188" s="39"/>
      <c r="AC188" s="39"/>
      <c r="AD188" s="39" t="s">
        <v>2</v>
      </c>
      <c r="AE188" s="39" t="s">
        <v>2</v>
      </c>
      <c r="AF188" s="37"/>
      <c r="AH188" s="20">
        <f t="shared" si="21"/>
        <v>0</v>
      </c>
      <c r="AI188" s="20">
        <f t="shared" si="22"/>
        <v>0</v>
      </c>
    </row>
    <row r="189" spans="1:35" ht="20.100000000000001" hidden="1" customHeight="1">
      <c r="A189" s="24" t="str">
        <f>ÖSSZES!$A$66</f>
        <v>Név18</v>
      </c>
      <c r="B189" s="39"/>
      <c r="C189" s="39"/>
      <c r="D189" s="39"/>
      <c r="E189" s="39"/>
      <c r="F189" s="39" t="s">
        <v>2</v>
      </c>
      <c r="G189" s="39" t="s">
        <v>2</v>
      </c>
      <c r="H189" s="39"/>
      <c r="I189" s="39"/>
      <c r="J189" s="39"/>
      <c r="K189" s="39"/>
      <c r="L189" s="39"/>
      <c r="M189" s="39"/>
      <c r="N189" s="39" t="s">
        <v>2</v>
      </c>
      <c r="O189" s="39" t="s">
        <v>2</v>
      </c>
      <c r="P189" s="39"/>
      <c r="Q189" s="39"/>
      <c r="R189" s="39"/>
      <c r="S189" s="39"/>
      <c r="T189" s="39"/>
      <c r="U189" s="39"/>
      <c r="V189" s="39" t="s">
        <v>2</v>
      </c>
      <c r="W189" s="39" t="s">
        <v>2</v>
      </c>
      <c r="X189" s="39"/>
      <c r="Y189" s="39"/>
      <c r="Z189" s="39"/>
      <c r="AA189" s="39"/>
      <c r="AB189" s="39"/>
      <c r="AC189" s="39"/>
      <c r="AD189" s="39" t="s">
        <v>2</v>
      </c>
      <c r="AE189" s="39" t="s">
        <v>2</v>
      </c>
      <c r="AF189" s="37"/>
      <c r="AH189" s="20">
        <f t="shared" si="21"/>
        <v>0</v>
      </c>
      <c r="AI189" s="20">
        <f t="shared" si="22"/>
        <v>0</v>
      </c>
    </row>
    <row r="190" spans="1:35" ht="20.100000000000001" hidden="1" customHeight="1">
      <c r="A190" s="24" t="str">
        <f>ÖSSZES!$A$67</f>
        <v>Név19</v>
      </c>
      <c r="B190" s="39"/>
      <c r="C190" s="39"/>
      <c r="D190" s="39"/>
      <c r="E190" s="39"/>
      <c r="F190" s="39" t="s">
        <v>2</v>
      </c>
      <c r="G190" s="39" t="s">
        <v>2</v>
      </c>
      <c r="H190" s="39"/>
      <c r="I190" s="39"/>
      <c r="J190" s="39"/>
      <c r="K190" s="39"/>
      <c r="L190" s="39"/>
      <c r="M190" s="39"/>
      <c r="N190" s="39" t="s">
        <v>2</v>
      </c>
      <c r="O190" s="39" t="s">
        <v>2</v>
      </c>
      <c r="P190" s="39"/>
      <c r="Q190" s="39"/>
      <c r="R190" s="39"/>
      <c r="S190" s="39"/>
      <c r="T190" s="39"/>
      <c r="U190" s="39"/>
      <c r="V190" s="39" t="s">
        <v>2</v>
      </c>
      <c r="W190" s="39" t="s">
        <v>2</v>
      </c>
      <c r="X190" s="39"/>
      <c r="Y190" s="39"/>
      <c r="Z190" s="39"/>
      <c r="AA190" s="39"/>
      <c r="AB190" s="39"/>
      <c r="AC190" s="39"/>
      <c r="AD190" s="39" t="s">
        <v>2</v>
      </c>
      <c r="AE190" s="39" t="s">
        <v>2</v>
      </c>
      <c r="AF190" s="37"/>
      <c r="AH190" s="20">
        <f t="shared" si="21"/>
        <v>0</v>
      </c>
      <c r="AI190" s="20">
        <f t="shared" si="22"/>
        <v>0</v>
      </c>
    </row>
    <row r="191" spans="1:35" ht="20.100000000000001" hidden="1" customHeight="1">
      <c r="A191" s="24" t="str">
        <f>ÖSSZES!$A$68</f>
        <v>Név20</v>
      </c>
      <c r="B191" s="39"/>
      <c r="C191" s="39"/>
      <c r="D191" s="39"/>
      <c r="E191" s="39"/>
      <c r="F191" s="39" t="s">
        <v>2</v>
      </c>
      <c r="G191" s="39" t="s">
        <v>2</v>
      </c>
      <c r="H191" s="39"/>
      <c r="I191" s="39"/>
      <c r="J191" s="39"/>
      <c r="K191" s="39"/>
      <c r="L191" s="39"/>
      <c r="M191" s="39"/>
      <c r="N191" s="39" t="s">
        <v>2</v>
      </c>
      <c r="O191" s="39" t="s">
        <v>2</v>
      </c>
      <c r="P191" s="39"/>
      <c r="Q191" s="39"/>
      <c r="R191" s="39"/>
      <c r="S191" s="39"/>
      <c r="T191" s="39"/>
      <c r="U191" s="39"/>
      <c r="V191" s="39" t="s">
        <v>2</v>
      </c>
      <c r="W191" s="39" t="s">
        <v>2</v>
      </c>
      <c r="X191" s="39"/>
      <c r="Y191" s="39"/>
      <c r="Z191" s="39"/>
      <c r="AA191" s="39"/>
      <c r="AB191" s="39"/>
      <c r="AC191" s="39"/>
      <c r="AD191" s="39" t="s">
        <v>2</v>
      </c>
      <c r="AE191" s="39" t="s">
        <v>2</v>
      </c>
      <c r="AF191" s="37"/>
      <c r="AH191" s="20">
        <f t="shared" si="21"/>
        <v>0</v>
      </c>
      <c r="AI191" s="20">
        <f t="shared" si="22"/>
        <v>0</v>
      </c>
    </row>
    <row r="192" spans="1:35" ht="20.100000000000001" customHeight="1"/>
    <row r="193" spans="1:35" s="11" customFormat="1" ht="20.100000000000001" customHeight="1">
      <c r="A193" s="57" t="s">
        <v>13</v>
      </c>
      <c r="B193" s="23">
        <v>1</v>
      </c>
      <c r="C193" s="23">
        <v>2</v>
      </c>
      <c r="D193" s="23">
        <v>3</v>
      </c>
      <c r="E193" s="23">
        <v>4</v>
      </c>
      <c r="F193" s="23">
        <v>5</v>
      </c>
      <c r="G193" s="23">
        <v>6</v>
      </c>
      <c r="H193" s="23">
        <v>7</v>
      </c>
      <c r="I193" s="23">
        <v>8</v>
      </c>
      <c r="J193" s="23">
        <v>9</v>
      </c>
      <c r="K193" s="23">
        <v>10</v>
      </c>
      <c r="L193" s="23">
        <v>11</v>
      </c>
      <c r="M193" s="23">
        <v>12</v>
      </c>
      <c r="N193" s="23">
        <v>13</v>
      </c>
      <c r="O193" s="23">
        <v>14</v>
      </c>
      <c r="P193" s="23">
        <v>15</v>
      </c>
      <c r="Q193" s="23">
        <v>16</v>
      </c>
      <c r="R193" s="23">
        <v>17</v>
      </c>
      <c r="S193" s="23">
        <v>18</v>
      </c>
      <c r="T193" s="23">
        <v>19</v>
      </c>
      <c r="U193" s="23">
        <v>20</v>
      </c>
      <c r="V193" s="23">
        <v>21</v>
      </c>
      <c r="W193" s="23">
        <v>22</v>
      </c>
      <c r="X193" s="23">
        <v>23</v>
      </c>
      <c r="Y193" s="23">
        <v>24</v>
      </c>
      <c r="Z193" s="23">
        <v>25</v>
      </c>
      <c r="AA193" s="23">
        <v>26</v>
      </c>
      <c r="AB193" s="23">
        <v>27</v>
      </c>
      <c r="AC193" s="23">
        <v>28</v>
      </c>
      <c r="AD193" s="23">
        <v>29</v>
      </c>
      <c r="AE193" s="23">
        <v>30</v>
      </c>
      <c r="AH193" s="59" t="s">
        <v>18</v>
      </c>
      <c r="AI193" s="59" t="s">
        <v>19</v>
      </c>
    </row>
    <row r="194" spans="1:35" ht="20.100000000000001" customHeight="1">
      <c r="A194" s="61"/>
      <c r="B194" s="15" t="str">
        <f>'2021'!B68</f>
        <v>Sze</v>
      </c>
      <c r="C194" s="15" t="str">
        <f>'2021'!C68</f>
        <v>Cs</v>
      </c>
      <c r="D194" s="15" t="str">
        <f>'2021'!D68</f>
        <v>P</v>
      </c>
      <c r="E194" s="15" t="str">
        <f>'2021'!E68</f>
        <v>Szo</v>
      </c>
      <c r="F194" s="15" t="str">
        <f>'2021'!F68</f>
        <v>V</v>
      </c>
      <c r="G194" s="15" t="str">
        <f>'2021'!G68</f>
        <v>H</v>
      </c>
      <c r="H194" s="15" t="str">
        <f>'2021'!H68</f>
        <v>K</v>
      </c>
      <c r="I194" s="15" t="str">
        <f>'2021'!I68</f>
        <v>Sze</v>
      </c>
      <c r="J194" s="15" t="str">
        <f>'2021'!J68</f>
        <v>Cs</v>
      </c>
      <c r="K194" s="15" t="str">
        <f>'2021'!K68</f>
        <v>P</v>
      </c>
      <c r="L194" s="15" t="str">
        <f>'2021'!L68</f>
        <v>Szo</v>
      </c>
      <c r="M194" s="15" t="str">
        <f>'2021'!M68</f>
        <v>V</v>
      </c>
      <c r="N194" s="15" t="str">
        <f>'2021'!N68</f>
        <v>H</v>
      </c>
      <c r="O194" s="15" t="str">
        <f>'2021'!O68</f>
        <v>K</v>
      </c>
      <c r="P194" s="15" t="str">
        <f>'2021'!P68</f>
        <v>Sze</v>
      </c>
      <c r="Q194" s="15" t="str">
        <f>'2021'!Q68</f>
        <v>Cs</v>
      </c>
      <c r="R194" s="15" t="str">
        <f>'2021'!R68</f>
        <v>P</v>
      </c>
      <c r="S194" s="15" t="str">
        <f>'2021'!S68</f>
        <v>Szo</v>
      </c>
      <c r="T194" s="15" t="str">
        <f>'2021'!T68</f>
        <v>V</v>
      </c>
      <c r="U194" s="15" t="str">
        <f>'2021'!U68</f>
        <v>H</v>
      </c>
      <c r="V194" s="15" t="str">
        <f>'2021'!V68</f>
        <v>K</v>
      </c>
      <c r="W194" s="15" t="str">
        <f>'2021'!W68</f>
        <v>Sze</v>
      </c>
      <c r="X194" s="15" t="str">
        <f>'2021'!X68</f>
        <v>Cs</v>
      </c>
      <c r="Y194" s="15" t="str">
        <f>'2021'!Y68</f>
        <v>P</v>
      </c>
      <c r="Z194" s="15" t="str">
        <f>'2021'!Z68</f>
        <v>Szo</v>
      </c>
      <c r="AA194" s="15" t="str">
        <f>'2021'!AA68</f>
        <v>V</v>
      </c>
      <c r="AB194" s="15" t="str">
        <f>'2021'!AB68</f>
        <v>H</v>
      </c>
      <c r="AC194" s="15" t="str">
        <f>'2021'!AC68</f>
        <v>K</v>
      </c>
      <c r="AD194" s="15" t="str">
        <f>'2021'!AD68</f>
        <v>Sze</v>
      </c>
      <c r="AE194" s="15" t="str">
        <f>'2021'!AE68</f>
        <v>Cs</v>
      </c>
      <c r="AF194" s="6"/>
      <c r="AH194" s="60"/>
      <c r="AI194" s="60"/>
    </row>
    <row r="195" spans="1:35" ht="20.100000000000001" customHeight="1">
      <c r="A195" s="61"/>
      <c r="B195" s="15">
        <f>'2021'!B71</f>
        <v>3</v>
      </c>
      <c r="C195" s="15">
        <f>'2021'!C71</f>
        <v>3</v>
      </c>
      <c r="D195" s="15">
        <f>'2021'!D71</f>
        <v>3</v>
      </c>
      <c r="E195" s="15">
        <f>'2021'!E71</f>
        <v>3</v>
      </c>
      <c r="F195" s="15">
        <f>'2021'!F71</f>
        <v>3</v>
      </c>
      <c r="G195" s="15" t="str">
        <f>'2021'!G71</f>
        <v>X</v>
      </c>
      <c r="H195" s="15" t="str">
        <f>'2021'!H71</f>
        <v>X</v>
      </c>
      <c r="I195" s="15">
        <f>'2021'!I71</f>
        <v>2</v>
      </c>
      <c r="J195" s="15">
        <f>'2021'!J71</f>
        <v>2</v>
      </c>
      <c r="K195" s="15">
        <f>'2021'!K71</f>
        <v>2</v>
      </c>
      <c r="L195" s="15">
        <f>'2021'!L71</f>
        <v>2</v>
      </c>
      <c r="M195" s="15">
        <f>'2021'!M71</f>
        <v>2</v>
      </c>
      <c r="N195" s="15">
        <f>'2021'!N71</f>
        <v>2</v>
      </c>
      <c r="O195" s="15" t="str">
        <f>'2021'!O71</f>
        <v>X</v>
      </c>
      <c r="P195" s="15" t="str">
        <f>'2021'!P71</f>
        <v>X</v>
      </c>
      <c r="Q195" s="15">
        <f>'2021'!Q71</f>
        <v>1</v>
      </c>
      <c r="R195" s="15">
        <f>'2021'!R71</f>
        <v>1</v>
      </c>
      <c r="S195" s="15">
        <f>'2021'!S71</f>
        <v>1</v>
      </c>
      <c r="T195" s="15">
        <f>'2021'!T71</f>
        <v>1</v>
      </c>
      <c r="U195" s="15">
        <f>'2021'!U71</f>
        <v>1</v>
      </c>
      <c r="V195" s="15">
        <f>'2021'!V71</f>
        <v>1</v>
      </c>
      <c r="W195" s="15" t="str">
        <f>'2021'!W71</f>
        <v>X</v>
      </c>
      <c r="X195" s="15" t="str">
        <f>'2021'!X71</f>
        <v>X</v>
      </c>
      <c r="Y195" s="15">
        <f>'2021'!Y71</f>
        <v>3</v>
      </c>
      <c r="Z195" s="15">
        <f>'2021'!Z71</f>
        <v>3</v>
      </c>
      <c r="AA195" s="15">
        <f>'2021'!AA71</f>
        <v>3</v>
      </c>
      <c r="AB195" s="15">
        <f>'2021'!AB71</f>
        <v>3</v>
      </c>
      <c r="AC195" s="15">
        <f>'2021'!AC71</f>
        <v>3</v>
      </c>
      <c r="AD195" s="15">
        <f>'2021'!AD71</f>
        <v>3</v>
      </c>
      <c r="AE195" s="15" t="str">
        <f>'2021'!AE71</f>
        <v>X</v>
      </c>
      <c r="AF195" s="6"/>
      <c r="AH195" s="60"/>
      <c r="AI195" s="60"/>
    </row>
    <row r="196" spans="1:35" ht="20.100000000000001" customHeight="1">
      <c r="A196" s="24" t="str">
        <f>ÖSSZES!$A$49</f>
        <v>Kuik-Filep András</v>
      </c>
      <c r="B196" s="39"/>
      <c r="C196" s="39"/>
      <c r="D196" s="39"/>
      <c r="E196" s="39"/>
      <c r="F196" s="39"/>
      <c r="G196" s="39" t="s">
        <v>2</v>
      </c>
      <c r="H196" s="39" t="s">
        <v>2</v>
      </c>
      <c r="I196" s="39"/>
      <c r="J196" s="39"/>
      <c r="K196" s="39"/>
      <c r="L196" s="39"/>
      <c r="M196" s="39"/>
      <c r="N196" s="39"/>
      <c r="O196" s="39" t="s">
        <v>2</v>
      </c>
      <c r="P196" s="39" t="s">
        <v>2</v>
      </c>
      <c r="Q196" s="39"/>
      <c r="R196" s="39"/>
      <c r="S196" s="39"/>
      <c r="T196" s="39"/>
      <c r="U196" s="39"/>
      <c r="V196" s="39"/>
      <c r="W196" s="39" t="s">
        <v>2</v>
      </c>
      <c r="X196" s="39" t="s">
        <v>2</v>
      </c>
      <c r="Y196" s="39"/>
      <c r="Z196" s="39"/>
      <c r="AA196" s="39"/>
      <c r="AB196" s="39"/>
      <c r="AC196" s="39"/>
      <c r="AD196" s="39"/>
      <c r="AE196" s="39" t="s">
        <v>2</v>
      </c>
      <c r="AF196" s="6"/>
      <c r="AH196" s="20">
        <f>1*COUNTIF(A196:AF196,"+")</f>
        <v>0</v>
      </c>
      <c r="AI196" s="20">
        <f t="shared" ref="AI196" si="23">1*COUNTIF(B196:AF196,"szf")</f>
        <v>0</v>
      </c>
    </row>
    <row r="197" spans="1:35" ht="20.100000000000001" customHeight="1">
      <c r="A197" s="24" t="str">
        <f>ÖSSZES!$A$50</f>
        <v>Balogh Zsolt</v>
      </c>
      <c r="B197" s="39"/>
      <c r="C197" s="39"/>
      <c r="D197" s="39"/>
      <c r="E197" s="39"/>
      <c r="F197" s="39"/>
      <c r="G197" s="39" t="s">
        <v>2</v>
      </c>
      <c r="H197" s="39" t="s">
        <v>2</v>
      </c>
      <c r="I197" s="39"/>
      <c r="J197" s="39"/>
      <c r="K197" s="39"/>
      <c r="L197" s="39"/>
      <c r="M197" s="39"/>
      <c r="N197" s="39"/>
      <c r="O197" s="39" t="s">
        <v>2</v>
      </c>
      <c r="P197" s="39" t="s">
        <v>2</v>
      </c>
      <c r="Q197" s="39"/>
      <c r="R197" s="39"/>
      <c r="S197" s="39"/>
      <c r="T197" s="39"/>
      <c r="U197" s="39"/>
      <c r="V197" s="39"/>
      <c r="W197" s="39" t="s">
        <v>2</v>
      </c>
      <c r="X197" s="39" t="s">
        <v>2</v>
      </c>
      <c r="Y197" s="39"/>
      <c r="Z197" s="39"/>
      <c r="AA197" s="39"/>
      <c r="AB197" s="39"/>
      <c r="AC197" s="39"/>
      <c r="AD197" s="39"/>
      <c r="AE197" s="39" t="s">
        <v>2</v>
      </c>
      <c r="AF197" s="6"/>
      <c r="AH197" s="20">
        <f t="shared" ref="AH197:AH215" si="24">1*COUNTIF(A197:AF197,"+")</f>
        <v>0</v>
      </c>
      <c r="AI197" s="20">
        <f t="shared" ref="AI197:AI215" si="25">1*COUNTIF(B197:AF197,"szf")</f>
        <v>0</v>
      </c>
    </row>
    <row r="198" spans="1:35" ht="20.100000000000001" customHeight="1">
      <c r="A198" s="24" t="str">
        <f>ÖSSZES!$A$51</f>
        <v>Éliás Viktor</v>
      </c>
      <c r="B198" s="39"/>
      <c r="C198" s="39"/>
      <c r="D198" s="39"/>
      <c r="E198" s="39"/>
      <c r="F198" s="39"/>
      <c r="G198" s="39" t="s">
        <v>2</v>
      </c>
      <c r="H198" s="39" t="s">
        <v>2</v>
      </c>
      <c r="I198" s="39"/>
      <c r="J198" s="39"/>
      <c r="K198" s="39"/>
      <c r="L198" s="39"/>
      <c r="M198" s="39"/>
      <c r="N198" s="39"/>
      <c r="O198" s="39" t="s">
        <v>2</v>
      </c>
      <c r="P198" s="39" t="s">
        <v>2</v>
      </c>
      <c r="Q198" s="39"/>
      <c r="R198" s="39"/>
      <c r="S198" s="39"/>
      <c r="T198" s="39"/>
      <c r="U198" s="39"/>
      <c r="V198" s="39"/>
      <c r="W198" s="39" t="s">
        <v>2</v>
      </c>
      <c r="X198" s="39" t="s">
        <v>2</v>
      </c>
      <c r="Y198" s="39"/>
      <c r="Z198" s="39"/>
      <c r="AA198" s="39"/>
      <c r="AB198" s="39"/>
      <c r="AC198" s="39"/>
      <c r="AD198" s="39"/>
      <c r="AE198" s="39" t="s">
        <v>2</v>
      </c>
      <c r="AF198" s="6"/>
      <c r="AH198" s="20">
        <f t="shared" si="24"/>
        <v>0</v>
      </c>
      <c r="AI198" s="20">
        <f t="shared" si="25"/>
        <v>0</v>
      </c>
    </row>
    <row r="199" spans="1:35" ht="20.100000000000001" customHeight="1">
      <c r="A199" s="24" t="str">
        <f>ÖSSZES!$A$52</f>
        <v>Hadházi Kálmán</v>
      </c>
      <c r="B199" s="39"/>
      <c r="C199" s="39"/>
      <c r="D199" s="39"/>
      <c r="E199" s="39"/>
      <c r="F199" s="39"/>
      <c r="G199" s="39" t="s">
        <v>2</v>
      </c>
      <c r="H199" s="39" t="s">
        <v>2</v>
      </c>
      <c r="I199" s="39"/>
      <c r="J199" s="39"/>
      <c r="K199" s="39"/>
      <c r="L199" s="39"/>
      <c r="M199" s="39"/>
      <c r="N199" s="39"/>
      <c r="O199" s="39" t="s">
        <v>2</v>
      </c>
      <c r="P199" s="39" t="s">
        <v>2</v>
      </c>
      <c r="Q199" s="39"/>
      <c r="R199" s="39"/>
      <c r="S199" s="39"/>
      <c r="T199" s="39"/>
      <c r="U199" s="39"/>
      <c r="V199" s="39"/>
      <c r="W199" s="39" t="s">
        <v>2</v>
      </c>
      <c r="X199" s="39" t="s">
        <v>2</v>
      </c>
      <c r="Y199" s="39"/>
      <c r="Z199" s="39"/>
      <c r="AA199" s="39"/>
      <c r="AB199" s="39"/>
      <c r="AC199" s="39"/>
      <c r="AD199" s="39"/>
      <c r="AE199" s="39" t="s">
        <v>2</v>
      </c>
      <c r="AF199" s="6"/>
      <c r="AH199" s="20">
        <f t="shared" si="24"/>
        <v>0</v>
      </c>
      <c r="AI199" s="20">
        <f t="shared" si="25"/>
        <v>0</v>
      </c>
    </row>
    <row r="200" spans="1:35" ht="20.100000000000001" customHeight="1">
      <c r="A200" s="24" t="str">
        <f>ÖSSZES!$A$53</f>
        <v>Kiss Attila</v>
      </c>
      <c r="B200" s="39"/>
      <c r="C200" s="39"/>
      <c r="D200" s="39"/>
      <c r="E200" s="39"/>
      <c r="F200" s="39"/>
      <c r="G200" s="39" t="s">
        <v>2</v>
      </c>
      <c r="H200" s="39" t="s">
        <v>2</v>
      </c>
      <c r="I200" s="39"/>
      <c r="J200" s="39"/>
      <c r="K200" s="39"/>
      <c r="L200" s="39"/>
      <c r="M200" s="39"/>
      <c r="N200" s="39"/>
      <c r="O200" s="39" t="s">
        <v>2</v>
      </c>
      <c r="P200" s="39" t="s">
        <v>2</v>
      </c>
      <c r="Q200" s="39"/>
      <c r="R200" s="39"/>
      <c r="S200" s="39"/>
      <c r="T200" s="39"/>
      <c r="U200" s="39"/>
      <c r="V200" s="39"/>
      <c r="W200" s="39" t="s">
        <v>2</v>
      </c>
      <c r="X200" s="39" t="s">
        <v>2</v>
      </c>
      <c r="Y200" s="39"/>
      <c r="Z200" s="39"/>
      <c r="AA200" s="39"/>
      <c r="AB200" s="39"/>
      <c r="AC200" s="39"/>
      <c r="AD200" s="39"/>
      <c r="AE200" s="39" t="s">
        <v>2</v>
      </c>
      <c r="AF200" s="6"/>
      <c r="AH200" s="20">
        <f t="shared" si="24"/>
        <v>0</v>
      </c>
      <c r="AI200" s="20">
        <f t="shared" si="25"/>
        <v>0</v>
      </c>
    </row>
    <row r="201" spans="1:35" ht="20.100000000000001" customHeight="1">
      <c r="A201" s="24" t="str">
        <f>ÖSSZES!$A$54</f>
        <v>Serestyén Dániel</v>
      </c>
      <c r="B201" s="39"/>
      <c r="C201" s="39"/>
      <c r="D201" s="39"/>
      <c r="E201" s="39"/>
      <c r="F201" s="39"/>
      <c r="G201" s="39" t="s">
        <v>2</v>
      </c>
      <c r="H201" s="39" t="s">
        <v>2</v>
      </c>
      <c r="I201" s="39"/>
      <c r="J201" s="39"/>
      <c r="K201" s="39"/>
      <c r="L201" s="39"/>
      <c r="M201" s="39"/>
      <c r="N201" s="39"/>
      <c r="O201" s="39" t="s">
        <v>2</v>
      </c>
      <c r="P201" s="39" t="s">
        <v>2</v>
      </c>
      <c r="Q201" s="39"/>
      <c r="R201" s="39"/>
      <c r="S201" s="39"/>
      <c r="T201" s="39"/>
      <c r="U201" s="39"/>
      <c r="V201" s="39"/>
      <c r="W201" s="39" t="s">
        <v>2</v>
      </c>
      <c r="X201" s="39" t="s">
        <v>2</v>
      </c>
      <c r="Y201" s="39"/>
      <c r="Z201" s="39"/>
      <c r="AA201" s="39"/>
      <c r="AB201" s="39"/>
      <c r="AC201" s="39"/>
      <c r="AD201" s="39"/>
      <c r="AE201" s="39" t="s">
        <v>2</v>
      </c>
      <c r="AF201" s="6"/>
      <c r="AH201" s="20">
        <f t="shared" si="24"/>
        <v>0</v>
      </c>
      <c r="AI201" s="20">
        <f t="shared" si="25"/>
        <v>0</v>
      </c>
    </row>
    <row r="202" spans="1:35" ht="20.100000000000001" customHeight="1">
      <c r="A202" s="24" t="str">
        <f>ÖSSZES!$A$55</f>
        <v>Varga Imre</v>
      </c>
      <c r="B202" s="39"/>
      <c r="C202" s="39"/>
      <c r="D202" s="39"/>
      <c r="E202" s="39"/>
      <c r="F202" s="39"/>
      <c r="G202" s="39" t="s">
        <v>2</v>
      </c>
      <c r="H202" s="39" t="s">
        <v>2</v>
      </c>
      <c r="I202" s="39"/>
      <c r="J202" s="39"/>
      <c r="K202" s="39"/>
      <c r="L202" s="39"/>
      <c r="M202" s="39"/>
      <c r="N202" s="39"/>
      <c r="O202" s="39" t="s">
        <v>2</v>
      </c>
      <c r="P202" s="39" t="s">
        <v>2</v>
      </c>
      <c r="Q202" s="39"/>
      <c r="R202" s="39"/>
      <c r="S202" s="39"/>
      <c r="T202" s="39"/>
      <c r="U202" s="39"/>
      <c r="V202" s="39"/>
      <c r="W202" s="39" t="s">
        <v>2</v>
      </c>
      <c r="X202" s="39" t="s">
        <v>2</v>
      </c>
      <c r="Y202" s="39"/>
      <c r="Z202" s="39"/>
      <c r="AA202" s="39"/>
      <c r="AB202" s="39"/>
      <c r="AC202" s="39"/>
      <c r="AD202" s="39"/>
      <c r="AE202" s="39" t="s">
        <v>2</v>
      </c>
      <c r="AF202" s="6"/>
      <c r="AH202" s="20">
        <f t="shared" si="24"/>
        <v>0</v>
      </c>
      <c r="AI202" s="20">
        <f t="shared" si="25"/>
        <v>0</v>
      </c>
    </row>
    <row r="203" spans="1:35" ht="20.100000000000001" hidden="1" customHeight="1">
      <c r="A203" s="24" t="str">
        <f>ÖSSZES!$A$56</f>
        <v>Név8</v>
      </c>
      <c r="B203" s="39"/>
      <c r="C203" s="39"/>
      <c r="D203" s="39"/>
      <c r="E203" s="39"/>
      <c r="F203" s="39"/>
      <c r="G203" s="39" t="s">
        <v>2</v>
      </c>
      <c r="H203" s="39" t="s">
        <v>2</v>
      </c>
      <c r="I203" s="39"/>
      <c r="J203" s="39"/>
      <c r="K203" s="39"/>
      <c r="L203" s="39"/>
      <c r="M203" s="39"/>
      <c r="N203" s="39"/>
      <c r="O203" s="39" t="s">
        <v>2</v>
      </c>
      <c r="P203" s="39" t="s">
        <v>2</v>
      </c>
      <c r="Q203" s="39"/>
      <c r="R203" s="39"/>
      <c r="S203" s="39"/>
      <c r="T203" s="39"/>
      <c r="U203" s="39"/>
      <c r="V203" s="39"/>
      <c r="W203" s="39" t="s">
        <v>2</v>
      </c>
      <c r="X203" s="39" t="s">
        <v>2</v>
      </c>
      <c r="Y203" s="39"/>
      <c r="Z203" s="39"/>
      <c r="AA203" s="39"/>
      <c r="AB203" s="39"/>
      <c r="AC203" s="39"/>
      <c r="AD203" s="39"/>
      <c r="AE203" s="39" t="s">
        <v>2</v>
      </c>
      <c r="AF203" s="6"/>
      <c r="AH203" s="20">
        <f t="shared" si="24"/>
        <v>0</v>
      </c>
      <c r="AI203" s="20">
        <f t="shared" si="25"/>
        <v>0</v>
      </c>
    </row>
    <row r="204" spans="1:35" ht="20.100000000000001" hidden="1" customHeight="1">
      <c r="A204" s="24" t="str">
        <f>ÖSSZES!$A$57</f>
        <v>Név9</v>
      </c>
      <c r="B204" s="39"/>
      <c r="C204" s="39"/>
      <c r="D204" s="39"/>
      <c r="E204" s="39"/>
      <c r="F204" s="39"/>
      <c r="G204" s="39" t="s">
        <v>2</v>
      </c>
      <c r="H204" s="39" t="s">
        <v>2</v>
      </c>
      <c r="I204" s="39"/>
      <c r="J204" s="39"/>
      <c r="K204" s="39"/>
      <c r="L204" s="39"/>
      <c r="M204" s="39"/>
      <c r="N204" s="39"/>
      <c r="O204" s="39" t="s">
        <v>2</v>
      </c>
      <c r="P204" s="39" t="s">
        <v>2</v>
      </c>
      <c r="Q204" s="39"/>
      <c r="R204" s="39"/>
      <c r="S204" s="39"/>
      <c r="T204" s="39"/>
      <c r="U204" s="39"/>
      <c r="V204" s="39"/>
      <c r="W204" s="39" t="s">
        <v>2</v>
      </c>
      <c r="X204" s="39" t="s">
        <v>2</v>
      </c>
      <c r="Y204" s="39"/>
      <c r="Z204" s="39"/>
      <c r="AA204" s="39"/>
      <c r="AB204" s="39"/>
      <c r="AC204" s="39"/>
      <c r="AD204" s="39"/>
      <c r="AE204" s="39" t="s">
        <v>2</v>
      </c>
      <c r="AF204" s="6"/>
      <c r="AH204" s="20">
        <f t="shared" si="24"/>
        <v>0</v>
      </c>
      <c r="AI204" s="20">
        <f t="shared" si="25"/>
        <v>0</v>
      </c>
    </row>
    <row r="205" spans="1:35" ht="20.100000000000001" hidden="1" customHeight="1">
      <c r="A205" s="24" t="str">
        <f>ÖSSZES!$A$58</f>
        <v>Név10</v>
      </c>
      <c r="B205" s="39"/>
      <c r="C205" s="39"/>
      <c r="D205" s="39"/>
      <c r="E205" s="39"/>
      <c r="F205" s="39"/>
      <c r="G205" s="39" t="s">
        <v>2</v>
      </c>
      <c r="H205" s="39" t="s">
        <v>2</v>
      </c>
      <c r="I205" s="39"/>
      <c r="J205" s="39"/>
      <c r="K205" s="39"/>
      <c r="L205" s="39"/>
      <c r="M205" s="39"/>
      <c r="N205" s="39"/>
      <c r="O205" s="39" t="s">
        <v>2</v>
      </c>
      <c r="P205" s="39" t="s">
        <v>2</v>
      </c>
      <c r="Q205" s="39"/>
      <c r="R205" s="39"/>
      <c r="S205" s="39"/>
      <c r="T205" s="39"/>
      <c r="U205" s="39"/>
      <c r="V205" s="39"/>
      <c r="W205" s="39" t="s">
        <v>2</v>
      </c>
      <c r="X205" s="39" t="s">
        <v>2</v>
      </c>
      <c r="Y205" s="39"/>
      <c r="Z205" s="39"/>
      <c r="AA205" s="39"/>
      <c r="AB205" s="39"/>
      <c r="AC205" s="39"/>
      <c r="AD205" s="39"/>
      <c r="AE205" s="39" t="s">
        <v>2</v>
      </c>
      <c r="AF205" s="6"/>
      <c r="AH205" s="20">
        <f t="shared" si="24"/>
        <v>0</v>
      </c>
      <c r="AI205" s="20">
        <f t="shared" si="25"/>
        <v>0</v>
      </c>
    </row>
    <row r="206" spans="1:35" ht="20.100000000000001" hidden="1" customHeight="1">
      <c r="A206" s="24" t="str">
        <f>ÖSSZES!$A$59</f>
        <v>Név11</v>
      </c>
      <c r="B206" s="39"/>
      <c r="C206" s="39"/>
      <c r="D206" s="39"/>
      <c r="E206" s="39"/>
      <c r="F206" s="39"/>
      <c r="G206" s="39" t="s">
        <v>2</v>
      </c>
      <c r="H206" s="39" t="s">
        <v>2</v>
      </c>
      <c r="I206" s="39"/>
      <c r="J206" s="39"/>
      <c r="K206" s="39"/>
      <c r="L206" s="39"/>
      <c r="M206" s="39"/>
      <c r="N206" s="39"/>
      <c r="O206" s="39" t="s">
        <v>2</v>
      </c>
      <c r="P206" s="39" t="s">
        <v>2</v>
      </c>
      <c r="Q206" s="39"/>
      <c r="R206" s="39"/>
      <c r="S206" s="39"/>
      <c r="T206" s="39"/>
      <c r="U206" s="39"/>
      <c r="V206" s="39"/>
      <c r="W206" s="39" t="s">
        <v>2</v>
      </c>
      <c r="X206" s="39" t="s">
        <v>2</v>
      </c>
      <c r="Y206" s="39"/>
      <c r="Z206" s="39"/>
      <c r="AA206" s="39"/>
      <c r="AB206" s="39"/>
      <c r="AC206" s="39"/>
      <c r="AD206" s="39"/>
      <c r="AE206" s="39" t="s">
        <v>2</v>
      </c>
      <c r="AF206" s="6"/>
      <c r="AH206" s="20">
        <f t="shared" si="24"/>
        <v>0</v>
      </c>
      <c r="AI206" s="20">
        <f t="shared" si="25"/>
        <v>0</v>
      </c>
    </row>
    <row r="207" spans="1:35" ht="20.100000000000001" hidden="1" customHeight="1">
      <c r="A207" s="24" t="str">
        <f>ÖSSZES!$A$60</f>
        <v>Név12</v>
      </c>
      <c r="B207" s="39"/>
      <c r="C207" s="39"/>
      <c r="D207" s="39"/>
      <c r="E207" s="39"/>
      <c r="F207" s="39"/>
      <c r="G207" s="39" t="s">
        <v>2</v>
      </c>
      <c r="H207" s="39" t="s">
        <v>2</v>
      </c>
      <c r="I207" s="39"/>
      <c r="J207" s="39"/>
      <c r="K207" s="39"/>
      <c r="L207" s="39"/>
      <c r="M207" s="39"/>
      <c r="N207" s="39"/>
      <c r="O207" s="39" t="s">
        <v>2</v>
      </c>
      <c r="P207" s="39" t="s">
        <v>2</v>
      </c>
      <c r="Q207" s="39"/>
      <c r="R207" s="39"/>
      <c r="S207" s="39"/>
      <c r="T207" s="39"/>
      <c r="U207" s="39"/>
      <c r="V207" s="39"/>
      <c r="W207" s="39" t="s">
        <v>2</v>
      </c>
      <c r="X207" s="39" t="s">
        <v>2</v>
      </c>
      <c r="Y207" s="39"/>
      <c r="Z207" s="39"/>
      <c r="AA207" s="39"/>
      <c r="AB207" s="39"/>
      <c r="AC207" s="39"/>
      <c r="AD207" s="39"/>
      <c r="AE207" s="39" t="s">
        <v>2</v>
      </c>
      <c r="AF207" s="6"/>
      <c r="AH207" s="20">
        <f t="shared" si="24"/>
        <v>0</v>
      </c>
      <c r="AI207" s="20">
        <f t="shared" si="25"/>
        <v>0</v>
      </c>
    </row>
    <row r="208" spans="1:35" ht="20.100000000000001" hidden="1" customHeight="1">
      <c r="A208" s="24" t="str">
        <f>ÖSSZES!$A$61</f>
        <v>Név13</v>
      </c>
      <c r="B208" s="39"/>
      <c r="C208" s="39"/>
      <c r="D208" s="39"/>
      <c r="E208" s="39"/>
      <c r="F208" s="39"/>
      <c r="G208" s="39" t="s">
        <v>2</v>
      </c>
      <c r="H208" s="39" t="s">
        <v>2</v>
      </c>
      <c r="I208" s="39"/>
      <c r="J208" s="39"/>
      <c r="K208" s="39"/>
      <c r="L208" s="39"/>
      <c r="M208" s="39"/>
      <c r="N208" s="39"/>
      <c r="O208" s="39" t="s">
        <v>2</v>
      </c>
      <c r="P208" s="39" t="s">
        <v>2</v>
      </c>
      <c r="Q208" s="39"/>
      <c r="R208" s="39"/>
      <c r="S208" s="39"/>
      <c r="T208" s="39"/>
      <c r="U208" s="39"/>
      <c r="V208" s="39"/>
      <c r="W208" s="39" t="s">
        <v>2</v>
      </c>
      <c r="X208" s="39" t="s">
        <v>2</v>
      </c>
      <c r="Y208" s="39"/>
      <c r="Z208" s="39"/>
      <c r="AA208" s="39"/>
      <c r="AB208" s="39"/>
      <c r="AC208" s="39"/>
      <c r="AD208" s="39"/>
      <c r="AE208" s="39" t="s">
        <v>2</v>
      </c>
      <c r="AF208" s="6"/>
      <c r="AH208" s="20">
        <f t="shared" si="24"/>
        <v>0</v>
      </c>
      <c r="AI208" s="20">
        <f t="shared" si="25"/>
        <v>0</v>
      </c>
    </row>
    <row r="209" spans="1:35" ht="20.100000000000001" hidden="1" customHeight="1">
      <c r="A209" s="24" t="str">
        <f>ÖSSZES!$A$62</f>
        <v>Név14</v>
      </c>
      <c r="B209" s="39"/>
      <c r="C209" s="39"/>
      <c r="D209" s="39"/>
      <c r="E209" s="39"/>
      <c r="F209" s="39"/>
      <c r="G209" s="39" t="s">
        <v>2</v>
      </c>
      <c r="H209" s="39" t="s">
        <v>2</v>
      </c>
      <c r="I209" s="39"/>
      <c r="J209" s="39"/>
      <c r="K209" s="39"/>
      <c r="L209" s="39"/>
      <c r="M209" s="39"/>
      <c r="N209" s="39"/>
      <c r="O209" s="39" t="s">
        <v>2</v>
      </c>
      <c r="P209" s="39" t="s">
        <v>2</v>
      </c>
      <c r="Q209" s="39"/>
      <c r="R209" s="39"/>
      <c r="S209" s="39"/>
      <c r="T209" s="39"/>
      <c r="U209" s="39"/>
      <c r="V209" s="39"/>
      <c r="W209" s="39" t="s">
        <v>2</v>
      </c>
      <c r="X209" s="39" t="s">
        <v>2</v>
      </c>
      <c r="Y209" s="39"/>
      <c r="Z209" s="39"/>
      <c r="AA209" s="39"/>
      <c r="AB209" s="39"/>
      <c r="AC209" s="39"/>
      <c r="AD209" s="39"/>
      <c r="AE209" s="39" t="s">
        <v>2</v>
      </c>
      <c r="AF209" s="6"/>
      <c r="AH209" s="20">
        <f t="shared" si="24"/>
        <v>0</v>
      </c>
      <c r="AI209" s="20">
        <f t="shared" si="25"/>
        <v>0</v>
      </c>
    </row>
    <row r="210" spans="1:35" ht="20.100000000000001" hidden="1" customHeight="1">
      <c r="A210" s="24" t="str">
        <f>ÖSSZES!$A$63</f>
        <v>Név15</v>
      </c>
      <c r="B210" s="39"/>
      <c r="C210" s="39"/>
      <c r="D210" s="39"/>
      <c r="E210" s="39"/>
      <c r="F210" s="39"/>
      <c r="G210" s="39" t="s">
        <v>2</v>
      </c>
      <c r="H210" s="39" t="s">
        <v>2</v>
      </c>
      <c r="I210" s="39"/>
      <c r="J210" s="39"/>
      <c r="K210" s="39"/>
      <c r="L210" s="39"/>
      <c r="M210" s="39"/>
      <c r="N210" s="39"/>
      <c r="O210" s="39" t="s">
        <v>2</v>
      </c>
      <c r="P210" s="39" t="s">
        <v>2</v>
      </c>
      <c r="Q210" s="39"/>
      <c r="R210" s="39"/>
      <c r="S210" s="39"/>
      <c r="T210" s="39"/>
      <c r="U210" s="39"/>
      <c r="V210" s="39"/>
      <c r="W210" s="39" t="s">
        <v>2</v>
      </c>
      <c r="X210" s="39" t="s">
        <v>2</v>
      </c>
      <c r="Y210" s="39"/>
      <c r="Z210" s="39"/>
      <c r="AA210" s="39"/>
      <c r="AB210" s="39"/>
      <c r="AC210" s="39"/>
      <c r="AD210" s="39"/>
      <c r="AE210" s="39" t="s">
        <v>2</v>
      </c>
      <c r="AF210" s="6"/>
      <c r="AH210" s="20">
        <f t="shared" si="24"/>
        <v>0</v>
      </c>
      <c r="AI210" s="20">
        <f t="shared" si="25"/>
        <v>0</v>
      </c>
    </row>
    <row r="211" spans="1:35" ht="20.100000000000001" hidden="1" customHeight="1">
      <c r="A211" s="24" t="str">
        <f>ÖSSZES!$A$64</f>
        <v>Név16</v>
      </c>
      <c r="B211" s="39"/>
      <c r="C211" s="39"/>
      <c r="D211" s="39"/>
      <c r="E211" s="39"/>
      <c r="F211" s="39"/>
      <c r="G211" s="39" t="s">
        <v>2</v>
      </c>
      <c r="H211" s="39" t="s">
        <v>2</v>
      </c>
      <c r="I211" s="39"/>
      <c r="J211" s="39"/>
      <c r="K211" s="39"/>
      <c r="L211" s="39"/>
      <c r="M211" s="39"/>
      <c r="N211" s="39"/>
      <c r="O211" s="39" t="s">
        <v>2</v>
      </c>
      <c r="P211" s="39" t="s">
        <v>2</v>
      </c>
      <c r="Q211" s="39"/>
      <c r="R211" s="39"/>
      <c r="S211" s="39"/>
      <c r="T211" s="39"/>
      <c r="U211" s="39"/>
      <c r="V211" s="39"/>
      <c r="W211" s="39" t="s">
        <v>2</v>
      </c>
      <c r="X211" s="39" t="s">
        <v>2</v>
      </c>
      <c r="Y211" s="39"/>
      <c r="Z211" s="39"/>
      <c r="AA211" s="39"/>
      <c r="AB211" s="39"/>
      <c r="AC211" s="39"/>
      <c r="AD211" s="39"/>
      <c r="AE211" s="39" t="s">
        <v>2</v>
      </c>
      <c r="AF211" s="6"/>
      <c r="AH211" s="20">
        <f t="shared" si="24"/>
        <v>0</v>
      </c>
      <c r="AI211" s="20">
        <f t="shared" si="25"/>
        <v>0</v>
      </c>
    </row>
    <row r="212" spans="1:35" ht="20.100000000000001" hidden="1" customHeight="1">
      <c r="A212" s="24" t="str">
        <f>ÖSSZES!$A$65</f>
        <v>Név17</v>
      </c>
      <c r="B212" s="39"/>
      <c r="C212" s="39"/>
      <c r="D212" s="39"/>
      <c r="E212" s="39"/>
      <c r="F212" s="39"/>
      <c r="G212" s="39" t="s">
        <v>2</v>
      </c>
      <c r="H212" s="39" t="s">
        <v>2</v>
      </c>
      <c r="I212" s="39"/>
      <c r="J212" s="39"/>
      <c r="K212" s="39"/>
      <c r="L212" s="39"/>
      <c r="M212" s="39"/>
      <c r="N212" s="39"/>
      <c r="O212" s="39" t="s">
        <v>2</v>
      </c>
      <c r="P212" s="39" t="s">
        <v>2</v>
      </c>
      <c r="Q212" s="39"/>
      <c r="R212" s="39"/>
      <c r="S212" s="39"/>
      <c r="T212" s="39"/>
      <c r="U212" s="39"/>
      <c r="V212" s="39"/>
      <c r="W212" s="39" t="s">
        <v>2</v>
      </c>
      <c r="X212" s="39" t="s">
        <v>2</v>
      </c>
      <c r="Y212" s="39"/>
      <c r="Z212" s="39"/>
      <c r="AA212" s="39"/>
      <c r="AB212" s="39"/>
      <c r="AC212" s="39"/>
      <c r="AD212" s="39"/>
      <c r="AE212" s="39" t="s">
        <v>2</v>
      </c>
      <c r="AF212" s="6"/>
      <c r="AH212" s="20">
        <f t="shared" si="24"/>
        <v>0</v>
      </c>
      <c r="AI212" s="20">
        <f t="shared" si="25"/>
        <v>0</v>
      </c>
    </row>
    <row r="213" spans="1:35" ht="20.100000000000001" hidden="1" customHeight="1">
      <c r="A213" s="24" t="str">
        <f>ÖSSZES!$A$66</f>
        <v>Név18</v>
      </c>
      <c r="B213" s="39"/>
      <c r="C213" s="39"/>
      <c r="D213" s="39"/>
      <c r="E213" s="39"/>
      <c r="F213" s="39"/>
      <c r="G213" s="39" t="s">
        <v>2</v>
      </c>
      <c r="H213" s="39" t="s">
        <v>2</v>
      </c>
      <c r="I213" s="39"/>
      <c r="J213" s="39"/>
      <c r="K213" s="39"/>
      <c r="L213" s="39"/>
      <c r="M213" s="39"/>
      <c r="N213" s="39"/>
      <c r="O213" s="39" t="s">
        <v>2</v>
      </c>
      <c r="P213" s="39" t="s">
        <v>2</v>
      </c>
      <c r="Q213" s="39"/>
      <c r="R213" s="39"/>
      <c r="S213" s="39"/>
      <c r="T213" s="39"/>
      <c r="U213" s="39"/>
      <c r="V213" s="39"/>
      <c r="W213" s="39" t="s">
        <v>2</v>
      </c>
      <c r="X213" s="39" t="s">
        <v>2</v>
      </c>
      <c r="Y213" s="39"/>
      <c r="Z213" s="39"/>
      <c r="AA213" s="39"/>
      <c r="AB213" s="39"/>
      <c r="AC213" s="39"/>
      <c r="AD213" s="39"/>
      <c r="AE213" s="39" t="s">
        <v>2</v>
      </c>
      <c r="AF213" s="6"/>
      <c r="AH213" s="20">
        <f t="shared" si="24"/>
        <v>0</v>
      </c>
      <c r="AI213" s="20">
        <f t="shared" si="25"/>
        <v>0</v>
      </c>
    </row>
    <row r="214" spans="1:35" ht="20.100000000000001" hidden="1" customHeight="1">
      <c r="A214" s="24" t="str">
        <f>ÖSSZES!$A$67</f>
        <v>Név19</v>
      </c>
      <c r="B214" s="39"/>
      <c r="C214" s="39"/>
      <c r="D214" s="39"/>
      <c r="E214" s="39"/>
      <c r="F214" s="39"/>
      <c r="G214" s="39" t="s">
        <v>2</v>
      </c>
      <c r="H214" s="39" t="s">
        <v>2</v>
      </c>
      <c r="I214" s="39"/>
      <c r="J214" s="39"/>
      <c r="K214" s="39"/>
      <c r="L214" s="39"/>
      <c r="M214" s="39"/>
      <c r="N214" s="39"/>
      <c r="O214" s="39" t="s">
        <v>2</v>
      </c>
      <c r="P214" s="39" t="s">
        <v>2</v>
      </c>
      <c r="Q214" s="39"/>
      <c r="R214" s="39"/>
      <c r="S214" s="39"/>
      <c r="T214" s="39"/>
      <c r="U214" s="39"/>
      <c r="V214" s="39"/>
      <c r="W214" s="39" t="s">
        <v>2</v>
      </c>
      <c r="X214" s="39" t="s">
        <v>2</v>
      </c>
      <c r="Y214" s="39"/>
      <c r="Z214" s="39"/>
      <c r="AA214" s="39"/>
      <c r="AB214" s="39"/>
      <c r="AC214" s="39"/>
      <c r="AD214" s="39"/>
      <c r="AE214" s="39" t="s">
        <v>2</v>
      </c>
      <c r="AF214" s="6"/>
      <c r="AH214" s="20">
        <f t="shared" si="24"/>
        <v>0</v>
      </c>
      <c r="AI214" s="20">
        <f t="shared" si="25"/>
        <v>0</v>
      </c>
    </row>
    <row r="215" spans="1:35" ht="20.100000000000001" hidden="1" customHeight="1">
      <c r="A215" s="24" t="str">
        <f>ÖSSZES!$A$68</f>
        <v>Név20</v>
      </c>
      <c r="B215" s="39"/>
      <c r="C215" s="39"/>
      <c r="D215" s="39"/>
      <c r="E215" s="39"/>
      <c r="F215" s="39"/>
      <c r="G215" s="39" t="s">
        <v>2</v>
      </c>
      <c r="H215" s="39" t="s">
        <v>2</v>
      </c>
      <c r="I215" s="39"/>
      <c r="J215" s="39"/>
      <c r="K215" s="39"/>
      <c r="L215" s="39"/>
      <c r="M215" s="39"/>
      <c r="N215" s="39"/>
      <c r="O215" s="39" t="s">
        <v>2</v>
      </c>
      <c r="P215" s="39" t="s">
        <v>2</v>
      </c>
      <c r="Q215" s="39"/>
      <c r="R215" s="39"/>
      <c r="S215" s="39"/>
      <c r="T215" s="39"/>
      <c r="U215" s="39"/>
      <c r="V215" s="39"/>
      <c r="W215" s="39" t="s">
        <v>2</v>
      </c>
      <c r="X215" s="39" t="s">
        <v>2</v>
      </c>
      <c r="Y215" s="39"/>
      <c r="Z215" s="39"/>
      <c r="AA215" s="39"/>
      <c r="AB215" s="39"/>
      <c r="AC215" s="39"/>
      <c r="AD215" s="39"/>
      <c r="AE215" s="39" t="s">
        <v>2</v>
      </c>
      <c r="AF215" s="6"/>
      <c r="AH215" s="20">
        <f t="shared" si="24"/>
        <v>0</v>
      </c>
      <c r="AI215" s="20">
        <f t="shared" si="25"/>
        <v>0</v>
      </c>
    </row>
    <row r="216" spans="1:35" ht="20.100000000000001" customHeight="1"/>
    <row r="217" spans="1:35" s="11" customFormat="1" ht="20.100000000000001" customHeight="1">
      <c r="A217" s="57" t="s">
        <v>14</v>
      </c>
      <c r="B217" s="23">
        <v>1</v>
      </c>
      <c r="C217" s="23">
        <v>2</v>
      </c>
      <c r="D217" s="23">
        <v>3</v>
      </c>
      <c r="E217" s="23">
        <v>4</v>
      </c>
      <c r="F217" s="23">
        <v>5</v>
      </c>
      <c r="G217" s="23">
        <v>6</v>
      </c>
      <c r="H217" s="23">
        <v>7</v>
      </c>
      <c r="I217" s="23">
        <v>8</v>
      </c>
      <c r="J217" s="23">
        <v>9</v>
      </c>
      <c r="K217" s="23">
        <v>10</v>
      </c>
      <c r="L217" s="23">
        <v>11</v>
      </c>
      <c r="M217" s="23">
        <v>12</v>
      </c>
      <c r="N217" s="23">
        <v>13</v>
      </c>
      <c r="O217" s="23">
        <v>14</v>
      </c>
      <c r="P217" s="23">
        <v>15</v>
      </c>
      <c r="Q217" s="23">
        <v>16</v>
      </c>
      <c r="R217" s="23">
        <v>17</v>
      </c>
      <c r="S217" s="23">
        <v>18</v>
      </c>
      <c r="T217" s="23">
        <v>19</v>
      </c>
      <c r="U217" s="23">
        <v>20</v>
      </c>
      <c r="V217" s="23">
        <v>21</v>
      </c>
      <c r="W217" s="23">
        <v>22</v>
      </c>
      <c r="X217" s="25">
        <v>23</v>
      </c>
      <c r="Y217" s="23">
        <v>24</v>
      </c>
      <c r="Z217" s="23">
        <v>25</v>
      </c>
      <c r="AA217" s="23">
        <v>26</v>
      </c>
      <c r="AB217" s="23">
        <v>27</v>
      </c>
      <c r="AC217" s="23">
        <v>28</v>
      </c>
      <c r="AD217" s="23">
        <v>29</v>
      </c>
      <c r="AE217" s="23">
        <v>30</v>
      </c>
      <c r="AF217" s="23">
        <v>31</v>
      </c>
      <c r="AH217" s="59" t="s">
        <v>18</v>
      </c>
      <c r="AI217" s="59" t="s">
        <v>19</v>
      </c>
    </row>
    <row r="218" spans="1:35" ht="20.100000000000001" customHeight="1">
      <c r="A218" s="61"/>
      <c r="B218" s="15" t="str">
        <f>'2021'!B76</f>
        <v>P</v>
      </c>
      <c r="C218" s="15" t="str">
        <f>'2021'!C76</f>
        <v>Szo</v>
      </c>
      <c r="D218" s="15" t="str">
        <f>'2021'!D76</f>
        <v>V</v>
      </c>
      <c r="E218" s="15" t="str">
        <f>'2021'!E76</f>
        <v>H</v>
      </c>
      <c r="F218" s="15" t="str">
        <f>'2021'!F76</f>
        <v>K</v>
      </c>
      <c r="G218" s="15" t="str">
        <f>'2021'!G76</f>
        <v>Sze</v>
      </c>
      <c r="H218" s="15" t="str">
        <f>'2021'!H76</f>
        <v>Cs</v>
      </c>
      <c r="I218" s="15" t="str">
        <f>'2021'!I76</f>
        <v>P</v>
      </c>
      <c r="J218" s="15" t="str">
        <f>'2021'!J76</f>
        <v>Szo</v>
      </c>
      <c r="K218" s="15" t="str">
        <f>'2021'!K76</f>
        <v>V</v>
      </c>
      <c r="L218" s="15" t="str">
        <f>'2021'!L76</f>
        <v>H</v>
      </c>
      <c r="M218" s="15" t="str">
        <f>'2021'!M76</f>
        <v>K</v>
      </c>
      <c r="N218" s="15" t="str">
        <f>'2021'!N76</f>
        <v>Sze</v>
      </c>
      <c r="O218" s="15" t="str">
        <f>'2021'!O76</f>
        <v>Cs</v>
      </c>
      <c r="P218" s="15" t="str">
        <f>'2021'!P76</f>
        <v>P</v>
      </c>
      <c r="Q218" s="15" t="str">
        <f>'2021'!Q76</f>
        <v>Szo</v>
      </c>
      <c r="R218" s="15" t="str">
        <f>'2021'!R76</f>
        <v>V</v>
      </c>
      <c r="S218" s="15" t="str">
        <f>'2021'!S76</f>
        <v>H</v>
      </c>
      <c r="T218" s="15" t="str">
        <f>'2021'!T76</f>
        <v>K</v>
      </c>
      <c r="U218" s="15" t="str">
        <f>'2021'!U76</f>
        <v>Sze</v>
      </c>
      <c r="V218" s="15" t="str">
        <f>'2021'!V76</f>
        <v>Cs</v>
      </c>
      <c r="W218" s="15" t="str">
        <f>'2021'!W76</f>
        <v>P</v>
      </c>
      <c r="X218" s="15" t="str">
        <f>'2021'!X76</f>
        <v>Szo</v>
      </c>
      <c r="Y218" s="15" t="str">
        <f>'2021'!Y76</f>
        <v>V</v>
      </c>
      <c r="Z218" s="15" t="str">
        <f>'2021'!Z76</f>
        <v>H</v>
      </c>
      <c r="AA218" s="15" t="str">
        <f>'2021'!AA76</f>
        <v>K</v>
      </c>
      <c r="AB218" s="15" t="str">
        <f>'2021'!AB76</f>
        <v>Sze</v>
      </c>
      <c r="AC218" s="15" t="str">
        <f>'2021'!AC76</f>
        <v>Cs</v>
      </c>
      <c r="AD218" s="15" t="str">
        <f>'2021'!AD76</f>
        <v>P</v>
      </c>
      <c r="AE218" s="15" t="str">
        <f>'2021'!AE76</f>
        <v>Szo</v>
      </c>
      <c r="AF218" s="15" t="str">
        <f>'2021'!AF76</f>
        <v>V</v>
      </c>
      <c r="AH218" s="60"/>
      <c r="AI218" s="60"/>
    </row>
    <row r="219" spans="1:35" ht="20.100000000000001" customHeight="1">
      <c r="A219" s="61"/>
      <c r="B219" s="15" t="str">
        <f>'2021'!B79</f>
        <v>X</v>
      </c>
      <c r="C219" s="15">
        <f>'2021'!C79</f>
        <v>2</v>
      </c>
      <c r="D219" s="15">
        <f>'2021'!D79</f>
        <v>2</v>
      </c>
      <c r="E219" s="15">
        <f>'2021'!E79</f>
        <v>2</v>
      </c>
      <c r="F219" s="15">
        <f>'2021'!F79</f>
        <v>2</v>
      </c>
      <c r="G219" s="15">
        <f>'2021'!G79</f>
        <v>2</v>
      </c>
      <c r="H219" s="15">
        <f>'2021'!H79</f>
        <v>2</v>
      </c>
      <c r="I219" s="15" t="str">
        <f>'2021'!I79</f>
        <v>X</v>
      </c>
      <c r="J219" s="15" t="str">
        <f>'2021'!J79</f>
        <v>X</v>
      </c>
      <c r="K219" s="15">
        <f>'2021'!K79</f>
        <v>1</v>
      </c>
      <c r="L219" s="15">
        <f>'2021'!L79</f>
        <v>1</v>
      </c>
      <c r="M219" s="15">
        <f>'2021'!M79</f>
        <v>1</v>
      </c>
      <c r="N219" s="15">
        <f>'2021'!N79</f>
        <v>1</v>
      </c>
      <c r="O219" s="15">
        <f>'2021'!O79</f>
        <v>1</v>
      </c>
      <c r="P219" s="15">
        <f>'2021'!P79</f>
        <v>1</v>
      </c>
      <c r="Q219" s="15" t="str">
        <f>'2021'!Q79</f>
        <v>X</v>
      </c>
      <c r="R219" s="15" t="str">
        <f>'2021'!R79</f>
        <v>X</v>
      </c>
      <c r="S219" s="15">
        <f>'2021'!S79</f>
        <v>3</v>
      </c>
      <c r="T219" s="15">
        <f>'2021'!T79</f>
        <v>3</v>
      </c>
      <c r="U219" s="15">
        <f>'2021'!U79</f>
        <v>3</v>
      </c>
      <c r="V219" s="15">
        <f>'2021'!V79</f>
        <v>3</v>
      </c>
      <c r="W219" s="15">
        <f>'2021'!W79</f>
        <v>3</v>
      </c>
      <c r="X219" s="15">
        <f>'2021'!X79</f>
        <v>3</v>
      </c>
      <c r="Y219" s="15" t="str">
        <f>'2021'!Y79</f>
        <v>X</v>
      </c>
      <c r="Z219" s="15" t="str">
        <f>'2021'!Z79</f>
        <v>X</v>
      </c>
      <c r="AA219" s="15">
        <f>'2021'!AA79</f>
        <v>2</v>
      </c>
      <c r="AB219" s="15">
        <f>'2021'!AB79</f>
        <v>2</v>
      </c>
      <c r="AC219" s="15">
        <f>'2021'!AC79</f>
        <v>2</v>
      </c>
      <c r="AD219" s="15">
        <f>'2021'!AD79</f>
        <v>2</v>
      </c>
      <c r="AE219" s="15">
        <f>'2021'!AE79</f>
        <v>2</v>
      </c>
      <c r="AF219" s="15">
        <f>'2021'!AF79</f>
        <v>2</v>
      </c>
      <c r="AH219" s="60"/>
      <c r="AI219" s="60"/>
    </row>
    <row r="220" spans="1:35" ht="20.100000000000001" customHeight="1">
      <c r="A220" s="24" t="str">
        <f>ÖSSZES!$A$49</f>
        <v>Kuik-Filep András</v>
      </c>
      <c r="B220" s="39" t="s">
        <v>2</v>
      </c>
      <c r="C220" s="39"/>
      <c r="D220" s="39"/>
      <c r="E220" s="39"/>
      <c r="F220" s="39"/>
      <c r="G220" s="39"/>
      <c r="H220" s="39"/>
      <c r="I220" s="39" t="s">
        <v>2</v>
      </c>
      <c r="J220" s="39" t="s">
        <v>2</v>
      </c>
      <c r="K220" s="39"/>
      <c r="L220" s="39"/>
      <c r="M220" s="39"/>
      <c r="N220" s="39"/>
      <c r="O220" s="39"/>
      <c r="P220" s="39"/>
      <c r="Q220" s="39" t="s">
        <v>2</v>
      </c>
      <c r="R220" s="39" t="s">
        <v>2</v>
      </c>
      <c r="S220" s="39"/>
      <c r="T220" s="39"/>
      <c r="U220" s="39"/>
      <c r="V220" s="39"/>
      <c r="W220" s="39"/>
      <c r="X220" s="39"/>
      <c r="Y220" s="39" t="s">
        <v>2</v>
      </c>
      <c r="Z220" s="39" t="s">
        <v>2</v>
      </c>
      <c r="AA220" s="39"/>
      <c r="AB220" s="39"/>
      <c r="AC220" s="39"/>
      <c r="AD220" s="39"/>
      <c r="AE220" s="39"/>
      <c r="AF220" s="39"/>
      <c r="AH220" s="20">
        <f>1*COUNTIF(A220:AF220,"+")</f>
        <v>0</v>
      </c>
      <c r="AI220" s="20">
        <f t="shared" ref="AI220" si="26">1*COUNTIF(B220:AF220,"szf")</f>
        <v>0</v>
      </c>
    </row>
    <row r="221" spans="1:35" ht="20.100000000000001" customHeight="1">
      <c r="A221" s="24" t="str">
        <f>ÖSSZES!$A$50</f>
        <v>Balogh Zsolt</v>
      </c>
      <c r="B221" s="39" t="s">
        <v>2</v>
      </c>
      <c r="C221" s="39"/>
      <c r="D221" s="39"/>
      <c r="E221" s="39"/>
      <c r="F221" s="39"/>
      <c r="G221" s="39"/>
      <c r="H221" s="39"/>
      <c r="I221" s="39" t="s">
        <v>2</v>
      </c>
      <c r="J221" s="39" t="s">
        <v>2</v>
      </c>
      <c r="K221" s="39"/>
      <c r="L221" s="39"/>
      <c r="M221" s="39"/>
      <c r="N221" s="39"/>
      <c r="O221" s="39"/>
      <c r="P221" s="39"/>
      <c r="Q221" s="39" t="s">
        <v>2</v>
      </c>
      <c r="R221" s="39" t="s">
        <v>2</v>
      </c>
      <c r="S221" s="39"/>
      <c r="T221" s="39"/>
      <c r="U221" s="39"/>
      <c r="V221" s="39"/>
      <c r="W221" s="39"/>
      <c r="X221" s="39"/>
      <c r="Y221" s="39" t="s">
        <v>2</v>
      </c>
      <c r="Z221" s="39" t="s">
        <v>2</v>
      </c>
      <c r="AA221" s="39"/>
      <c r="AB221" s="39"/>
      <c r="AC221" s="39"/>
      <c r="AD221" s="39"/>
      <c r="AE221" s="39"/>
      <c r="AF221" s="39"/>
      <c r="AH221" s="20">
        <f t="shared" ref="AH221:AH239" si="27">1*COUNTIF(A221:AF221,"+")</f>
        <v>0</v>
      </c>
      <c r="AI221" s="20">
        <f t="shared" ref="AI221:AI239" si="28">1*COUNTIF(B221:AF221,"szf")</f>
        <v>0</v>
      </c>
    </row>
    <row r="222" spans="1:35" ht="20.100000000000001" customHeight="1">
      <c r="A222" s="24" t="str">
        <f>ÖSSZES!$A$51</f>
        <v>Éliás Viktor</v>
      </c>
      <c r="B222" s="39" t="s">
        <v>2</v>
      </c>
      <c r="C222" s="39"/>
      <c r="D222" s="39"/>
      <c r="E222" s="39"/>
      <c r="F222" s="39"/>
      <c r="G222" s="39"/>
      <c r="H222" s="39"/>
      <c r="I222" s="39" t="s">
        <v>2</v>
      </c>
      <c r="J222" s="39" t="s">
        <v>2</v>
      </c>
      <c r="K222" s="39"/>
      <c r="L222" s="39"/>
      <c r="M222" s="39"/>
      <c r="N222" s="39"/>
      <c r="O222" s="39"/>
      <c r="P222" s="39"/>
      <c r="Q222" s="39" t="s">
        <v>2</v>
      </c>
      <c r="R222" s="39" t="s">
        <v>2</v>
      </c>
      <c r="S222" s="39"/>
      <c r="T222" s="39"/>
      <c r="U222" s="39"/>
      <c r="V222" s="39"/>
      <c r="W222" s="39"/>
      <c r="X222" s="39"/>
      <c r="Y222" s="39" t="s">
        <v>2</v>
      </c>
      <c r="Z222" s="39" t="s">
        <v>2</v>
      </c>
      <c r="AA222" s="39"/>
      <c r="AB222" s="39"/>
      <c r="AC222" s="39"/>
      <c r="AD222" s="39"/>
      <c r="AE222" s="39"/>
      <c r="AF222" s="39"/>
      <c r="AH222" s="20">
        <f t="shared" si="27"/>
        <v>0</v>
      </c>
      <c r="AI222" s="20">
        <f t="shared" si="28"/>
        <v>0</v>
      </c>
    </row>
    <row r="223" spans="1:35" ht="20.100000000000001" customHeight="1">
      <c r="A223" s="24" t="str">
        <f>ÖSSZES!$A$52</f>
        <v>Hadházi Kálmán</v>
      </c>
      <c r="B223" s="39" t="s">
        <v>2</v>
      </c>
      <c r="C223" s="39"/>
      <c r="D223" s="39"/>
      <c r="E223" s="39"/>
      <c r="F223" s="39"/>
      <c r="G223" s="39"/>
      <c r="H223" s="39"/>
      <c r="I223" s="39" t="s">
        <v>2</v>
      </c>
      <c r="J223" s="39" t="s">
        <v>2</v>
      </c>
      <c r="K223" s="39"/>
      <c r="L223" s="39"/>
      <c r="M223" s="39"/>
      <c r="N223" s="39"/>
      <c r="O223" s="39"/>
      <c r="P223" s="39"/>
      <c r="Q223" s="39" t="s">
        <v>2</v>
      </c>
      <c r="R223" s="39" t="s">
        <v>2</v>
      </c>
      <c r="S223" s="39"/>
      <c r="T223" s="39"/>
      <c r="U223" s="39"/>
      <c r="V223" s="39"/>
      <c r="W223" s="39"/>
      <c r="X223" s="39"/>
      <c r="Y223" s="39" t="s">
        <v>2</v>
      </c>
      <c r="Z223" s="39" t="s">
        <v>2</v>
      </c>
      <c r="AA223" s="39"/>
      <c r="AB223" s="39"/>
      <c r="AC223" s="39"/>
      <c r="AD223" s="39"/>
      <c r="AE223" s="39"/>
      <c r="AF223" s="39"/>
      <c r="AH223" s="20">
        <f t="shared" si="27"/>
        <v>0</v>
      </c>
      <c r="AI223" s="20">
        <f t="shared" si="28"/>
        <v>0</v>
      </c>
    </row>
    <row r="224" spans="1:35" ht="20.100000000000001" customHeight="1">
      <c r="A224" s="24" t="str">
        <f>ÖSSZES!$A$53</f>
        <v>Kiss Attila</v>
      </c>
      <c r="B224" s="39" t="s">
        <v>2</v>
      </c>
      <c r="C224" s="39"/>
      <c r="D224" s="39"/>
      <c r="E224" s="39"/>
      <c r="F224" s="39"/>
      <c r="G224" s="39"/>
      <c r="H224" s="39"/>
      <c r="I224" s="39" t="s">
        <v>2</v>
      </c>
      <c r="J224" s="39" t="s">
        <v>2</v>
      </c>
      <c r="K224" s="39"/>
      <c r="L224" s="39"/>
      <c r="M224" s="39"/>
      <c r="N224" s="39"/>
      <c r="O224" s="39"/>
      <c r="P224" s="39"/>
      <c r="Q224" s="39" t="s">
        <v>2</v>
      </c>
      <c r="R224" s="39" t="s">
        <v>2</v>
      </c>
      <c r="S224" s="39"/>
      <c r="T224" s="39"/>
      <c r="U224" s="39"/>
      <c r="V224" s="39"/>
      <c r="W224" s="39"/>
      <c r="X224" s="39"/>
      <c r="Y224" s="39" t="s">
        <v>2</v>
      </c>
      <c r="Z224" s="39" t="s">
        <v>2</v>
      </c>
      <c r="AA224" s="39"/>
      <c r="AB224" s="39"/>
      <c r="AC224" s="39"/>
      <c r="AD224" s="39"/>
      <c r="AE224" s="39"/>
      <c r="AF224" s="39"/>
      <c r="AH224" s="20">
        <f t="shared" si="27"/>
        <v>0</v>
      </c>
      <c r="AI224" s="20">
        <f t="shared" si="28"/>
        <v>0</v>
      </c>
    </row>
    <row r="225" spans="1:35" ht="20.100000000000001" customHeight="1">
      <c r="A225" s="24" t="str">
        <f>ÖSSZES!$A$54</f>
        <v>Serestyén Dániel</v>
      </c>
      <c r="B225" s="39" t="s">
        <v>2</v>
      </c>
      <c r="C225" s="39"/>
      <c r="D225" s="39"/>
      <c r="E225" s="39"/>
      <c r="F225" s="39"/>
      <c r="G225" s="39"/>
      <c r="H225" s="39"/>
      <c r="I225" s="39" t="s">
        <v>2</v>
      </c>
      <c r="J225" s="39" t="s">
        <v>2</v>
      </c>
      <c r="K225" s="39"/>
      <c r="L225" s="39"/>
      <c r="M225" s="39"/>
      <c r="N225" s="39"/>
      <c r="O225" s="39"/>
      <c r="P225" s="39"/>
      <c r="Q225" s="39" t="s">
        <v>2</v>
      </c>
      <c r="R225" s="39" t="s">
        <v>2</v>
      </c>
      <c r="S225" s="39"/>
      <c r="T225" s="39"/>
      <c r="U225" s="39"/>
      <c r="V225" s="39"/>
      <c r="W225" s="39"/>
      <c r="X225" s="39"/>
      <c r="Y225" s="39" t="s">
        <v>2</v>
      </c>
      <c r="Z225" s="39" t="s">
        <v>2</v>
      </c>
      <c r="AA225" s="39"/>
      <c r="AB225" s="39"/>
      <c r="AC225" s="39"/>
      <c r="AD225" s="39"/>
      <c r="AE225" s="39"/>
      <c r="AF225" s="39"/>
      <c r="AH225" s="20">
        <f t="shared" si="27"/>
        <v>0</v>
      </c>
      <c r="AI225" s="20">
        <f t="shared" si="28"/>
        <v>0</v>
      </c>
    </row>
    <row r="226" spans="1:35" ht="20.100000000000001" customHeight="1">
      <c r="A226" s="24" t="str">
        <f>ÖSSZES!$A$55</f>
        <v>Varga Imre</v>
      </c>
      <c r="B226" s="39" t="s">
        <v>2</v>
      </c>
      <c r="C226" s="39"/>
      <c r="D226" s="39"/>
      <c r="E226" s="39"/>
      <c r="F226" s="39"/>
      <c r="G226" s="39"/>
      <c r="H226" s="39"/>
      <c r="I226" s="39" t="s">
        <v>2</v>
      </c>
      <c r="J226" s="39" t="s">
        <v>2</v>
      </c>
      <c r="K226" s="39"/>
      <c r="L226" s="39"/>
      <c r="M226" s="39"/>
      <c r="N226" s="39"/>
      <c r="O226" s="39"/>
      <c r="P226" s="39"/>
      <c r="Q226" s="39" t="s">
        <v>2</v>
      </c>
      <c r="R226" s="39" t="s">
        <v>2</v>
      </c>
      <c r="S226" s="39"/>
      <c r="T226" s="39"/>
      <c r="U226" s="39"/>
      <c r="V226" s="39"/>
      <c r="W226" s="39"/>
      <c r="X226" s="39"/>
      <c r="Y226" s="39" t="s">
        <v>2</v>
      </c>
      <c r="Z226" s="39" t="s">
        <v>2</v>
      </c>
      <c r="AA226" s="39"/>
      <c r="AB226" s="39"/>
      <c r="AC226" s="39"/>
      <c r="AD226" s="39"/>
      <c r="AE226" s="39"/>
      <c r="AF226" s="39"/>
      <c r="AH226" s="20">
        <f t="shared" si="27"/>
        <v>0</v>
      </c>
      <c r="AI226" s="20">
        <f t="shared" si="28"/>
        <v>0</v>
      </c>
    </row>
    <row r="227" spans="1:35" ht="20.100000000000001" hidden="1" customHeight="1">
      <c r="A227" s="24" t="str">
        <f>ÖSSZES!$A$56</f>
        <v>Név8</v>
      </c>
      <c r="B227" s="39" t="s">
        <v>2</v>
      </c>
      <c r="C227" s="39"/>
      <c r="D227" s="39"/>
      <c r="E227" s="39"/>
      <c r="F227" s="39"/>
      <c r="G227" s="39"/>
      <c r="H227" s="39"/>
      <c r="I227" s="39" t="s">
        <v>2</v>
      </c>
      <c r="J227" s="39" t="s">
        <v>2</v>
      </c>
      <c r="K227" s="39"/>
      <c r="L227" s="39"/>
      <c r="M227" s="39"/>
      <c r="N227" s="39"/>
      <c r="O227" s="39"/>
      <c r="P227" s="39"/>
      <c r="Q227" s="39" t="s">
        <v>2</v>
      </c>
      <c r="R227" s="39" t="s">
        <v>2</v>
      </c>
      <c r="S227" s="39"/>
      <c r="T227" s="39"/>
      <c r="U227" s="39"/>
      <c r="V227" s="39"/>
      <c r="W227" s="39"/>
      <c r="X227" s="39"/>
      <c r="Y227" s="39" t="s">
        <v>2</v>
      </c>
      <c r="Z227" s="39" t="s">
        <v>2</v>
      </c>
      <c r="AA227" s="39"/>
      <c r="AB227" s="39"/>
      <c r="AC227" s="39"/>
      <c r="AD227" s="39"/>
      <c r="AE227" s="39"/>
      <c r="AF227" s="39"/>
      <c r="AH227" s="20">
        <f t="shared" si="27"/>
        <v>0</v>
      </c>
      <c r="AI227" s="20">
        <f t="shared" si="28"/>
        <v>0</v>
      </c>
    </row>
    <row r="228" spans="1:35" ht="20.100000000000001" hidden="1" customHeight="1">
      <c r="A228" s="24" t="str">
        <f>ÖSSZES!$A$57</f>
        <v>Név9</v>
      </c>
      <c r="B228" s="39" t="s">
        <v>2</v>
      </c>
      <c r="C228" s="39"/>
      <c r="D228" s="39"/>
      <c r="E228" s="39"/>
      <c r="F228" s="39"/>
      <c r="G228" s="39"/>
      <c r="H228" s="39"/>
      <c r="I228" s="39" t="s">
        <v>2</v>
      </c>
      <c r="J228" s="39" t="s">
        <v>2</v>
      </c>
      <c r="K228" s="39"/>
      <c r="L228" s="39"/>
      <c r="M228" s="39"/>
      <c r="N228" s="39"/>
      <c r="O228" s="39"/>
      <c r="P228" s="39"/>
      <c r="Q228" s="39" t="s">
        <v>2</v>
      </c>
      <c r="R228" s="39" t="s">
        <v>2</v>
      </c>
      <c r="S228" s="39"/>
      <c r="T228" s="39"/>
      <c r="U228" s="39"/>
      <c r="V228" s="39"/>
      <c r="W228" s="39"/>
      <c r="X228" s="39"/>
      <c r="Y228" s="39" t="s">
        <v>2</v>
      </c>
      <c r="Z228" s="39" t="s">
        <v>2</v>
      </c>
      <c r="AA228" s="39"/>
      <c r="AB228" s="39"/>
      <c r="AC228" s="39"/>
      <c r="AD228" s="39"/>
      <c r="AE228" s="39"/>
      <c r="AF228" s="39"/>
      <c r="AH228" s="20">
        <f t="shared" si="27"/>
        <v>0</v>
      </c>
      <c r="AI228" s="20">
        <f t="shared" si="28"/>
        <v>0</v>
      </c>
    </row>
    <row r="229" spans="1:35" ht="20.100000000000001" hidden="1" customHeight="1">
      <c r="A229" s="24" t="str">
        <f>ÖSSZES!$A$58</f>
        <v>Név10</v>
      </c>
      <c r="B229" s="39" t="s">
        <v>2</v>
      </c>
      <c r="C229" s="39"/>
      <c r="D229" s="39"/>
      <c r="E229" s="39"/>
      <c r="F229" s="39"/>
      <c r="G229" s="39"/>
      <c r="H229" s="39"/>
      <c r="I229" s="39" t="s">
        <v>2</v>
      </c>
      <c r="J229" s="39" t="s">
        <v>2</v>
      </c>
      <c r="K229" s="39"/>
      <c r="L229" s="39"/>
      <c r="M229" s="39"/>
      <c r="N229" s="39"/>
      <c r="O229" s="39"/>
      <c r="P229" s="39"/>
      <c r="Q229" s="39" t="s">
        <v>2</v>
      </c>
      <c r="R229" s="39" t="s">
        <v>2</v>
      </c>
      <c r="S229" s="39"/>
      <c r="T229" s="39"/>
      <c r="U229" s="39"/>
      <c r="V229" s="39"/>
      <c r="W229" s="39"/>
      <c r="X229" s="39"/>
      <c r="Y229" s="39" t="s">
        <v>2</v>
      </c>
      <c r="Z229" s="39" t="s">
        <v>2</v>
      </c>
      <c r="AA229" s="39"/>
      <c r="AB229" s="39"/>
      <c r="AC229" s="39"/>
      <c r="AD229" s="39"/>
      <c r="AE229" s="39"/>
      <c r="AF229" s="39"/>
      <c r="AH229" s="20">
        <f t="shared" si="27"/>
        <v>0</v>
      </c>
      <c r="AI229" s="20">
        <f t="shared" si="28"/>
        <v>0</v>
      </c>
    </row>
    <row r="230" spans="1:35" ht="20.100000000000001" hidden="1" customHeight="1">
      <c r="A230" s="24" t="str">
        <f>ÖSSZES!$A$59</f>
        <v>Név11</v>
      </c>
      <c r="B230" s="39" t="s">
        <v>2</v>
      </c>
      <c r="C230" s="39"/>
      <c r="D230" s="39"/>
      <c r="E230" s="39"/>
      <c r="F230" s="39"/>
      <c r="G230" s="39"/>
      <c r="H230" s="39"/>
      <c r="I230" s="39" t="s">
        <v>2</v>
      </c>
      <c r="J230" s="39" t="s">
        <v>2</v>
      </c>
      <c r="K230" s="39"/>
      <c r="L230" s="39"/>
      <c r="M230" s="39"/>
      <c r="N230" s="39"/>
      <c r="O230" s="39"/>
      <c r="P230" s="39"/>
      <c r="Q230" s="39" t="s">
        <v>2</v>
      </c>
      <c r="R230" s="39" t="s">
        <v>2</v>
      </c>
      <c r="S230" s="39"/>
      <c r="T230" s="39"/>
      <c r="U230" s="39"/>
      <c r="V230" s="39"/>
      <c r="W230" s="39"/>
      <c r="X230" s="39"/>
      <c r="Y230" s="39" t="s">
        <v>2</v>
      </c>
      <c r="Z230" s="39" t="s">
        <v>2</v>
      </c>
      <c r="AA230" s="39"/>
      <c r="AB230" s="39"/>
      <c r="AC230" s="39"/>
      <c r="AD230" s="39"/>
      <c r="AE230" s="39"/>
      <c r="AF230" s="39"/>
      <c r="AH230" s="20">
        <f t="shared" si="27"/>
        <v>0</v>
      </c>
      <c r="AI230" s="20">
        <f t="shared" si="28"/>
        <v>0</v>
      </c>
    </row>
    <row r="231" spans="1:35" ht="20.100000000000001" hidden="1" customHeight="1">
      <c r="A231" s="24" t="str">
        <f>ÖSSZES!$A$60</f>
        <v>Név12</v>
      </c>
      <c r="B231" s="39" t="s">
        <v>2</v>
      </c>
      <c r="C231" s="39"/>
      <c r="D231" s="39"/>
      <c r="E231" s="39"/>
      <c r="F231" s="39"/>
      <c r="G231" s="39"/>
      <c r="H231" s="39"/>
      <c r="I231" s="39" t="s">
        <v>2</v>
      </c>
      <c r="J231" s="39" t="s">
        <v>2</v>
      </c>
      <c r="K231" s="39"/>
      <c r="L231" s="39"/>
      <c r="M231" s="39"/>
      <c r="N231" s="39"/>
      <c r="O231" s="39"/>
      <c r="P231" s="39"/>
      <c r="Q231" s="39" t="s">
        <v>2</v>
      </c>
      <c r="R231" s="39" t="s">
        <v>2</v>
      </c>
      <c r="S231" s="39"/>
      <c r="T231" s="39"/>
      <c r="U231" s="39"/>
      <c r="V231" s="39"/>
      <c r="W231" s="39"/>
      <c r="X231" s="39"/>
      <c r="Y231" s="39" t="s">
        <v>2</v>
      </c>
      <c r="Z231" s="39" t="s">
        <v>2</v>
      </c>
      <c r="AA231" s="39"/>
      <c r="AB231" s="39"/>
      <c r="AC231" s="39"/>
      <c r="AD231" s="39"/>
      <c r="AE231" s="39"/>
      <c r="AF231" s="39"/>
      <c r="AH231" s="20">
        <f t="shared" si="27"/>
        <v>0</v>
      </c>
      <c r="AI231" s="20">
        <f t="shared" si="28"/>
        <v>0</v>
      </c>
    </row>
    <row r="232" spans="1:35" ht="20.100000000000001" hidden="1" customHeight="1">
      <c r="A232" s="24" t="str">
        <f>ÖSSZES!$A$61</f>
        <v>Név13</v>
      </c>
      <c r="B232" s="39" t="s">
        <v>2</v>
      </c>
      <c r="C232" s="39"/>
      <c r="D232" s="39"/>
      <c r="E232" s="39"/>
      <c r="F232" s="39"/>
      <c r="G232" s="39"/>
      <c r="H232" s="39"/>
      <c r="I232" s="39" t="s">
        <v>2</v>
      </c>
      <c r="J232" s="39" t="s">
        <v>2</v>
      </c>
      <c r="K232" s="39"/>
      <c r="L232" s="39"/>
      <c r="M232" s="39"/>
      <c r="N232" s="39"/>
      <c r="O232" s="39"/>
      <c r="P232" s="39"/>
      <c r="Q232" s="39" t="s">
        <v>2</v>
      </c>
      <c r="R232" s="39" t="s">
        <v>2</v>
      </c>
      <c r="S232" s="39"/>
      <c r="T232" s="39"/>
      <c r="U232" s="39"/>
      <c r="V232" s="39"/>
      <c r="W232" s="39"/>
      <c r="X232" s="39"/>
      <c r="Y232" s="39" t="s">
        <v>2</v>
      </c>
      <c r="Z232" s="39" t="s">
        <v>2</v>
      </c>
      <c r="AA232" s="39"/>
      <c r="AB232" s="39"/>
      <c r="AC232" s="39"/>
      <c r="AD232" s="39"/>
      <c r="AE232" s="39"/>
      <c r="AF232" s="39"/>
      <c r="AH232" s="20">
        <f t="shared" si="27"/>
        <v>0</v>
      </c>
      <c r="AI232" s="20">
        <f t="shared" si="28"/>
        <v>0</v>
      </c>
    </row>
    <row r="233" spans="1:35" ht="20.100000000000001" hidden="1" customHeight="1">
      <c r="A233" s="24" t="str">
        <f>ÖSSZES!$A$62</f>
        <v>Név14</v>
      </c>
      <c r="B233" s="39" t="s">
        <v>2</v>
      </c>
      <c r="C233" s="39"/>
      <c r="D233" s="39"/>
      <c r="E233" s="39"/>
      <c r="F233" s="39"/>
      <c r="G233" s="39"/>
      <c r="H233" s="39"/>
      <c r="I233" s="39" t="s">
        <v>2</v>
      </c>
      <c r="J233" s="39" t="s">
        <v>2</v>
      </c>
      <c r="K233" s="39"/>
      <c r="L233" s="39"/>
      <c r="M233" s="39"/>
      <c r="N233" s="39"/>
      <c r="O233" s="39"/>
      <c r="P233" s="39"/>
      <c r="Q233" s="39" t="s">
        <v>2</v>
      </c>
      <c r="R233" s="39" t="s">
        <v>2</v>
      </c>
      <c r="S233" s="39"/>
      <c r="T233" s="39"/>
      <c r="U233" s="39"/>
      <c r="V233" s="39"/>
      <c r="W233" s="39"/>
      <c r="X233" s="39"/>
      <c r="Y233" s="39" t="s">
        <v>2</v>
      </c>
      <c r="Z233" s="39" t="s">
        <v>2</v>
      </c>
      <c r="AA233" s="39"/>
      <c r="AB233" s="39"/>
      <c r="AC233" s="39"/>
      <c r="AD233" s="39"/>
      <c r="AE233" s="39"/>
      <c r="AF233" s="39"/>
      <c r="AH233" s="20">
        <f t="shared" si="27"/>
        <v>0</v>
      </c>
      <c r="AI233" s="20">
        <f t="shared" si="28"/>
        <v>0</v>
      </c>
    </row>
    <row r="234" spans="1:35" ht="20.100000000000001" hidden="1" customHeight="1">
      <c r="A234" s="24" t="str">
        <f>ÖSSZES!$A$63</f>
        <v>Név15</v>
      </c>
      <c r="B234" s="39" t="s">
        <v>2</v>
      </c>
      <c r="C234" s="39"/>
      <c r="D234" s="39"/>
      <c r="E234" s="39"/>
      <c r="F234" s="39"/>
      <c r="G234" s="39"/>
      <c r="H234" s="39"/>
      <c r="I234" s="39" t="s">
        <v>2</v>
      </c>
      <c r="J234" s="39" t="s">
        <v>2</v>
      </c>
      <c r="K234" s="39"/>
      <c r="L234" s="39"/>
      <c r="M234" s="39"/>
      <c r="N234" s="39"/>
      <c r="O234" s="39"/>
      <c r="P234" s="39"/>
      <c r="Q234" s="39" t="s">
        <v>2</v>
      </c>
      <c r="R234" s="39" t="s">
        <v>2</v>
      </c>
      <c r="S234" s="39"/>
      <c r="T234" s="39"/>
      <c r="U234" s="39"/>
      <c r="V234" s="39"/>
      <c r="W234" s="39"/>
      <c r="X234" s="39"/>
      <c r="Y234" s="39" t="s">
        <v>2</v>
      </c>
      <c r="Z234" s="39" t="s">
        <v>2</v>
      </c>
      <c r="AA234" s="39"/>
      <c r="AB234" s="39"/>
      <c r="AC234" s="39"/>
      <c r="AD234" s="39"/>
      <c r="AE234" s="39"/>
      <c r="AF234" s="39"/>
      <c r="AH234" s="20">
        <f t="shared" si="27"/>
        <v>0</v>
      </c>
      <c r="AI234" s="20">
        <f t="shared" si="28"/>
        <v>0</v>
      </c>
    </row>
    <row r="235" spans="1:35" ht="21.75" hidden="1" customHeight="1">
      <c r="A235" s="24" t="str">
        <f>ÖSSZES!$A$64</f>
        <v>Név16</v>
      </c>
      <c r="B235" s="39" t="s">
        <v>2</v>
      </c>
      <c r="C235" s="39"/>
      <c r="D235" s="39"/>
      <c r="E235" s="39"/>
      <c r="F235" s="39"/>
      <c r="G235" s="39"/>
      <c r="H235" s="39"/>
      <c r="I235" s="39" t="s">
        <v>2</v>
      </c>
      <c r="J235" s="39" t="s">
        <v>2</v>
      </c>
      <c r="K235" s="39"/>
      <c r="L235" s="39"/>
      <c r="M235" s="39"/>
      <c r="N235" s="39"/>
      <c r="O235" s="39"/>
      <c r="P235" s="39"/>
      <c r="Q235" s="39" t="s">
        <v>2</v>
      </c>
      <c r="R235" s="39" t="s">
        <v>2</v>
      </c>
      <c r="S235" s="39"/>
      <c r="T235" s="39"/>
      <c r="U235" s="39"/>
      <c r="V235" s="39"/>
      <c r="W235" s="39"/>
      <c r="X235" s="39"/>
      <c r="Y235" s="39" t="s">
        <v>2</v>
      </c>
      <c r="Z235" s="39" t="s">
        <v>2</v>
      </c>
      <c r="AA235" s="39"/>
      <c r="AB235" s="39"/>
      <c r="AC235" s="39"/>
      <c r="AD235" s="39"/>
      <c r="AE235" s="39"/>
      <c r="AF235" s="39"/>
      <c r="AH235" s="20">
        <f t="shared" si="27"/>
        <v>0</v>
      </c>
      <c r="AI235" s="20">
        <f t="shared" si="28"/>
        <v>0</v>
      </c>
    </row>
    <row r="236" spans="1:35" ht="20.100000000000001" hidden="1" customHeight="1">
      <c r="A236" s="24" t="str">
        <f>ÖSSZES!$A$65</f>
        <v>Név17</v>
      </c>
      <c r="B236" s="39" t="s">
        <v>2</v>
      </c>
      <c r="C236" s="39"/>
      <c r="D236" s="39"/>
      <c r="E236" s="39"/>
      <c r="F236" s="39"/>
      <c r="G236" s="39"/>
      <c r="H236" s="39"/>
      <c r="I236" s="39" t="s">
        <v>2</v>
      </c>
      <c r="J236" s="39" t="s">
        <v>2</v>
      </c>
      <c r="K236" s="39"/>
      <c r="L236" s="39"/>
      <c r="M236" s="39"/>
      <c r="N236" s="39"/>
      <c r="O236" s="39"/>
      <c r="P236" s="39"/>
      <c r="Q236" s="39" t="s">
        <v>2</v>
      </c>
      <c r="R236" s="39" t="s">
        <v>2</v>
      </c>
      <c r="S236" s="39"/>
      <c r="T236" s="39"/>
      <c r="U236" s="39"/>
      <c r="V236" s="39"/>
      <c r="W236" s="39"/>
      <c r="X236" s="39"/>
      <c r="Y236" s="39" t="s">
        <v>2</v>
      </c>
      <c r="Z236" s="39" t="s">
        <v>2</v>
      </c>
      <c r="AA236" s="39"/>
      <c r="AB236" s="39"/>
      <c r="AC236" s="39"/>
      <c r="AD236" s="39"/>
      <c r="AE236" s="39"/>
      <c r="AF236" s="39"/>
      <c r="AH236" s="20">
        <f t="shared" si="27"/>
        <v>0</v>
      </c>
      <c r="AI236" s="20">
        <f t="shared" si="28"/>
        <v>0</v>
      </c>
    </row>
    <row r="237" spans="1:35" ht="20.100000000000001" hidden="1" customHeight="1">
      <c r="A237" s="24" t="str">
        <f>ÖSSZES!$A$66</f>
        <v>Név18</v>
      </c>
      <c r="B237" s="39" t="s">
        <v>2</v>
      </c>
      <c r="C237" s="39"/>
      <c r="D237" s="39"/>
      <c r="E237" s="39"/>
      <c r="F237" s="39"/>
      <c r="G237" s="39"/>
      <c r="H237" s="39"/>
      <c r="I237" s="39" t="s">
        <v>2</v>
      </c>
      <c r="J237" s="39" t="s">
        <v>2</v>
      </c>
      <c r="K237" s="39"/>
      <c r="L237" s="39"/>
      <c r="M237" s="39"/>
      <c r="N237" s="39"/>
      <c r="O237" s="39"/>
      <c r="P237" s="39"/>
      <c r="Q237" s="39" t="s">
        <v>2</v>
      </c>
      <c r="R237" s="39" t="s">
        <v>2</v>
      </c>
      <c r="S237" s="39"/>
      <c r="T237" s="39"/>
      <c r="U237" s="39"/>
      <c r="V237" s="39"/>
      <c r="W237" s="39"/>
      <c r="X237" s="39"/>
      <c r="Y237" s="39" t="s">
        <v>2</v>
      </c>
      <c r="Z237" s="39" t="s">
        <v>2</v>
      </c>
      <c r="AA237" s="39"/>
      <c r="AB237" s="39"/>
      <c r="AC237" s="39"/>
      <c r="AD237" s="39"/>
      <c r="AE237" s="39"/>
      <c r="AF237" s="39"/>
      <c r="AH237" s="20">
        <f t="shared" si="27"/>
        <v>0</v>
      </c>
      <c r="AI237" s="20">
        <f t="shared" si="28"/>
        <v>0</v>
      </c>
    </row>
    <row r="238" spans="1:35" ht="20.100000000000001" hidden="1" customHeight="1">
      <c r="A238" s="24" t="str">
        <f>ÖSSZES!$A$67</f>
        <v>Név19</v>
      </c>
      <c r="B238" s="39" t="s">
        <v>2</v>
      </c>
      <c r="C238" s="39"/>
      <c r="D238" s="39"/>
      <c r="E238" s="39"/>
      <c r="F238" s="39"/>
      <c r="G238" s="39"/>
      <c r="H238" s="39"/>
      <c r="I238" s="39" t="s">
        <v>2</v>
      </c>
      <c r="J238" s="39" t="s">
        <v>2</v>
      </c>
      <c r="K238" s="39"/>
      <c r="L238" s="39"/>
      <c r="M238" s="39"/>
      <c r="N238" s="39"/>
      <c r="O238" s="39"/>
      <c r="P238" s="39"/>
      <c r="Q238" s="39" t="s">
        <v>2</v>
      </c>
      <c r="R238" s="39" t="s">
        <v>2</v>
      </c>
      <c r="S238" s="39"/>
      <c r="T238" s="39"/>
      <c r="U238" s="39"/>
      <c r="V238" s="39"/>
      <c r="W238" s="39"/>
      <c r="X238" s="39"/>
      <c r="Y238" s="39" t="s">
        <v>2</v>
      </c>
      <c r="Z238" s="39" t="s">
        <v>2</v>
      </c>
      <c r="AA238" s="39"/>
      <c r="AB238" s="39"/>
      <c r="AC238" s="39"/>
      <c r="AD238" s="39"/>
      <c r="AE238" s="39"/>
      <c r="AF238" s="39"/>
      <c r="AH238" s="20">
        <f t="shared" si="27"/>
        <v>0</v>
      </c>
      <c r="AI238" s="20">
        <f t="shared" si="28"/>
        <v>0</v>
      </c>
    </row>
    <row r="239" spans="1:35" ht="20.100000000000001" hidden="1" customHeight="1">
      <c r="A239" s="24" t="str">
        <f>ÖSSZES!$A$68</f>
        <v>Név20</v>
      </c>
      <c r="B239" s="39" t="s">
        <v>2</v>
      </c>
      <c r="C239" s="39"/>
      <c r="D239" s="39"/>
      <c r="E239" s="39"/>
      <c r="F239" s="39"/>
      <c r="G239" s="39"/>
      <c r="H239" s="39"/>
      <c r="I239" s="39" t="s">
        <v>2</v>
      </c>
      <c r="J239" s="39" t="s">
        <v>2</v>
      </c>
      <c r="K239" s="39"/>
      <c r="L239" s="39"/>
      <c r="M239" s="39"/>
      <c r="N239" s="39"/>
      <c r="O239" s="39"/>
      <c r="P239" s="39"/>
      <c r="Q239" s="39" t="s">
        <v>2</v>
      </c>
      <c r="R239" s="39" t="s">
        <v>2</v>
      </c>
      <c r="S239" s="39"/>
      <c r="T239" s="39"/>
      <c r="U239" s="39"/>
      <c r="V239" s="39"/>
      <c r="W239" s="39"/>
      <c r="X239" s="39"/>
      <c r="Y239" s="39" t="s">
        <v>2</v>
      </c>
      <c r="Z239" s="39" t="s">
        <v>2</v>
      </c>
      <c r="AA239" s="39"/>
      <c r="AB239" s="39"/>
      <c r="AC239" s="39"/>
      <c r="AD239" s="39"/>
      <c r="AE239" s="39"/>
      <c r="AF239" s="39"/>
      <c r="AH239" s="20">
        <f t="shared" si="27"/>
        <v>0</v>
      </c>
      <c r="AI239" s="20">
        <f t="shared" si="28"/>
        <v>0</v>
      </c>
    </row>
    <row r="240" spans="1:35" ht="20.100000000000001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H240" s="14"/>
      <c r="AI240" s="14"/>
    </row>
    <row r="241" spans="1:35" s="11" customFormat="1" ht="20.100000000000001" customHeight="1">
      <c r="A241" s="57" t="s">
        <v>15</v>
      </c>
      <c r="B241" s="25">
        <v>1</v>
      </c>
      <c r="C241" s="23">
        <v>2</v>
      </c>
      <c r="D241" s="23">
        <v>3</v>
      </c>
      <c r="E241" s="23">
        <v>4</v>
      </c>
      <c r="F241" s="23">
        <v>5</v>
      </c>
      <c r="G241" s="23">
        <v>6</v>
      </c>
      <c r="H241" s="23">
        <v>7</v>
      </c>
      <c r="I241" s="23">
        <v>8</v>
      </c>
      <c r="J241" s="23">
        <v>9</v>
      </c>
      <c r="K241" s="23">
        <v>10</v>
      </c>
      <c r="L241" s="23">
        <v>11</v>
      </c>
      <c r="M241" s="23">
        <v>12</v>
      </c>
      <c r="N241" s="23">
        <v>13</v>
      </c>
      <c r="O241" s="23">
        <v>14</v>
      </c>
      <c r="P241" s="23">
        <v>15</v>
      </c>
      <c r="Q241" s="23">
        <v>16</v>
      </c>
      <c r="R241" s="23">
        <v>17</v>
      </c>
      <c r="S241" s="23">
        <v>18</v>
      </c>
      <c r="T241" s="23">
        <v>19</v>
      </c>
      <c r="U241" s="23">
        <v>20</v>
      </c>
      <c r="V241" s="23">
        <v>21</v>
      </c>
      <c r="W241" s="23">
        <v>22</v>
      </c>
      <c r="X241" s="23">
        <v>23</v>
      </c>
      <c r="Y241" s="23">
        <v>24</v>
      </c>
      <c r="Z241" s="23">
        <v>25</v>
      </c>
      <c r="AA241" s="23">
        <v>26</v>
      </c>
      <c r="AB241" s="23">
        <v>27</v>
      </c>
      <c r="AC241" s="23">
        <v>28</v>
      </c>
      <c r="AD241" s="23">
        <v>29</v>
      </c>
      <c r="AE241" s="23">
        <v>30</v>
      </c>
      <c r="AH241" s="59" t="s">
        <v>18</v>
      </c>
      <c r="AI241" s="59" t="s">
        <v>19</v>
      </c>
    </row>
    <row r="242" spans="1:35" ht="20.100000000000001" customHeight="1">
      <c r="A242" s="61"/>
      <c r="B242" s="15" t="str">
        <f>'2021'!B84</f>
        <v>H</v>
      </c>
      <c r="C242" s="15" t="str">
        <f>'2021'!C84</f>
        <v>K</v>
      </c>
      <c r="D242" s="15" t="str">
        <f>'2021'!D84</f>
        <v>Sze</v>
      </c>
      <c r="E242" s="15" t="str">
        <f>'2021'!E84</f>
        <v>Cs</v>
      </c>
      <c r="F242" s="15" t="str">
        <f>'2021'!F84</f>
        <v>P</v>
      </c>
      <c r="G242" s="15" t="str">
        <f>'2021'!G84</f>
        <v>Szo</v>
      </c>
      <c r="H242" s="15" t="str">
        <f>'2021'!H84</f>
        <v>V</v>
      </c>
      <c r="I242" s="15" t="str">
        <f>'2021'!I84</f>
        <v>H</v>
      </c>
      <c r="J242" s="15" t="str">
        <f>'2021'!J84</f>
        <v>K</v>
      </c>
      <c r="K242" s="15" t="str">
        <f>'2021'!K84</f>
        <v>Sze</v>
      </c>
      <c r="L242" s="15" t="str">
        <f>'2021'!L84</f>
        <v>Cs</v>
      </c>
      <c r="M242" s="15" t="str">
        <f>'2021'!M84</f>
        <v>P</v>
      </c>
      <c r="N242" s="15" t="str">
        <f>'2021'!N84</f>
        <v>Szo</v>
      </c>
      <c r="O242" s="15" t="str">
        <f>'2021'!O84</f>
        <v>V</v>
      </c>
      <c r="P242" s="15" t="str">
        <f>'2021'!P84</f>
        <v>H</v>
      </c>
      <c r="Q242" s="15" t="str">
        <f>'2021'!Q84</f>
        <v>K</v>
      </c>
      <c r="R242" s="15" t="str">
        <f>'2021'!R84</f>
        <v>Sze</v>
      </c>
      <c r="S242" s="15" t="str">
        <f>'2021'!S84</f>
        <v>Cs</v>
      </c>
      <c r="T242" s="15" t="str">
        <f>'2021'!T84</f>
        <v>P</v>
      </c>
      <c r="U242" s="15" t="str">
        <f>'2021'!U84</f>
        <v>Szo</v>
      </c>
      <c r="V242" s="15" t="str">
        <f>'2021'!V84</f>
        <v>V</v>
      </c>
      <c r="W242" s="15" t="str">
        <f>'2021'!W84</f>
        <v>H</v>
      </c>
      <c r="X242" s="15" t="str">
        <f>'2021'!X84</f>
        <v>K</v>
      </c>
      <c r="Y242" s="15" t="str">
        <f>'2021'!Y84</f>
        <v>Sze</v>
      </c>
      <c r="Z242" s="15" t="str">
        <f>'2021'!Z84</f>
        <v>Cs</v>
      </c>
      <c r="AA242" s="15" t="str">
        <f>'2021'!AA84</f>
        <v>P</v>
      </c>
      <c r="AB242" s="15" t="str">
        <f>'2021'!AB84</f>
        <v>Szo</v>
      </c>
      <c r="AC242" s="15" t="str">
        <f>'2021'!AC84</f>
        <v>V</v>
      </c>
      <c r="AD242" s="15" t="str">
        <f>'2021'!AD84</f>
        <v>H</v>
      </c>
      <c r="AE242" s="15" t="str">
        <f>'2021'!AE84</f>
        <v>K</v>
      </c>
      <c r="AF242" s="6"/>
      <c r="AH242" s="60"/>
      <c r="AI242" s="60"/>
    </row>
    <row r="243" spans="1:35" ht="20.100000000000001" customHeight="1">
      <c r="A243" s="61"/>
      <c r="B243" s="15" t="str">
        <f>'2021'!B87</f>
        <v>X</v>
      </c>
      <c r="C243" s="15" t="str">
        <f>'2021'!C87</f>
        <v>X</v>
      </c>
      <c r="D243" s="15">
        <f>'2021'!D87</f>
        <v>1</v>
      </c>
      <c r="E243" s="15">
        <f>'2021'!E87</f>
        <v>1</v>
      </c>
      <c r="F243" s="15">
        <f>'2021'!F87</f>
        <v>1</v>
      </c>
      <c r="G243" s="15">
        <f>'2021'!G87</f>
        <v>1</v>
      </c>
      <c r="H243" s="15">
        <f>'2021'!H87</f>
        <v>1</v>
      </c>
      <c r="I243" s="15">
        <f>'2021'!I87</f>
        <v>1</v>
      </c>
      <c r="J243" s="15" t="str">
        <f>'2021'!J87</f>
        <v>X</v>
      </c>
      <c r="K243" s="15" t="str">
        <f>'2021'!K87</f>
        <v>X</v>
      </c>
      <c r="L243" s="15">
        <f>'2021'!L87</f>
        <v>3</v>
      </c>
      <c r="M243" s="15">
        <f>'2021'!M87</f>
        <v>3</v>
      </c>
      <c r="N243" s="15">
        <f>'2021'!N87</f>
        <v>3</v>
      </c>
      <c r="O243" s="15">
        <f>'2021'!O87</f>
        <v>3</v>
      </c>
      <c r="P243" s="15">
        <f>'2021'!P87</f>
        <v>3</v>
      </c>
      <c r="Q243" s="15">
        <f>'2021'!Q87</f>
        <v>3</v>
      </c>
      <c r="R243" s="15" t="str">
        <f>'2021'!R87</f>
        <v>X</v>
      </c>
      <c r="S243" s="15" t="str">
        <f>'2021'!S87</f>
        <v>X</v>
      </c>
      <c r="T243" s="15">
        <f>'2021'!T87</f>
        <v>2</v>
      </c>
      <c r="U243" s="15">
        <f>'2021'!U87</f>
        <v>2</v>
      </c>
      <c r="V243" s="15">
        <f>'2021'!V87</f>
        <v>2</v>
      </c>
      <c r="W243" s="15">
        <f>'2021'!W87</f>
        <v>2</v>
      </c>
      <c r="X243" s="15">
        <f>'2021'!X87</f>
        <v>2</v>
      </c>
      <c r="Y243" s="15">
        <f>'2021'!Y87</f>
        <v>2</v>
      </c>
      <c r="Z243" s="15" t="str">
        <f>'2021'!Z87</f>
        <v>X</v>
      </c>
      <c r="AA243" s="15" t="str">
        <f>'2021'!AA87</f>
        <v>X</v>
      </c>
      <c r="AB243" s="15">
        <f>'2021'!AB87</f>
        <v>1</v>
      </c>
      <c r="AC243" s="15">
        <f>'2021'!AC87</f>
        <v>1</v>
      </c>
      <c r="AD243" s="15">
        <f>'2021'!AD87</f>
        <v>1</v>
      </c>
      <c r="AE243" s="15">
        <f>'2021'!AE87</f>
        <v>1</v>
      </c>
      <c r="AF243" s="6"/>
      <c r="AH243" s="60"/>
      <c r="AI243" s="60"/>
    </row>
    <row r="244" spans="1:35" ht="20.100000000000001" customHeight="1">
      <c r="A244" s="24" t="str">
        <f>ÖSSZES!$A$49</f>
        <v>Kuik-Filep András</v>
      </c>
      <c r="B244" s="39" t="s">
        <v>2</v>
      </c>
      <c r="C244" s="39" t="s">
        <v>2</v>
      </c>
      <c r="D244" s="39"/>
      <c r="E244" s="39"/>
      <c r="F244" s="39"/>
      <c r="G244" s="39"/>
      <c r="H244" s="39"/>
      <c r="I244" s="39"/>
      <c r="J244" s="39" t="s">
        <v>2</v>
      </c>
      <c r="K244" s="39" t="s">
        <v>2</v>
      </c>
      <c r="L244" s="39"/>
      <c r="M244" s="39"/>
      <c r="N244" s="39"/>
      <c r="O244" s="39"/>
      <c r="P244" s="39"/>
      <c r="Q244" s="39"/>
      <c r="R244" s="39" t="s">
        <v>2</v>
      </c>
      <c r="S244" s="39" t="s">
        <v>2</v>
      </c>
      <c r="T244" s="39"/>
      <c r="U244" s="39"/>
      <c r="V244" s="39"/>
      <c r="W244" s="39"/>
      <c r="X244" s="39"/>
      <c r="Y244" s="39"/>
      <c r="Z244" s="39" t="s">
        <v>2</v>
      </c>
      <c r="AA244" s="39" t="s">
        <v>2</v>
      </c>
      <c r="AB244" s="39"/>
      <c r="AC244" s="39"/>
      <c r="AD244" s="39"/>
      <c r="AE244" s="39"/>
      <c r="AF244" s="6"/>
      <c r="AH244" s="20">
        <f>1*COUNTIF(A244:AF244,"+")</f>
        <v>0</v>
      </c>
      <c r="AI244" s="20">
        <f t="shared" ref="AI244" si="29">1*COUNTIF(B244:AF244,"szf")</f>
        <v>0</v>
      </c>
    </row>
    <row r="245" spans="1:35" ht="20.100000000000001" customHeight="1">
      <c r="A245" s="24" t="str">
        <f>ÖSSZES!$A$50</f>
        <v>Balogh Zsolt</v>
      </c>
      <c r="B245" s="39" t="s">
        <v>2</v>
      </c>
      <c r="C245" s="39" t="s">
        <v>2</v>
      </c>
      <c r="D245" s="39"/>
      <c r="E245" s="39"/>
      <c r="F245" s="39"/>
      <c r="G245" s="39"/>
      <c r="H245" s="39"/>
      <c r="I245" s="39"/>
      <c r="J245" s="39" t="s">
        <v>2</v>
      </c>
      <c r="K245" s="39" t="s">
        <v>2</v>
      </c>
      <c r="L245" s="39"/>
      <c r="M245" s="39"/>
      <c r="N245" s="39"/>
      <c r="O245" s="39"/>
      <c r="P245" s="39"/>
      <c r="Q245" s="39"/>
      <c r="R245" s="39" t="s">
        <v>2</v>
      </c>
      <c r="S245" s="39" t="s">
        <v>2</v>
      </c>
      <c r="T245" s="39"/>
      <c r="U245" s="39"/>
      <c r="V245" s="39"/>
      <c r="W245" s="39"/>
      <c r="X245" s="39"/>
      <c r="Y245" s="39"/>
      <c r="Z245" s="39" t="s">
        <v>2</v>
      </c>
      <c r="AA245" s="39" t="s">
        <v>2</v>
      </c>
      <c r="AB245" s="39"/>
      <c r="AC245" s="39"/>
      <c r="AD245" s="39"/>
      <c r="AE245" s="39"/>
      <c r="AF245" s="6"/>
      <c r="AH245" s="20">
        <f t="shared" ref="AH245:AH263" si="30">1*COUNTIF(A245:AF245,"+")</f>
        <v>0</v>
      </c>
      <c r="AI245" s="20">
        <f t="shared" ref="AI245:AI263" si="31">1*COUNTIF(B245:AF245,"szf")</f>
        <v>0</v>
      </c>
    </row>
    <row r="246" spans="1:35" ht="20.100000000000001" customHeight="1">
      <c r="A246" s="24" t="str">
        <f>ÖSSZES!$A$51</f>
        <v>Éliás Viktor</v>
      </c>
      <c r="B246" s="39" t="s">
        <v>2</v>
      </c>
      <c r="C246" s="39" t="s">
        <v>2</v>
      </c>
      <c r="D246" s="39"/>
      <c r="E246" s="39"/>
      <c r="F246" s="39"/>
      <c r="G246" s="39"/>
      <c r="H246" s="39"/>
      <c r="I246" s="39"/>
      <c r="J246" s="39" t="s">
        <v>2</v>
      </c>
      <c r="K246" s="39" t="s">
        <v>2</v>
      </c>
      <c r="L246" s="39"/>
      <c r="M246" s="39"/>
      <c r="N246" s="39"/>
      <c r="O246" s="39"/>
      <c r="P246" s="39"/>
      <c r="Q246" s="39"/>
      <c r="R246" s="39" t="s">
        <v>2</v>
      </c>
      <c r="S246" s="39" t="s">
        <v>2</v>
      </c>
      <c r="T246" s="39"/>
      <c r="U246" s="39"/>
      <c r="V246" s="39"/>
      <c r="W246" s="39"/>
      <c r="X246" s="39"/>
      <c r="Y246" s="39"/>
      <c r="Z246" s="39" t="s">
        <v>2</v>
      </c>
      <c r="AA246" s="39" t="s">
        <v>2</v>
      </c>
      <c r="AB246" s="39"/>
      <c r="AC246" s="39"/>
      <c r="AD246" s="39"/>
      <c r="AE246" s="39"/>
      <c r="AF246" s="6"/>
      <c r="AH246" s="20">
        <f t="shared" si="30"/>
        <v>0</v>
      </c>
      <c r="AI246" s="20">
        <f t="shared" si="31"/>
        <v>0</v>
      </c>
    </row>
    <row r="247" spans="1:35" ht="20.100000000000001" customHeight="1">
      <c r="A247" s="24" t="str">
        <f>ÖSSZES!$A$52</f>
        <v>Hadházi Kálmán</v>
      </c>
      <c r="B247" s="39" t="s">
        <v>2</v>
      </c>
      <c r="C247" s="39" t="s">
        <v>2</v>
      </c>
      <c r="D247" s="39"/>
      <c r="E247" s="39"/>
      <c r="F247" s="39"/>
      <c r="G247" s="39"/>
      <c r="H247" s="39"/>
      <c r="I247" s="39"/>
      <c r="J247" s="39" t="s">
        <v>2</v>
      </c>
      <c r="K247" s="39" t="s">
        <v>2</v>
      </c>
      <c r="L247" s="39"/>
      <c r="M247" s="39"/>
      <c r="N247" s="39"/>
      <c r="O247" s="39"/>
      <c r="P247" s="39"/>
      <c r="Q247" s="39"/>
      <c r="R247" s="39" t="s">
        <v>2</v>
      </c>
      <c r="S247" s="39" t="s">
        <v>2</v>
      </c>
      <c r="T247" s="39"/>
      <c r="U247" s="39"/>
      <c r="V247" s="39"/>
      <c r="W247" s="39"/>
      <c r="X247" s="39"/>
      <c r="Y247" s="39"/>
      <c r="Z247" s="39" t="s">
        <v>2</v>
      </c>
      <c r="AA247" s="39" t="s">
        <v>2</v>
      </c>
      <c r="AB247" s="39"/>
      <c r="AC247" s="39"/>
      <c r="AD247" s="39"/>
      <c r="AE247" s="39"/>
      <c r="AF247" s="6"/>
      <c r="AH247" s="20">
        <f t="shared" si="30"/>
        <v>0</v>
      </c>
      <c r="AI247" s="20">
        <f t="shared" si="31"/>
        <v>0</v>
      </c>
    </row>
    <row r="248" spans="1:35" ht="20.100000000000001" customHeight="1">
      <c r="A248" s="24" t="str">
        <f>ÖSSZES!$A$53</f>
        <v>Kiss Attila</v>
      </c>
      <c r="B248" s="39" t="s">
        <v>2</v>
      </c>
      <c r="C248" s="39" t="s">
        <v>2</v>
      </c>
      <c r="D248" s="39"/>
      <c r="E248" s="39"/>
      <c r="F248" s="39"/>
      <c r="G248" s="39"/>
      <c r="H248" s="39"/>
      <c r="I248" s="39"/>
      <c r="J248" s="39" t="s">
        <v>2</v>
      </c>
      <c r="K248" s="39" t="s">
        <v>2</v>
      </c>
      <c r="L248" s="39"/>
      <c r="M248" s="39"/>
      <c r="N248" s="39"/>
      <c r="O248" s="39"/>
      <c r="P248" s="39"/>
      <c r="Q248" s="39"/>
      <c r="R248" s="39" t="s">
        <v>2</v>
      </c>
      <c r="S248" s="39" t="s">
        <v>2</v>
      </c>
      <c r="T248" s="39"/>
      <c r="U248" s="39"/>
      <c r="V248" s="39"/>
      <c r="W248" s="39"/>
      <c r="X248" s="39"/>
      <c r="Y248" s="39"/>
      <c r="Z248" s="39" t="s">
        <v>2</v>
      </c>
      <c r="AA248" s="39" t="s">
        <v>2</v>
      </c>
      <c r="AB248" s="39"/>
      <c r="AC248" s="39"/>
      <c r="AD248" s="39"/>
      <c r="AE248" s="39"/>
      <c r="AF248" s="6"/>
      <c r="AH248" s="20">
        <f t="shared" si="30"/>
        <v>0</v>
      </c>
      <c r="AI248" s="20">
        <f t="shared" si="31"/>
        <v>0</v>
      </c>
    </row>
    <row r="249" spans="1:35" ht="20.100000000000001" customHeight="1">
      <c r="A249" s="24" t="str">
        <f>ÖSSZES!$A$54</f>
        <v>Serestyén Dániel</v>
      </c>
      <c r="B249" s="39" t="s">
        <v>2</v>
      </c>
      <c r="C249" s="39" t="s">
        <v>2</v>
      </c>
      <c r="D249" s="39"/>
      <c r="E249" s="39"/>
      <c r="F249" s="39"/>
      <c r="G249" s="39"/>
      <c r="H249" s="39"/>
      <c r="I249" s="39"/>
      <c r="J249" s="39" t="s">
        <v>2</v>
      </c>
      <c r="K249" s="39" t="s">
        <v>2</v>
      </c>
      <c r="L249" s="39"/>
      <c r="M249" s="39"/>
      <c r="N249" s="39"/>
      <c r="O249" s="39"/>
      <c r="P249" s="39"/>
      <c r="Q249" s="39"/>
      <c r="R249" s="39" t="s">
        <v>2</v>
      </c>
      <c r="S249" s="39" t="s">
        <v>2</v>
      </c>
      <c r="T249" s="39"/>
      <c r="U249" s="39"/>
      <c r="V249" s="39"/>
      <c r="W249" s="39"/>
      <c r="X249" s="39"/>
      <c r="Y249" s="39"/>
      <c r="Z249" s="39" t="s">
        <v>2</v>
      </c>
      <c r="AA249" s="39" t="s">
        <v>2</v>
      </c>
      <c r="AB249" s="39"/>
      <c r="AC249" s="39"/>
      <c r="AD249" s="39"/>
      <c r="AE249" s="39"/>
      <c r="AF249" s="6"/>
      <c r="AH249" s="20">
        <f t="shared" si="30"/>
        <v>0</v>
      </c>
      <c r="AI249" s="20">
        <f t="shared" si="31"/>
        <v>0</v>
      </c>
    </row>
    <row r="250" spans="1:35" ht="20.100000000000001" customHeight="1">
      <c r="A250" s="24" t="str">
        <f>ÖSSZES!$A$55</f>
        <v>Varga Imre</v>
      </c>
      <c r="B250" s="39" t="s">
        <v>2</v>
      </c>
      <c r="C250" s="39" t="s">
        <v>2</v>
      </c>
      <c r="D250" s="39"/>
      <c r="E250" s="39"/>
      <c r="F250" s="39"/>
      <c r="G250" s="39"/>
      <c r="H250" s="39"/>
      <c r="I250" s="39"/>
      <c r="J250" s="39" t="s">
        <v>2</v>
      </c>
      <c r="K250" s="39" t="s">
        <v>2</v>
      </c>
      <c r="L250" s="39"/>
      <c r="M250" s="39"/>
      <c r="N250" s="39"/>
      <c r="O250" s="39"/>
      <c r="P250" s="39"/>
      <c r="Q250" s="39"/>
      <c r="R250" s="39" t="s">
        <v>2</v>
      </c>
      <c r="S250" s="39" t="s">
        <v>2</v>
      </c>
      <c r="T250" s="39"/>
      <c r="U250" s="39"/>
      <c r="V250" s="39"/>
      <c r="W250" s="39"/>
      <c r="X250" s="39"/>
      <c r="Y250" s="39"/>
      <c r="Z250" s="39" t="s">
        <v>2</v>
      </c>
      <c r="AA250" s="39" t="s">
        <v>2</v>
      </c>
      <c r="AB250" s="39"/>
      <c r="AC250" s="39"/>
      <c r="AD250" s="39"/>
      <c r="AE250" s="39"/>
      <c r="AF250" s="6"/>
      <c r="AH250" s="20">
        <f t="shared" si="30"/>
        <v>0</v>
      </c>
      <c r="AI250" s="20">
        <f t="shared" si="31"/>
        <v>0</v>
      </c>
    </row>
    <row r="251" spans="1:35" ht="20.100000000000001" hidden="1" customHeight="1">
      <c r="A251" s="24" t="str">
        <f>ÖSSZES!$A$56</f>
        <v>Név8</v>
      </c>
      <c r="B251" s="39" t="s">
        <v>2</v>
      </c>
      <c r="C251" s="39" t="s">
        <v>2</v>
      </c>
      <c r="D251" s="39"/>
      <c r="E251" s="39"/>
      <c r="F251" s="39"/>
      <c r="G251" s="39"/>
      <c r="H251" s="39"/>
      <c r="I251" s="39"/>
      <c r="J251" s="39" t="s">
        <v>2</v>
      </c>
      <c r="K251" s="39" t="s">
        <v>2</v>
      </c>
      <c r="L251" s="39"/>
      <c r="M251" s="39"/>
      <c r="N251" s="39"/>
      <c r="O251" s="39"/>
      <c r="P251" s="39"/>
      <c r="Q251" s="39"/>
      <c r="R251" s="39" t="s">
        <v>2</v>
      </c>
      <c r="S251" s="39" t="s">
        <v>2</v>
      </c>
      <c r="T251" s="39"/>
      <c r="U251" s="39"/>
      <c r="V251" s="39"/>
      <c r="W251" s="39"/>
      <c r="X251" s="39"/>
      <c r="Y251" s="39"/>
      <c r="Z251" s="39" t="s">
        <v>2</v>
      </c>
      <c r="AA251" s="39" t="s">
        <v>2</v>
      </c>
      <c r="AB251" s="39"/>
      <c r="AC251" s="39"/>
      <c r="AD251" s="39"/>
      <c r="AE251" s="39"/>
      <c r="AF251" s="6"/>
      <c r="AH251" s="20">
        <f t="shared" si="30"/>
        <v>0</v>
      </c>
      <c r="AI251" s="20">
        <f t="shared" si="31"/>
        <v>0</v>
      </c>
    </row>
    <row r="252" spans="1:35" ht="20.100000000000001" hidden="1" customHeight="1">
      <c r="A252" s="24" t="str">
        <f>ÖSSZES!$A$57</f>
        <v>Név9</v>
      </c>
      <c r="B252" s="39" t="s">
        <v>2</v>
      </c>
      <c r="C252" s="39" t="s">
        <v>2</v>
      </c>
      <c r="D252" s="39"/>
      <c r="E252" s="39"/>
      <c r="F252" s="39"/>
      <c r="G252" s="39"/>
      <c r="H252" s="39"/>
      <c r="I252" s="39"/>
      <c r="J252" s="39" t="s">
        <v>2</v>
      </c>
      <c r="K252" s="39" t="s">
        <v>2</v>
      </c>
      <c r="L252" s="39"/>
      <c r="M252" s="39"/>
      <c r="N252" s="39"/>
      <c r="O252" s="39"/>
      <c r="P252" s="39"/>
      <c r="Q252" s="39"/>
      <c r="R252" s="39" t="s">
        <v>2</v>
      </c>
      <c r="S252" s="39" t="s">
        <v>2</v>
      </c>
      <c r="T252" s="39"/>
      <c r="U252" s="39"/>
      <c r="V252" s="39"/>
      <c r="W252" s="39"/>
      <c r="X252" s="39"/>
      <c r="Y252" s="39"/>
      <c r="Z252" s="39" t="s">
        <v>2</v>
      </c>
      <c r="AA252" s="39" t="s">
        <v>2</v>
      </c>
      <c r="AB252" s="39"/>
      <c r="AC252" s="39"/>
      <c r="AD252" s="39"/>
      <c r="AE252" s="39"/>
      <c r="AF252" s="6"/>
      <c r="AH252" s="20">
        <f t="shared" si="30"/>
        <v>0</v>
      </c>
      <c r="AI252" s="20">
        <f t="shared" si="31"/>
        <v>0</v>
      </c>
    </row>
    <row r="253" spans="1:35" ht="20.100000000000001" hidden="1" customHeight="1">
      <c r="A253" s="24" t="str">
        <f>ÖSSZES!$A$58</f>
        <v>Név10</v>
      </c>
      <c r="B253" s="39" t="s">
        <v>2</v>
      </c>
      <c r="C253" s="39" t="s">
        <v>2</v>
      </c>
      <c r="D253" s="39"/>
      <c r="E253" s="39"/>
      <c r="F253" s="39"/>
      <c r="G253" s="39"/>
      <c r="H253" s="39"/>
      <c r="I253" s="39"/>
      <c r="J253" s="39" t="s">
        <v>2</v>
      </c>
      <c r="K253" s="39" t="s">
        <v>2</v>
      </c>
      <c r="L253" s="39"/>
      <c r="M253" s="39"/>
      <c r="N253" s="39"/>
      <c r="O253" s="39"/>
      <c r="P253" s="39"/>
      <c r="Q253" s="39"/>
      <c r="R253" s="39" t="s">
        <v>2</v>
      </c>
      <c r="S253" s="39" t="s">
        <v>2</v>
      </c>
      <c r="T253" s="39"/>
      <c r="U253" s="39"/>
      <c r="V253" s="39"/>
      <c r="W253" s="39"/>
      <c r="X253" s="39"/>
      <c r="Y253" s="39"/>
      <c r="Z253" s="39" t="s">
        <v>2</v>
      </c>
      <c r="AA253" s="39" t="s">
        <v>2</v>
      </c>
      <c r="AB253" s="39"/>
      <c r="AC253" s="39"/>
      <c r="AD253" s="39"/>
      <c r="AE253" s="39"/>
      <c r="AF253" s="6"/>
      <c r="AH253" s="20">
        <f t="shared" si="30"/>
        <v>0</v>
      </c>
      <c r="AI253" s="20">
        <f t="shared" si="31"/>
        <v>0</v>
      </c>
    </row>
    <row r="254" spans="1:35" ht="20.100000000000001" hidden="1" customHeight="1">
      <c r="A254" s="24" t="str">
        <f>ÖSSZES!$A$59</f>
        <v>Név11</v>
      </c>
      <c r="B254" s="39" t="s">
        <v>2</v>
      </c>
      <c r="C254" s="39" t="s">
        <v>2</v>
      </c>
      <c r="D254" s="39"/>
      <c r="E254" s="39"/>
      <c r="F254" s="39"/>
      <c r="G254" s="39"/>
      <c r="H254" s="39"/>
      <c r="I254" s="39"/>
      <c r="J254" s="39" t="s">
        <v>2</v>
      </c>
      <c r="K254" s="39" t="s">
        <v>2</v>
      </c>
      <c r="L254" s="39"/>
      <c r="M254" s="39"/>
      <c r="N254" s="39"/>
      <c r="O254" s="39"/>
      <c r="P254" s="39"/>
      <c r="Q254" s="39"/>
      <c r="R254" s="39" t="s">
        <v>2</v>
      </c>
      <c r="S254" s="39" t="s">
        <v>2</v>
      </c>
      <c r="T254" s="39"/>
      <c r="U254" s="39"/>
      <c r="V254" s="39"/>
      <c r="W254" s="39"/>
      <c r="X254" s="39"/>
      <c r="Y254" s="39"/>
      <c r="Z254" s="39" t="s">
        <v>2</v>
      </c>
      <c r="AA254" s="39" t="s">
        <v>2</v>
      </c>
      <c r="AB254" s="39"/>
      <c r="AC254" s="39"/>
      <c r="AD254" s="39"/>
      <c r="AE254" s="39"/>
      <c r="AF254" s="6"/>
      <c r="AH254" s="20">
        <f t="shared" si="30"/>
        <v>0</v>
      </c>
      <c r="AI254" s="20">
        <f t="shared" si="31"/>
        <v>0</v>
      </c>
    </row>
    <row r="255" spans="1:35" ht="20.100000000000001" hidden="1" customHeight="1">
      <c r="A255" s="24" t="str">
        <f>ÖSSZES!$A$60</f>
        <v>Név12</v>
      </c>
      <c r="B255" s="39" t="s">
        <v>2</v>
      </c>
      <c r="C255" s="39" t="s">
        <v>2</v>
      </c>
      <c r="D255" s="39"/>
      <c r="E255" s="39"/>
      <c r="F255" s="39"/>
      <c r="G255" s="39"/>
      <c r="H255" s="39"/>
      <c r="I255" s="39"/>
      <c r="J255" s="39" t="s">
        <v>2</v>
      </c>
      <c r="K255" s="39" t="s">
        <v>2</v>
      </c>
      <c r="L255" s="39"/>
      <c r="M255" s="39"/>
      <c r="N255" s="39"/>
      <c r="O255" s="39"/>
      <c r="P255" s="39"/>
      <c r="Q255" s="39"/>
      <c r="R255" s="39" t="s">
        <v>2</v>
      </c>
      <c r="S255" s="39" t="s">
        <v>2</v>
      </c>
      <c r="T255" s="39"/>
      <c r="U255" s="39"/>
      <c r="V255" s="39"/>
      <c r="W255" s="39"/>
      <c r="X255" s="39"/>
      <c r="Y255" s="39"/>
      <c r="Z255" s="39" t="s">
        <v>2</v>
      </c>
      <c r="AA255" s="39" t="s">
        <v>2</v>
      </c>
      <c r="AB255" s="39"/>
      <c r="AC255" s="39"/>
      <c r="AD255" s="39"/>
      <c r="AE255" s="39"/>
      <c r="AF255" s="6"/>
      <c r="AH255" s="20">
        <f t="shared" si="30"/>
        <v>0</v>
      </c>
      <c r="AI255" s="20">
        <f t="shared" si="31"/>
        <v>0</v>
      </c>
    </row>
    <row r="256" spans="1:35" ht="20.100000000000001" hidden="1" customHeight="1">
      <c r="A256" s="24" t="str">
        <f>ÖSSZES!$A$61</f>
        <v>Név13</v>
      </c>
      <c r="B256" s="39" t="s">
        <v>2</v>
      </c>
      <c r="C256" s="39" t="s">
        <v>2</v>
      </c>
      <c r="D256" s="39"/>
      <c r="E256" s="39"/>
      <c r="F256" s="39"/>
      <c r="G256" s="39"/>
      <c r="H256" s="39"/>
      <c r="I256" s="39"/>
      <c r="J256" s="39" t="s">
        <v>2</v>
      </c>
      <c r="K256" s="39" t="s">
        <v>2</v>
      </c>
      <c r="L256" s="39"/>
      <c r="M256" s="39"/>
      <c r="N256" s="39"/>
      <c r="O256" s="39"/>
      <c r="P256" s="39"/>
      <c r="Q256" s="39"/>
      <c r="R256" s="39" t="s">
        <v>2</v>
      </c>
      <c r="S256" s="39" t="s">
        <v>2</v>
      </c>
      <c r="T256" s="39"/>
      <c r="U256" s="39"/>
      <c r="V256" s="39"/>
      <c r="W256" s="39"/>
      <c r="X256" s="39"/>
      <c r="Y256" s="39"/>
      <c r="Z256" s="39" t="s">
        <v>2</v>
      </c>
      <c r="AA256" s="39" t="s">
        <v>2</v>
      </c>
      <c r="AB256" s="39"/>
      <c r="AC256" s="39"/>
      <c r="AD256" s="39"/>
      <c r="AE256" s="39"/>
      <c r="AF256" s="6"/>
      <c r="AH256" s="20">
        <f t="shared" si="30"/>
        <v>0</v>
      </c>
      <c r="AI256" s="20">
        <f t="shared" si="31"/>
        <v>0</v>
      </c>
    </row>
    <row r="257" spans="1:35" ht="20.100000000000001" hidden="1" customHeight="1">
      <c r="A257" s="24" t="str">
        <f>ÖSSZES!$A$62</f>
        <v>Név14</v>
      </c>
      <c r="B257" s="39" t="s">
        <v>2</v>
      </c>
      <c r="C257" s="39" t="s">
        <v>2</v>
      </c>
      <c r="D257" s="39"/>
      <c r="E257" s="39"/>
      <c r="F257" s="39"/>
      <c r="G257" s="39"/>
      <c r="H257" s="39"/>
      <c r="I257" s="39"/>
      <c r="J257" s="39" t="s">
        <v>2</v>
      </c>
      <c r="K257" s="39" t="s">
        <v>2</v>
      </c>
      <c r="L257" s="39"/>
      <c r="M257" s="39"/>
      <c r="N257" s="39"/>
      <c r="O257" s="39"/>
      <c r="P257" s="39"/>
      <c r="Q257" s="39"/>
      <c r="R257" s="39" t="s">
        <v>2</v>
      </c>
      <c r="S257" s="39" t="s">
        <v>2</v>
      </c>
      <c r="T257" s="39"/>
      <c r="U257" s="39"/>
      <c r="V257" s="39"/>
      <c r="W257" s="39"/>
      <c r="X257" s="39"/>
      <c r="Y257" s="39"/>
      <c r="Z257" s="39" t="s">
        <v>2</v>
      </c>
      <c r="AA257" s="39" t="s">
        <v>2</v>
      </c>
      <c r="AB257" s="39"/>
      <c r="AC257" s="39"/>
      <c r="AD257" s="39"/>
      <c r="AE257" s="39"/>
      <c r="AF257" s="6"/>
      <c r="AH257" s="20">
        <f t="shared" si="30"/>
        <v>0</v>
      </c>
      <c r="AI257" s="20">
        <f t="shared" si="31"/>
        <v>0</v>
      </c>
    </row>
    <row r="258" spans="1:35" ht="20.100000000000001" hidden="1" customHeight="1">
      <c r="A258" s="24" t="str">
        <f>ÖSSZES!$A$63</f>
        <v>Név15</v>
      </c>
      <c r="B258" s="39" t="s">
        <v>2</v>
      </c>
      <c r="C258" s="39" t="s">
        <v>2</v>
      </c>
      <c r="D258" s="39"/>
      <c r="E258" s="39"/>
      <c r="F258" s="39"/>
      <c r="G258" s="39"/>
      <c r="H258" s="39"/>
      <c r="I258" s="39"/>
      <c r="J258" s="39" t="s">
        <v>2</v>
      </c>
      <c r="K258" s="39" t="s">
        <v>2</v>
      </c>
      <c r="L258" s="39"/>
      <c r="M258" s="39"/>
      <c r="N258" s="39"/>
      <c r="O258" s="39"/>
      <c r="P258" s="39"/>
      <c r="Q258" s="39"/>
      <c r="R258" s="39" t="s">
        <v>2</v>
      </c>
      <c r="S258" s="39" t="s">
        <v>2</v>
      </c>
      <c r="T258" s="39"/>
      <c r="U258" s="39"/>
      <c r="V258" s="39"/>
      <c r="W258" s="39"/>
      <c r="X258" s="39"/>
      <c r="Y258" s="39"/>
      <c r="Z258" s="39" t="s">
        <v>2</v>
      </c>
      <c r="AA258" s="39" t="s">
        <v>2</v>
      </c>
      <c r="AB258" s="39"/>
      <c r="AC258" s="39"/>
      <c r="AD258" s="39"/>
      <c r="AE258" s="39"/>
      <c r="AF258" s="6"/>
      <c r="AH258" s="20">
        <f t="shared" si="30"/>
        <v>0</v>
      </c>
      <c r="AI258" s="20">
        <f t="shared" si="31"/>
        <v>0</v>
      </c>
    </row>
    <row r="259" spans="1:35" ht="20.100000000000001" hidden="1" customHeight="1">
      <c r="A259" s="24" t="str">
        <f>ÖSSZES!$A$64</f>
        <v>Név16</v>
      </c>
      <c r="B259" s="39" t="s">
        <v>2</v>
      </c>
      <c r="C259" s="39" t="s">
        <v>2</v>
      </c>
      <c r="D259" s="39"/>
      <c r="E259" s="39"/>
      <c r="F259" s="39"/>
      <c r="G259" s="39"/>
      <c r="H259" s="39"/>
      <c r="I259" s="39"/>
      <c r="J259" s="39" t="s">
        <v>2</v>
      </c>
      <c r="K259" s="39" t="s">
        <v>2</v>
      </c>
      <c r="L259" s="39"/>
      <c r="M259" s="39"/>
      <c r="N259" s="39"/>
      <c r="O259" s="39"/>
      <c r="P259" s="39"/>
      <c r="Q259" s="39"/>
      <c r="R259" s="39" t="s">
        <v>2</v>
      </c>
      <c r="S259" s="39" t="s">
        <v>2</v>
      </c>
      <c r="T259" s="39"/>
      <c r="U259" s="39"/>
      <c r="V259" s="39"/>
      <c r="W259" s="39"/>
      <c r="X259" s="39"/>
      <c r="Y259" s="39"/>
      <c r="Z259" s="39" t="s">
        <v>2</v>
      </c>
      <c r="AA259" s="39" t="s">
        <v>2</v>
      </c>
      <c r="AB259" s="39"/>
      <c r="AC259" s="39"/>
      <c r="AD259" s="39"/>
      <c r="AE259" s="39"/>
      <c r="AF259" s="6"/>
      <c r="AH259" s="20">
        <f t="shared" si="30"/>
        <v>0</v>
      </c>
      <c r="AI259" s="20">
        <f t="shared" si="31"/>
        <v>0</v>
      </c>
    </row>
    <row r="260" spans="1:35" ht="20.100000000000001" hidden="1" customHeight="1">
      <c r="A260" s="24" t="str">
        <f>ÖSSZES!$A$65</f>
        <v>Név17</v>
      </c>
      <c r="B260" s="39" t="s">
        <v>2</v>
      </c>
      <c r="C260" s="39" t="s">
        <v>2</v>
      </c>
      <c r="D260" s="39"/>
      <c r="E260" s="39"/>
      <c r="F260" s="39"/>
      <c r="G260" s="39"/>
      <c r="H260" s="39"/>
      <c r="I260" s="39"/>
      <c r="J260" s="39" t="s">
        <v>2</v>
      </c>
      <c r="K260" s="39" t="s">
        <v>2</v>
      </c>
      <c r="L260" s="39"/>
      <c r="M260" s="39"/>
      <c r="N260" s="39"/>
      <c r="O260" s="39"/>
      <c r="P260" s="39"/>
      <c r="Q260" s="39"/>
      <c r="R260" s="39" t="s">
        <v>2</v>
      </c>
      <c r="S260" s="39" t="s">
        <v>2</v>
      </c>
      <c r="T260" s="39"/>
      <c r="U260" s="39"/>
      <c r="V260" s="39"/>
      <c r="W260" s="39"/>
      <c r="X260" s="39"/>
      <c r="Y260" s="39"/>
      <c r="Z260" s="39" t="s">
        <v>2</v>
      </c>
      <c r="AA260" s="39" t="s">
        <v>2</v>
      </c>
      <c r="AB260" s="39"/>
      <c r="AC260" s="39"/>
      <c r="AD260" s="39"/>
      <c r="AE260" s="39"/>
      <c r="AF260" s="6"/>
      <c r="AH260" s="20">
        <f t="shared" si="30"/>
        <v>0</v>
      </c>
      <c r="AI260" s="20">
        <f t="shared" si="31"/>
        <v>0</v>
      </c>
    </row>
    <row r="261" spans="1:35" ht="20.100000000000001" hidden="1" customHeight="1">
      <c r="A261" s="24" t="str">
        <f>ÖSSZES!$A$66</f>
        <v>Név18</v>
      </c>
      <c r="B261" s="39" t="s">
        <v>2</v>
      </c>
      <c r="C261" s="39" t="s">
        <v>2</v>
      </c>
      <c r="D261" s="39"/>
      <c r="E261" s="39"/>
      <c r="F261" s="39"/>
      <c r="G261" s="39"/>
      <c r="H261" s="39"/>
      <c r="I261" s="39"/>
      <c r="J261" s="39" t="s">
        <v>2</v>
      </c>
      <c r="K261" s="39" t="s">
        <v>2</v>
      </c>
      <c r="L261" s="39"/>
      <c r="M261" s="39"/>
      <c r="N261" s="39"/>
      <c r="O261" s="39"/>
      <c r="P261" s="39"/>
      <c r="Q261" s="39"/>
      <c r="R261" s="39" t="s">
        <v>2</v>
      </c>
      <c r="S261" s="39" t="s">
        <v>2</v>
      </c>
      <c r="T261" s="39"/>
      <c r="U261" s="39"/>
      <c r="V261" s="39"/>
      <c r="W261" s="39"/>
      <c r="X261" s="39"/>
      <c r="Y261" s="39"/>
      <c r="Z261" s="39" t="s">
        <v>2</v>
      </c>
      <c r="AA261" s="39" t="s">
        <v>2</v>
      </c>
      <c r="AB261" s="39"/>
      <c r="AC261" s="39"/>
      <c r="AD261" s="39"/>
      <c r="AE261" s="39"/>
      <c r="AF261" s="6"/>
      <c r="AH261" s="20">
        <f t="shared" si="30"/>
        <v>0</v>
      </c>
      <c r="AI261" s="20">
        <f t="shared" si="31"/>
        <v>0</v>
      </c>
    </row>
    <row r="262" spans="1:35" ht="20.100000000000001" hidden="1" customHeight="1">
      <c r="A262" s="24" t="str">
        <f>ÖSSZES!$A$67</f>
        <v>Név19</v>
      </c>
      <c r="B262" s="39" t="s">
        <v>2</v>
      </c>
      <c r="C262" s="39" t="s">
        <v>2</v>
      </c>
      <c r="D262" s="39"/>
      <c r="E262" s="39"/>
      <c r="F262" s="39"/>
      <c r="G262" s="39"/>
      <c r="H262" s="39"/>
      <c r="I262" s="39"/>
      <c r="J262" s="39" t="s">
        <v>2</v>
      </c>
      <c r="K262" s="39" t="s">
        <v>2</v>
      </c>
      <c r="L262" s="39"/>
      <c r="M262" s="39"/>
      <c r="N262" s="39"/>
      <c r="O262" s="39"/>
      <c r="P262" s="39"/>
      <c r="Q262" s="39"/>
      <c r="R262" s="39" t="s">
        <v>2</v>
      </c>
      <c r="S262" s="39" t="s">
        <v>2</v>
      </c>
      <c r="T262" s="39"/>
      <c r="U262" s="39"/>
      <c r="V262" s="39"/>
      <c r="W262" s="39"/>
      <c r="X262" s="39"/>
      <c r="Y262" s="39"/>
      <c r="Z262" s="39" t="s">
        <v>2</v>
      </c>
      <c r="AA262" s="39" t="s">
        <v>2</v>
      </c>
      <c r="AB262" s="39"/>
      <c r="AC262" s="39"/>
      <c r="AD262" s="39"/>
      <c r="AE262" s="39"/>
      <c r="AF262" s="6"/>
      <c r="AH262" s="20">
        <f t="shared" si="30"/>
        <v>0</v>
      </c>
      <c r="AI262" s="20">
        <f t="shared" si="31"/>
        <v>0</v>
      </c>
    </row>
    <row r="263" spans="1:35" ht="20.100000000000001" hidden="1" customHeight="1">
      <c r="A263" s="24" t="str">
        <f>ÖSSZES!$A$68</f>
        <v>Név20</v>
      </c>
      <c r="B263" s="39" t="s">
        <v>2</v>
      </c>
      <c r="C263" s="39" t="s">
        <v>2</v>
      </c>
      <c r="D263" s="39"/>
      <c r="E263" s="39"/>
      <c r="F263" s="39"/>
      <c r="G263" s="39"/>
      <c r="H263" s="39"/>
      <c r="I263" s="39"/>
      <c r="J263" s="39" t="s">
        <v>2</v>
      </c>
      <c r="K263" s="39" t="s">
        <v>2</v>
      </c>
      <c r="L263" s="39"/>
      <c r="M263" s="39"/>
      <c r="N263" s="39"/>
      <c r="O263" s="39"/>
      <c r="P263" s="39"/>
      <c r="Q263" s="39"/>
      <c r="R263" s="39" t="s">
        <v>2</v>
      </c>
      <c r="S263" s="39" t="s">
        <v>2</v>
      </c>
      <c r="T263" s="39"/>
      <c r="U263" s="39"/>
      <c r="V263" s="39"/>
      <c r="W263" s="39"/>
      <c r="X263" s="39"/>
      <c r="Y263" s="39"/>
      <c r="Z263" s="39" t="s">
        <v>2</v>
      </c>
      <c r="AA263" s="39" t="s">
        <v>2</v>
      </c>
      <c r="AB263" s="39"/>
      <c r="AC263" s="39"/>
      <c r="AD263" s="39"/>
      <c r="AE263" s="39"/>
      <c r="AF263" s="6"/>
      <c r="AH263" s="20">
        <f t="shared" si="30"/>
        <v>0</v>
      </c>
      <c r="AI263" s="20">
        <f t="shared" si="31"/>
        <v>0</v>
      </c>
    </row>
    <row r="264" spans="1:35" ht="20.100000000000001" customHeight="1">
      <c r="A264" s="17"/>
    </row>
    <row r="265" spans="1:35" s="11" customFormat="1" ht="20.100000000000001" customHeight="1">
      <c r="A265" s="57" t="s">
        <v>16</v>
      </c>
      <c r="B265" s="23">
        <v>1</v>
      </c>
      <c r="C265" s="23">
        <v>2</v>
      </c>
      <c r="D265" s="23">
        <v>3</v>
      </c>
      <c r="E265" s="23">
        <v>4</v>
      </c>
      <c r="F265" s="23">
        <v>5</v>
      </c>
      <c r="G265" s="23">
        <v>6</v>
      </c>
      <c r="H265" s="23">
        <v>7</v>
      </c>
      <c r="I265" s="23">
        <v>8</v>
      </c>
      <c r="J265" s="23">
        <v>9</v>
      </c>
      <c r="K265" s="23">
        <v>10</v>
      </c>
      <c r="L265" s="23">
        <v>11</v>
      </c>
      <c r="M265" s="23">
        <v>12</v>
      </c>
      <c r="N265" s="23">
        <v>13</v>
      </c>
      <c r="O265" s="23">
        <v>14</v>
      </c>
      <c r="P265" s="23">
        <v>15</v>
      </c>
      <c r="Q265" s="23">
        <v>16</v>
      </c>
      <c r="R265" s="23">
        <v>17</v>
      </c>
      <c r="S265" s="23">
        <v>18</v>
      </c>
      <c r="T265" s="23">
        <v>19</v>
      </c>
      <c r="U265" s="23">
        <v>20</v>
      </c>
      <c r="V265" s="23">
        <v>21</v>
      </c>
      <c r="W265" s="23">
        <v>22</v>
      </c>
      <c r="X265" s="23">
        <v>23</v>
      </c>
      <c r="Y265" s="23">
        <v>24</v>
      </c>
      <c r="Z265" s="25">
        <v>25</v>
      </c>
      <c r="AA265" s="25">
        <v>26</v>
      </c>
      <c r="AB265" s="23">
        <v>27</v>
      </c>
      <c r="AC265" s="23">
        <v>28</v>
      </c>
      <c r="AD265" s="23">
        <v>29</v>
      </c>
      <c r="AE265" s="23">
        <v>30</v>
      </c>
      <c r="AF265" s="23">
        <v>31</v>
      </c>
      <c r="AH265" s="59" t="s">
        <v>18</v>
      </c>
      <c r="AI265" s="59" t="s">
        <v>19</v>
      </c>
    </row>
    <row r="266" spans="1:35" ht="20.100000000000001" customHeight="1">
      <c r="A266" s="61"/>
      <c r="B266" s="15" t="str">
        <f>'2021'!B92</f>
        <v>Sze</v>
      </c>
      <c r="C266" s="15" t="str">
        <f>'2021'!C92</f>
        <v>Cs</v>
      </c>
      <c r="D266" s="15" t="str">
        <f>'2021'!D92</f>
        <v>P</v>
      </c>
      <c r="E266" s="15" t="str">
        <f>'2021'!E92</f>
        <v>Szo</v>
      </c>
      <c r="F266" s="15" t="str">
        <f>'2021'!F92</f>
        <v>V</v>
      </c>
      <c r="G266" s="15" t="str">
        <f>'2021'!G92</f>
        <v>H</v>
      </c>
      <c r="H266" s="15" t="str">
        <f>'2021'!H92</f>
        <v>K</v>
      </c>
      <c r="I266" s="15" t="str">
        <f>'2021'!I92</f>
        <v>Sze</v>
      </c>
      <c r="J266" s="15" t="str">
        <f>'2021'!J92</f>
        <v>Cs</v>
      </c>
      <c r="K266" s="15" t="str">
        <f>'2021'!K92</f>
        <v>P</v>
      </c>
      <c r="L266" s="15" t="str">
        <f>'2021'!L92</f>
        <v>Szo</v>
      </c>
      <c r="M266" s="15" t="str">
        <f>'2021'!M92</f>
        <v>V</v>
      </c>
      <c r="N266" s="15" t="str">
        <f>'2021'!N92</f>
        <v>H</v>
      </c>
      <c r="O266" s="15" t="str">
        <f>'2021'!O92</f>
        <v>K</v>
      </c>
      <c r="P266" s="15" t="str">
        <f>'2021'!P92</f>
        <v>Sze</v>
      </c>
      <c r="Q266" s="15" t="str">
        <f>'2021'!Q92</f>
        <v>Cs</v>
      </c>
      <c r="R266" s="15" t="str">
        <f>'2021'!R92</f>
        <v>P</v>
      </c>
      <c r="S266" s="15" t="str">
        <f>'2021'!S92</f>
        <v>Szo</v>
      </c>
      <c r="T266" s="15" t="str">
        <f>'2021'!T92</f>
        <v>V</v>
      </c>
      <c r="U266" s="15" t="str">
        <f>'2021'!U92</f>
        <v>H</v>
      </c>
      <c r="V266" s="15" t="str">
        <f>'2021'!V92</f>
        <v>K</v>
      </c>
      <c r="W266" s="15" t="str">
        <f>'2021'!W92</f>
        <v>Sze</v>
      </c>
      <c r="X266" s="15" t="str">
        <f>'2021'!X92</f>
        <v>Cs</v>
      </c>
      <c r="Y266" s="15" t="str">
        <f>'2021'!Y92</f>
        <v>P</v>
      </c>
      <c r="Z266" s="15" t="str">
        <f>'2021'!Z92</f>
        <v>Szo</v>
      </c>
      <c r="AA266" s="15" t="str">
        <f>'2021'!AA92</f>
        <v>V</v>
      </c>
      <c r="AB266" s="15" t="str">
        <f>'2021'!AB92</f>
        <v>H</v>
      </c>
      <c r="AC266" s="15" t="str">
        <f>'2021'!AC92</f>
        <v>K</v>
      </c>
      <c r="AD266" s="15" t="str">
        <f>'2021'!AD92</f>
        <v>Sze</v>
      </c>
      <c r="AE266" s="15" t="str">
        <f>'2021'!AE92</f>
        <v>Cs</v>
      </c>
      <c r="AF266" s="15" t="str">
        <f>'2021'!AF92</f>
        <v>P</v>
      </c>
      <c r="AH266" s="60"/>
      <c r="AI266" s="60"/>
    </row>
    <row r="267" spans="1:35" ht="20.100000000000001" customHeight="1">
      <c r="A267" s="61"/>
      <c r="B267" s="15">
        <f>'2021'!B95</f>
        <v>1</v>
      </c>
      <c r="C267" s="15">
        <f>'2021'!C95</f>
        <v>1</v>
      </c>
      <c r="D267" s="15" t="str">
        <f>'2021'!D95</f>
        <v>X</v>
      </c>
      <c r="E267" s="15" t="str">
        <f>'2021'!E95</f>
        <v>X</v>
      </c>
      <c r="F267" s="15">
        <f>'2021'!F95</f>
        <v>3</v>
      </c>
      <c r="G267" s="15">
        <f>'2021'!G95</f>
        <v>3</v>
      </c>
      <c r="H267" s="15">
        <f>'2021'!H95</f>
        <v>3</v>
      </c>
      <c r="I267" s="15">
        <f>'2021'!I95</f>
        <v>3</v>
      </c>
      <c r="J267" s="15">
        <f>'2021'!J95</f>
        <v>3</v>
      </c>
      <c r="K267" s="15">
        <f>'2021'!K95</f>
        <v>3</v>
      </c>
      <c r="L267" s="15" t="str">
        <f>'2021'!L95</f>
        <v>X</v>
      </c>
      <c r="M267" s="15" t="str">
        <f>'2021'!M95</f>
        <v>X</v>
      </c>
      <c r="N267" s="15">
        <f>'2021'!N95</f>
        <v>2</v>
      </c>
      <c r="O267" s="15">
        <f>'2021'!O95</f>
        <v>2</v>
      </c>
      <c r="P267" s="15">
        <f>'2021'!P95</f>
        <v>2</v>
      </c>
      <c r="Q267" s="15">
        <f>'2021'!Q95</f>
        <v>2</v>
      </c>
      <c r="R267" s="15">
        <f>'2021'!R95</f>
        <v>2</v>
      </c>
      <c r="S267" s="15">
        <f>'2021'!S95</f>
        <v>2</v>
      </c>
      <c r="T267" s="15" t="str">
        <f>'2021'!T95</f>
        <v>X</v>
      </c>
      <c r="U267" s="15" t="str">
        <f>'2021'!U95</f>
        <v>X</v>
      </c>
      <c r="V267" s="15">
        <f>'2021'!V95</f>
        <v>1</v>
      </c>
      <c r="W267" s="15">
        <f>'2021'!W95</f>
        <v>1</v>
      </c>
      <c r="X267" s="15">
        <f>'2021'!X95</f>
        <v>1</v>
      </c>
      <c r="Y267" s="15">
        <f>'2021'!Y95</f>
        <v>1</v>
      </c>
      <c r="Z267" s="15">
        <f>'2021'!Z95</f>
        <v>1</v>
      </c>
      <c r="AA267" s="15">
        <f>'2021'!AA95</f>
        <v>1</v>
      </c>
      <c r="AB267" s="15" t="str">
        <f>'2021'!AB95</f>
        <v>X</v>
      </c>
      <c r="AC267" s="15" t="str">
        <f>'2021'!AC95</f>
        <v>X</v>
      </c>
      <c r="AD267" s="15">
        <f>'2021'!AD95</f>
        <v>3</v>
      </c>
      <c r="AE267" s="15">
        <f>'2021'!AE95</f>
        <v>3</v>
      </c>
      <c r="AF267" s="15">
        <f>'2021'!AF95</f>
        <v>3</v>
      </c>
      <c r="AH267" s="60"/>
      <c r="AI267" s="60"/>
    </row>
    <row r="268" spans="1:35" ht="20.100000000000001" customHeight="1">
      <c r="A268" s="24" t="str">
        <f>ÖSSZES!$A$49</f>
        <v>Kuik-Filep András</v>
      </c>
      <c r="B268" s="37"/>
      <c r="C268" s="37"/>
      <c r="D268" s="39" t="s">
        <v>2</v>
      </c>
      <c r="E268" s="39" t="s">
        <v>2</v>
      </c>
      <c r="F268" s="37"/>
      <c r="G268" s="37"/>
      <c r="H268" s="37"/>
      <c r="I268" s="37"/>
      <c r="J268" s="37"/>
      <c r="K268" s="37"/>
      <c r="L268" s="39" t="s">
        <v>2</v>
      </c>
      <c r="M268" s="39" t="s">
        <v>2</v>
      </c>
      <c r="N268" s="37"/>
      <c r="O268" s="37"/>
      <c r="P268" s="37"/>
      <c r="Q268" s="37"/>
      <c r="R268" s="37"/>
      <c r="S268" s="37"/>
      <c r="T268" s="39" t="s">
        <v>2</v>
      </c>
      <c r="U268" s="39" t="s">
        <v>2</v>
      </c>
      <c r="V268" s="37"/>
      <c r="W268" s="37"/>
      <c r="X268" s="37"/>
      <c r="Y268" s="37"/>
      <c r="Z268" s="37"/>
      <c r="AA268" s="37"/>
      <c r="AB268" s="39" t="s">
        <v>2</v>
      </c>
      <c r="AC268" s="39" t="s">
        <v>2</v>
      </c>
      <c r="AD268" s="37"/>
      <c r="AE268" s="39"/>
      <c r="AF268" s="39"/>
      <c r="AH268" s="20">
        <f>1*COUNTIF(A268:AF268,"+")</f>
        <v>0</v>
      </c>
      <c r="AI268" s="20">
        <f t="shared" ref="AI268" si="32">1*COUNTIF(B268:AF268,"szf")</f>
        <v>0</v>
      </c>
    </row>
    <row r="269" spans="1:35" ht="20.100000000000001" customHeight="1">
      <c r="A269" s="24" t="str">
        <f>ÖSSZES!$A$50</f>
        <v>Balogh Zsolt</v>
      </c>
      <c r="B269" s="37"/>
      <c r="C269" s="37"/>
      <c r="D269" s="39" t="s">
        <v>2</v>
      </c>
      <c r="E269" s="39" t="s">
        <v>2</v>
      </c>
      <c r="F269" s="37"/>
      <c r="G269" s="37"/>
      <c r="H269" s="37"/>
      <c r="I269" s="37"/>
      <c r="J269" s="37"/>
      <c r="K269" s="37"/>
      <c r="L269" s="39" t="s">
        <v>2</v>
      </c>
      <c r="M269" s="39" t="s">
        <v>2</v>
      </c>
      <c r="N269" s="37"/>
      <c r="O269" s="37"/>
      <c r="P269" s="37"/>
      <c r="Q269" s="37"/>
      <c r="R269" s="37"/>
      <c r="S269" s="37"/>
      <c r="T269" s="39" t="s">
        <v>2</v>
      </c>
      <c r="U269" s="39" t="s">
        <v>2</v>
      </c>
      <c r="V269" s="37"/>
      <c r="W269" s="37"/>
      <c r="X269" s="37"/>
      <c r="Y269" s="37"/>
      <c r="Z269" s="37"/>
      <c r="AA269" s="37"/>
      <c r="AB269" s="39" t="s">
        <v>2</v>
      </c>
      <c r="AC269" s="39" t="s">
        <v>2</v>
      </c>
      <c r="AD269" s="37"/>
      <c r="AE269" s="39"/>
      <c r="AF269" s="39"/>
      <c r="AH269" s="20">
        <f t="shared" ref="AH269:AH287" si="33">1*COUNTIF(A269:AF269,"+")</f>
        <v>0</v>
      </c>
      <c r="AI269" s="20">
        <f t="shared" ref="AI269:AI287" si="34">1*COUNTIF(B269:AF269,"szf")</f>
        <v>0</v>
      </c>
    </row>
    <row r="270" spans="1:35" ht="20.100000000000001" customHeight="1">
      <c r="A270" s="24" t="str">
        <f>ÖSSZES!$A$51</f>
        <v>Éliás Viktor</v>
      </c>
      <c r="B270" s="37"/>
      <c r="C270" s="37"/>
      <c r="D270" s="39" t="s">
        <v>2</v>
      </c>
      <c r="E270" s="39" t="s">
        <v>2</v>
      </c>
      <c r="F270" s="37"/>
      <c r="G270" s="37"/>
      <c r="H270" s="37"/>
      <c r="I270" s="37"/>
      <c r="J270" s="37"/>
      <c r="K270" s="37"/>
      <c r="L270" s="39" t="s">
        <v>2</v>
      </c>
      <c r="M270" s="39" t="s">
        <v>2</v>
      </c>
      <c r="N270" s="37"/>
      <c r="O270" s="37"/>
      <c r="P270" s="37"/>
      <c r="Q270" s="37"/>
      <c r="R270" s="37"/>
      <c r="S270" s="37"/>
      <c r="T270" s="39" t="s">
        <v>2</v>
      </c>
      <c r="U270" s="39" t="s">
        <v>2</v>
      </c>
      <c r="V270" s="37"/>
      <c r="W270" s="37"/>
      <c r="X270" s="37"/>
      <c r="Y270" s="37"/>
      <c r="Z270" s="37"/>
      <c r="AA270" s="37"/>
      <c r="AB270" s="39" t="s">
        <v>2</v>
      </c>
      <c r="AC270" s="39" t="s">
        <v>2</v>
      </c>
      <c r="AD270" s="37"/>
      <c r="AE270" s="39"/>
      <c r="AF270" s="39"/>
      <c r="AH270" s="20">
        <f t="shared" si="33"/>
        <v>0</v>
      </c>
      <c r="AI270" s="20">
        <f t="shared" si="34"/>
        <v>0</v>
      </c>
    </row>
    <row r="271" spans="1:35" ht="20.100000000000001" customHeight="1">
      <c r="A271" s="24" t="str">
        <f>ÖSSZES!$A$52</f>
        <v>Hadházi Kálmán</v>
      </c>
      <c r="B271" s="37"/>
      <c r="C271" s="37"/>
      <c r="D271" s="39" t="s">
        <v>2</v>
      </c>
      <c r="E271" s="39" t="s">
        <v>2</v>
      </c>
      <c r="F271" s="37"/>
      <c r="G271" s="37"/>
      <c r="H271" s="37"/>
      <c r="I271" s="37"/>
      <c r="J271" s="37"/>
      <c r="K271" s="37"/>
      <c r="L271" s="39" t="s">
        <v>2</v>
      </c>
      <c r="M271" s="39" t="s">
        <v>2</v>
      </c>
      <c r="N271" s="37"/>
      <c r="O271" s="37"/>
      <c r="P271" s="37"/>
      <c r="Q271" s="37"/>
      <c r="R271" s="37"/>
      <c r="S271" s="37"/>
      <c r="T271" s="39" t="s">
        <v>2</v>
      </c>
      <c r="U271" s="39" t="s">
        <v>2</v>
      </c>
      <c r="V271" s="37"/>
      <c r="W271" s="37"/>
      <c r="X271" s="37"/>
      <c r="Y271" s="37"/>
      <c r="Z271" s="37"/>
      <c r="AA271" s="37"/>
      <c r="AB271" s="39" t="s">
        <v>2</v>
      </c>
      <c r="AC271" s="39" t="s">
        <v>2</v>
      </c>
      <c r="AD271" s="37"/>
      <c r="AE271" s="39"/>
      <c r="AF271" s="39"/>
      <c r="AH271" s="20">
        <f t="shared" si="33"/>
        <v>0</v>
      </c>
      <c r="AI271" s="20">
        <f t="shared" si="34"/>
        <v>0</v>
      </c>
    </row>
    <row r="272" spans="1:35" ht="20.100000000000001" customHeight="1">
      <c r="A272" s="24" t="str">
        <f>ÖSSZES!$A$53</f>
        <v>Kiss Attila</v>
      </c>
      <c r="B272" s="37"/>
      <c r="C272" s="37"/>
      <c r="D272" s="39" t="s">
        <v>2</v>
      </c>
      <c r="E272" s="39" t="s">
        <v>2</v>
      </c>
      <c r="F272" s="37"/>
      <c r="G272" s="37"/>
      <c r="H272" s="37"/>
      <c r="I272" s="37"/>
      <c r="J272" s="37"/>
      <c r="K272" s="37"/>
      <c r="L272" s="39" t="s">
        <v>2</v>
      </c>
      <c r="M272" s="39" t="s">
        <v>2</v>
      </c>
      <c r="N272" s="37"/>
      <c r="O272" s="37"/>
      <c r="P272" s="37"/>
      <c r="Q272" s="37"/>
      <c r="R272" s="37"/>
      <c r="S272" s="37"/>
      <c r="T272" s="39" t="s">
        <v>2</v>
      </c>
      <c r="U272" s="39" t="s">
        <v>2</v>
      </c>
      <c r="V272" s="37"/>
      <c r="W272" s="37"/>
      <c r="X272" s="37"/>
      <c r="Y272" s="37"/>
      <c r="Z272" s="37"/>
      <c r="AA272" s="37"/>
      <c r="AB272" s="39" t="s">
        <v>2</v>
      </c>
      <c r="AC272" s="39" t="s">
        <v>2</v>
      </c>
      <c r="AD272" s="37"/>
      <c r="AE272" s="39"/>
      <c r="AF272" s="39"/>
      <c r="AH272" s="20">
        <f t="shared" si="33"/>
        <v>0</v>
      </c>
      <c r="AI272" s="20">
        <f t="shared" si="34"/>
        <v>0</v>
      </c>
    </row>
    <row r="273" spans="1:35" ht="20.100000000000001" customHeight="1">
      <c r="A273" s="24" t="str">
        <f>ÖSSZES!$A$54</f>
        <v>Serestyén Dániel</v>
      </c>
      <c r="B273" s="37"/>
      <c r="C273" s="37"/>
      <c r="D273" s="39" t="s">
        <v>2</v>
      </c>
      <c r="E273" s="39" t="s">
        <v>2</v>
      </c>
      <c r="F273" s="37"/>
      <c r="G273" s="37"/>
      <c r="H273" s="37"/>
      <c r="I273" s="37"/>
      <c r="J273" s="37"/>
      <c r="K273" s="37"/>
      <c r="L273" s="39" t="s">
        <v>2</v>
      </c>
      <c r="M273" s="39" t="s">
        <v>2</v>
      </c>
      <c r="N273" s="37"/>
      <c r="O273" s="37"/>
      <c r="P273" s="37"/>
      <c r="Q273" s="37"/>
      <c r="R273" s="37"/>
      <c r="S273" s="37"/>
      <c r="T273" s="39" t="s">
        <v>2</v>
      </c>
      <c r="U273" s="39" t="s">
        <v>2</v>
      </c>
      <c r="V273" s="37"/>
      <c r="W273" s="37"/>
      <c r="X273" s="37"/>
      <c r="Y273" s="37"/>
      <c r="Z273" s="37"/>
      <c r="AA273" s="37"/>
      <c r="AB273" s="39" t="s">
        <v>2</v>
      </c>
      <c r="AC273" s="39" t="s">
        <v>2</v>
      </c>
      <c r="AD273" s="37"/>
      <c r="AE273" s="39"/>
      <c r="AF273" s="39"/>
      <c r="AH273" s="20">
        <f t="shared" si="33"/>
        <v>0</v>
      </c>
      <c r="AI273" s="20">
        <f t="shared" si="34"/>
        <v>0</v>
      </c>
    </row>
    <row r="274" spans="1:35" ht="20.100000000000001" customHeight="1">
      <c r="A274" s="24" t="str">
        <f>ÖSSZES!$A$55</f>
        <v>Varga Imre</v>
      </c>
      <c r="B274" s="37"/>
      <c r="C274" s="37"/>
      <c r="D274" s="39" t="s">
        <v>2</v>
      </c>
      <c r="E274" s="39" t="s">
        <v>2</v>
      </c>
      <c r="F274" s="37"/>
      <c r="G274" s="37"/>
      <c r="H274" s="37"/>
      <c r="I274" s="37"/>
      <c r="J274" s="37"/>
      <c r="K274" s="37"/>
      <c r="L274" s="39" t="s">
        <v>2</v>
      </c>
      <c r="M274" s="39" t="s">
        <v>2</v>
      </c>
      <c r="N274" s="37"/>
      <c r="O274" s="37"/>
      <c r="P274" s="37"/>
      <c r="Q274" s="37"/>
      <c r="R274" s="37"/>
      <c r="S274" s="37"/>
      <c r="T274" s="39" t="s">
        <v>2</v>
      </c>
      <c r="U274" s="39" t="s">
        <v>2</v>
      </c>
      <c r="V274" s="37"/>
      <c r="W274" s="37"/>
      <c r="X274" s="37"/>
      <c r="Y274" s="37"/>
      <c r="Z274" s="37"/>
      <c r="AA274" s="37"/>
      <c r="AB274" s="39" t="s">
        <v>2</v>
      </c>
      <c r="AC274" s="39" t="s">
        <v>2</v>
      </c>
      <c r="AD274" s="37"/>
      <c r="AE274" s="39"/>
      <c r="AF274" s="39"/>
      <c r="AH274" s="20">
        <f t="shared" si="33"/>
        <v>0</v>
      </c>
      <c r="AI274" s="20">
        <f t="shared" si="34"/>
        <v>0</v>
      </c>
    </row>
    <row r="275" spans="1:35" ht="20.100000000000001" hidden="1" customHeight="1">
      <c r="A275" s="24" t="str">
        <f>ÖSSZES!$A$56</f>
        <v>Név8</v>
      </c>
      <c r="B275" s="37"/>
      <c r="C275" s="37"/>
      <c r="D275" s="39" t="s">
        <v>2</v>
      </c>
      <c r="E275" s="39" t="s">
        <v>2</v>
      </c>
      <c r="F275" s="37"/>
      <c r="G275" s="37"/>
      <c r="H275" s="37"/>
      <c r="I275" s="37"/>
      <c r="J275" s="37"/>
      <c r="K275" s="37"/>
      <c r="L275" s="39" t="s">
        <v>2</v>
      </c>
      <c r="M275" s="39" t="s">
        <v>2</v>
      </c>
      <c r="N275" s="37"/>
      <c r="O275" s="37"/>
      <c r="P275" s="37"/>
      <c r="Q275" s="37"/>
      <c r="R275" s="37"/>
      <c r="S275" s="37"/>
      <c r="T275" s="39" t="s">
        <v>2</v>
      </c>
      <c r="U275" s="39" t="s">
        <v>2</v>
      </c>
      <c r="V275" s="37"/>
      <c r="W275" s="37"/>
      <c r="X275" s="37"/>
      <c r="Y275" s="37"/>
      <c r="Z275" s="37"/>
      <c r="AA275" s="37"/>
      <c r="AB275" s="39" t="s">
        <v>2</v>
      </c>
      <c r="AC275" s="39" t="s">
        <v>2</v>
      </c>
      <c r="AD275" s="37"/>
      <c r="AE275" s="39"/>
      <c r="AF275" s="39"/>
      <c r="AH275" s="20">
        <f t="shared" si="33"/>
        <v>0</v>
      </c>
      <c r="AI275" s="20">
        <f t="shared" si="34"/>
        <v>0</v>
      </c>
    </row>
    <row r="276" spans="1:35" ht="20.100000000000001" hidden="1" customHeight="1">
      <c r="A276" s="24" t="str">
        <f>ÖSSZES!$A$57</f>
        <v>Név9</v>
      </c>
      <c r="B276" s="37"/>
      <c r="C276" s="37"/>
      <c r="D276" s="39" t="s">
        <v>2</v>
      </c>
      <c r="E276" s="39" t="s">
        <v>2</v>
      </c>
      <c r="F276" s="37"/>
      <c r="G276" s="37"/>
      <c r="H276" s="37"/>
      <c r="I276" s="37"/>
      <c r="J276" s="37"/>
      <c r="K276" s="37"/>
      <c r="L276" s="39" t="s">
        <v>2</v>
      </c>
      <c r="M276" s="39" t="s">
        <v>2</v>
      </c>
      <c r="N276" s="37"/>
      <c r="O276" s="37"/>
      <c r="P276" s="37"/>
      <c r="Q276" s="37"/>
      <c r="R276" s="37"/>
      <c r="S276" s="37"/>
      <c r="T276" s="39" t="s">
        <v>2</v>
      </c>
      <c r="U276" s="39" t="s">
        <v>2</v>
      </c>
      <c r="V276" s="37"/>
      <c r="W276" s="37"/>
      <c r="X276" s="37"/>
      <c r="Y276" s="37"/>
      <c r="Z276" s="37"/>
      <c r="AA276" s="37"/>
      <c r="AB276" s="39" t="s">
        <v>2</v>
      </c>
      <c r="AC276" s="39" t="s">
        <v>2</v>
      </c>
      <c r="AD276" s="37"/>
      <c r="AE276" s="39"/>
      <c r="AF276" s="39"/>
      <c r="AH276" s="20">
        <f t="shared" si="33"/>
        <v>0</v>
      </c>
      <c r="AI276" s="20">
        <f t="shared" si="34"/>
        <v>0</v>
      </c>
    </row>
    <row r="277" spans="1:35" ht="20.100000000000001" hidden="1" customHeight="1">
      <c r="A277" s="24" t="str">
        <f>ÖSSZES!$A$58</f>
        <v>Név10</v>
      </c>
      <c r="B277" s="37"/>
      <c r="C277" s="37"/>
      <c r="D277" s="39" t="s">
        <v>2</v>
      </c>
      <c r="E277" s="39" t="s">
        <v>2</v>
      </c>
      <c r="F277" s="37"/>
      <c r="G277" s="37"/>
      <c r="H277" s="37"/>
      <c r="I277" s="37"/>
      <c r="J277" s="37"/>
      <c r="K277" s="37"/>
      <c r="L277" s="39" t="s">
        <v>2</v>
      </c>
      <c r="M277" s="39" t="s">
        <v>2</v>
      </c>
      <c r="N277" s="37"/>
      <c r="O277" s="37"/>
      <c r="P277" s="37"/>
      <c r="Q277" s="37"/>
      <c r="R277" s="37"/>
      <c r="S277" s="37"/>
      <c r="T277" s="39" t="s">
        <v>2</v>
      </c>
      <c r="U277" s="39" t="s">
        <v>2</v>
      </c>
      <c r="V277" s="37"/>
      <c r="W277" s="37"/>
      <c r="X277" s="37"/>
      <c r="Y277" s="37"/>
      <c r="Z277" s="37"/>
      <c r="AA277" s="37"/>
      <c r="AB277" s="39" t="s">
        <v>2</v>
      </c>
      <c r="AC277" s="39" t="s">
        <v>2</v>
      </c>
      <c r="AD277" s="37"/>
      <c r="AE277" s="39"/>
      <c r="AF277" s="39"/>
      <c r="AH277" s="20">
        <f t="shared" si="33"/>
        <v>0</v>
      </c>
      <c r="AI277" s="20">
        <f t="shared" si="34"/>
        <v>0</v>
      </c>
    </row>
    <row r="278" spans="1:35" ht="20.100000000000001" hidden="1" customHeight="1">
      <c r="A278" s="24" t="str">
        <f>ÖSSZES!$A$59</f>
        <v>Név11</v>
      </c>
      <c r="B278" s="37"/>
      <c r="C278" s="37"/>
      <c r="D278" s="39" t="s">
        <v>2</v>
      </c>
      <c r="E278" s="39" t="s">
        <v>2</v>
      </c>
      <c r="F278" s="37"/>
      <c r="G278" s="37"/>
      <c r="H278" s="37"/>
      <c r="I278" s="37"/>
      <c r="J278" s="37"/>
      <c r="K278" s="37"/>
      <c r="L278" s="39" t="s">
        <v>2</v>
      </c>
      <c r="M278" s="39" t="s">
        <v>2</v>
      </c>
      <c r="N278" s="37"/>
      <c r="O278" s="37"/>
      <c r="P278" s="37"/>
      <c r="Q278" s="37"/>
      <c r="R278" s="37"/>
      <c r="S278" s="37"/>
      <c r="T278" s="39" t="s">
        <v>2</v>
      </c>
      <c r="U278" s="39" t="s">
        <v>2</v>
      </c>
      <c r="V278" s="37"/>
      <c r="W278" s="37"/>
      <c r="X278" s="37"/>
      <c r="Y278" s="37"/>
      <c r="Z278" s="37"/>
      <c r="AA278" s="37"/>
      <c r="AB278" s="39" t="s">
        <v>2</v>
      </c>
      <c r="AC278" s="39" t="s">
        <v>2</v>
      </c>
      <c r="AD278" s="37"/>
      <c r="AE278" s="39"/>
      <c r="AF278" s="39"/>
      <c r="AH278" s="20">
        <f t="shared" si="33"/>
        <v>0</v>
      </c>
      <c r="AI278" s="20">
        <f t="shared" si="34"/>
        <v>0</v>
      </c>
    </row>
    <row r="279" spans="1:35" ht="20.100000000000001" hidden="1" customHeight="1">
      <c r="A279" s="24" t="str">
        <f>ÖSSZES!$A$60</f>
        <v>Név12</v>
      </c>
      <c r="B279" s="37"/>
      <c r="C279" s="37"/>
      <c r="D279" s="39" t="s">
        <v>2</v>
      </c>
      <c r="E279" s="39" t="s">
        <v>2</v>
      </c>
      <c r="F279" s="37"/>
      <c r="G279" s="37"/>
      <c r="H279" s="37"/>
      <c r="I279" s="37"/>
      <c r="J279" s="37"/>
      <c r="K279" s="37"/>
      <c r="L279" s="39" t="s">
        <v>2</v>
      </c>
      <c r="M279" s="39" t="s">
        <v>2</v>
      </c>
      <c r="N279" s="37"/>
      <c r="O279" s="37"/>
      <c r="P279" s="37"/>
      <c r="Q279" s="37"/>
      <c r="R279" s="37"/>
      <c r="S279" s="37"/>
      <c r="T279" s="39" t="s">
        <v>2</v>
      </c>
      <c r="U279" s="39" t="s">
        <v>2</v>
      </c>
      <c r="V279" s="37"/>
      <c r="W279" s="37"/>
      <c r="X279" s="37"/>
      <c r="Y279" s="37"/>
      <c r="Z279" s="37"/>
      <c r="AA279" s="37"/>
      <c r="AB279" s="39" t="s">
        <v>2</v>
      </c>
      <c r="AC279" s="39" t="s">
        <v>2</v>
      </c>
      <c r="AD279" s="37"/>
      <c r="AE279" s="39"/>
      <c r="AF279" s="39"/>
      <c r="AH279" s="20">
        <f t="shared" si="33"/>
        <v>0</v>
      </c>
      <c r="AI279" s="20">
        <f t="shared" si="34"/>
        <v>0</v>
      </c>
    </row>
    <row r="280" spans="1:35" ht="20.100000000000001" hidden="1" customHeight="1">
      <c r="A280" s="24" t="str">
        <f>ÖSSZES!$A$61</f>
        <v>Név13</v>
      </c>
      <c r="B280" s="37"/>
      <c r="C280" s="37"/>
      <c r="D280" s="39" t="s">
        <v>2</v>
      </c>
      <c r="E280" s="39" t="s">
        <v>2</v>
      </c>
      <c r="F280" s="37"/>
      <c r="G280" s="37"/>
      <c r="H280" s="37"/>
      <c r="I280" s="37"/>
      <c r="J280" s="37"/>
      <c r="K280" s="37"/>
      <c r="L280" s="39" t="s">
        <v>2</v>
      </c>
      <c r="M280" s="39" t="s">
        <v>2</v>
      </c>
      <c r="N280" s="37"/>
      <c r="O280" s="37"/>
      <c r="P280" s="37"/>
      <c r="Q280" s="37"/>
      <c r="R280" s="37"/>
      <c r="S280" s="37"/>
      <c r="T280" s="39" t="s">
        <v>2</v>
      </c>
      <c r="U280" s="39" t="s">
        <v>2</v>
      </c>
      <c r="V280" s="37"/>
      <c r="W280" s="37"/>
      <c r="X280" s="37"/>
      <c r="Y280" s="37"/>
      <c r="Z280" s="37"/>
      <c r="AA280" s="37"/>
      <c r="AB280" s="39" t="s">
        <v>2</v>
      </c>
      <c r="AC280" s="39" t="s">
        <v>2</v>
      </c>
      <c r="AD280" s="37"/>
      <c r="AE280" s="39"/>
      <c r="AF280" s="39"/>
      <c r="AH280" s="20">
        <f t="shared" si="33"/>
        <v>0</v>
      </c>
      <c r="AI280" s="20">
        <f t="shared" si="34"/>
        <v>0</v>
      </c>
    </row>
    <row r="281" spans="1:35" ht="20.100000000000001" hidden="1" customHeight="1">
      <c r="A281" s="24" t="str">
        <f>ÖSSZES!$A$62</f>
        <v>Név14</v>
      </c>
      <c r="B281" s="37"/>
      <c r="C281" s="37"/>
      <c r="D281" s="39" t="s">
        <v>2</v>
      </c>
      <c r="E281" s="39" t="s">
        <v>2</v>
      </c>
      <c r="F281" s="37"/>
      <c r="G281" s="37"/>
      <c r="H281" s="37"/>
      <c r="I281" s="37"/>
      <c r="J281" s="37"/>
      <c r="K281" s="37"/>
      <c r="L281" s="39" t="s">
        <v>2</v>
      </c>
      <c r="M281" s="39" t="s">
        <v>2</v>
      </c>
      <c r="N281" s="37"/>
      <c r="O281" s="37"/>
      <c r="P281" s="37"/>
      <c r="Q281" s="37"/>
      <c r="R281" s="37"/>
      <c r="S281" s="37"/>
      <c r="T281" s="39" t="s">
        <v>2</v>
      </c>
      <c r="U281" s="39" t="s">
        <v>2</v>
      </c>
      <c r="V281" s="37"/>
      <c r="W281" s="37"/>
      <c r="X281" s="37"/>
      <c r="Y281" s="37"/>
      <c r="Z281" s="37"/>
      <c r="AA281" s="37"/>
      <c r="AB281" s="39" t="s">
        <v>2</v>
      </c>
      <c r="AC281" s="39" t="s">
        <v>2</v>
      </c>
      <c r="AD281" s="37"/>
      <c r="AE281" s="39"/>
      <c r="AF281" s="39"/>
      <c r="AH281" s="20">
        <f t="shared" si="33"/>
        <v>0</v>
      </c>
      <c r="AI281" s="20">
        <f t="shared" si="34"/>
        <v>0</v>
      </c>
    </row>
    <row r="282" spans="1:35" ht="20.100000000000001" hidden="1" customHeight="1">
      <c r="A282" s="24" t="str">
        <f>ÖSSZES!$A$63</f>
        <v>Név15</v>
      </c>
      <c r="B282" s="37"/>
      <c r="C282" s="37"/>
      <c r="D282" s="39" t="s">
        <v>2</v>
      </c>
      <c r="E282" s="39" t="s">
        <v>2</v>
      </c>
      <c r="F282" s="37"/>
      <c r="G282" s="37"/>
      <c r="H282" s="37"/>
      <c r="I282" s="37"/>
      <c r="J282" s="37"/>
      <c r="K282" s="37"/>
      <c r="L282" s="39" t="s">
        <v>2</v>
      </c>
      <c r="M282" s="39" t="s">
        <v>2</v>
      </c>
      <c r="N282" s="37"/>
      <c r="O282" s="37"/>
      <c r="P282" s="37"/>
      <c r="Q282" s="37"/>
      <c r="R282" s="37"/>
      <c r="S282" s="37"/>
      <c r="T282" s="39" t="s">
        <v>2</v>
      </c>
      <c r="U282" s="39" t="s">
        <v>2</v>
      </c>
      <c r="V282" s="37"/>
      <c r="W282" s="37"/>
      <c r="X282" s="37"/>
      <c r="Y282" s="37"/>
      <c r="Z282" s="37"/>
      <c r="AA282" s="37"/>
      <c r="AB282" s="39" t="s">
        <v>2</v>
      </c>
      <c r="AC282" s="39" t="s">
        <v>2</v>
      </c>
      <c r="AD282" s="37"/>
      <c r="AE282" s="39"/>
      <c r="AF282" s="39"/>
      <c r="AH282" s="20">
        <f t="shared" si="33"/>
        <v>0</v>
      </c>
      <c r="AI282" s="20">
        <f t="shared" si="34"/>
        <v>0</v>
      </c>
    </row>
    <row r="283" spans="1:35" ht="20.100000000000001" hidden="1" customHeight="1">
      <c r="A283" s="24" t="str">
        <f>ÖSSZES!$A$64</f>
        <v>Név16</v>
      </c>
      <c r="B283" s="37"/>
      <c r="C283" s="37"/>
      <c r="D283" s="39" t="s">
        <v>2</v>
      </c>
      <c r="E283" s="39" t="s">
        <v>2</v>
      </c>
      <c r="F283" s="37"/>
      <c r="G283" s="37"/>
      <c r="H283" s="37"/>
      <c r="I283" s="37"/>
      <c r="J283" s="37"/>
      <c r="K283" s="37"/>
      <c r="L283" s="39" t="s">
        <v>2</v>
      </c>
      <c r="M283" s="39" t="s">
        <v>2</v>
      </c>
      <c r="N283" s="37"/>
      <c r="O283" s="37"/>
      <c r="P283" s="37"/>
      <c r="Q283" s="37"/>
      <c r="R283" s="37"/>
      <c r="S283" s="37"/>
      <c r="T283" s="39" t="s">
        <v>2</v>
      </c>
      <c r="U283" s="39" t="s">
        <v>2</v>
      </c>
      <c r="V283" s="37"/>
      <c r="W283" s="37"/>
      <c r="X283" s="37"/>
      <c r="Y283" s="37"/>
      <c r="Z283" s="37"/>
      <c r="AA283" s="37"/>
      <c r="AB283" s="39" t="s">
        <v>2</v>
      </c>
      <c r="AC283" s="39" t="s">
        <v>2</v>
      </c>
      <c r="AD283" s="37"/>
      <c r="AE283" s="39"/>
      <c r="AF283" s="39"/>
      <c r="AH283" s="20">
        <f t="shared" si="33"/>
        <v>0</v>
      </c>
      <c r="AI283" s="20">
        <f t="shared" si="34"/>
        <v>0</v>
      </c>
    </row>
    <row r="284" spans="1:35" ht="20.100000000000001" hidden="1" customHeight="1">
      <c r="A284" s="24" t="str">
        <f>ÖSSZES!$A$65</f>
        <v>Név17</v>
      </c>
      <c r="B284" s="37"/>
      <c r="C284" s="37"/>
      <c r="D284" s="39" t="s">
        <v>2</v>
      </c>
      <c r="E284" s="39" t="s">
        <v>2</v>
      </c>
      <c r="F284" s="37"/>
      <c r="G284" s="37"/>
      <c r="H284" s="37"/>
      <c r="I284" s="37"/>
      <c r="J284" s="37"/>
      <c r="K284" s="37"/>
      <c r="L284" s="39" t="s">
        <v>2</v>
      </c>
      <c r="M284" s="39" t="s">
        <v>2</v>
      </c>
      <c r="N284" s="37"/>
      <c r="O284" s="37"/>
      <c r="P284" s="37"/>
      <c r="Q284" s="37"/>
      <c r="R284" s="37"/>
      <c r="S284" s="37"/>
      <c r="T284" s="39" t="s">
        <v>2</v>
      </c>
      <c r="U284" s="39" t="s">
        <v>2</v>
      </c>
      <c r="V284" s="37"/>
      <c r="W284" s="37"/>
      <c r="X284" s="37"/>
      <c r="Y284" s="37"/>
      <c r="Z284" s="37"/>
      <c r="AA284" s="37"/>
      <c r="AB284" s="39" t="s">
        <v>2</v>
      </c>
      <c r="AC284" s="39" t="s">
        <v>2</v>
      </c>
      <c r="AD284" s="37"/>
      <c r="AE284" s="39"/>
      <c r="AF284" s="39"/>
      <c r="AH284" s="20">
        <f t="shared" si="33"/>
        <v>0</v>
      </c>
      <c r="AI284" s="20">
        <f t="shared" si="34"/>
        <v>0</v>
      </c>
    </row>
    <row r="285" spans="1:35" ht="20.100000000000001" hidden="1" customHeight="1">
      <c r="A285" s="24" t="str">
        <f>ÖSSZES!$A$66</f>
        <v>Név18</v>
      </c>
      <c r="B285" s="37"/>
      <c r="C285" s="37"/>
      <c r="D285" s="39" t="s">
        <v>2</v>
      </c>
      <c r="E285" s="39" t="s">
        <v>2</v>
      </c>
      <c r="F285" s="37"/>
      <c r="G285" s="37"/>
      <c r="H285" s="37"/>
      <c r="I285" s="37"/>
      <c r="J285" s="37"/>
      <c r="K285" s="37"/>
      <c r="L285" s="39" t="s">
        <v>2</v>
      </c>
      <c r="M285" s="39" t="s">
        <v>2</v>
      </c>
      <c r="N285" s="37"/>
      <c r="O285" s="37"/>
      <c r="P285" s="37"/>
      <c r="Q285" s="37"/>
      <c r="R285" s="37"/>
      <c r="S285" s="37"/>
      <c r="T285" s="39" t="s">
        <v>2</v>
      </c>
      <c r="U285" s="39" t="s">
        <v>2</v>
      </c>
      <c r="V285" s="37"/>
      <c r="W285" s="37"/>
      <c r="X285" s="37"/>
      <c r="Y285" s="37"/>
      <c r="Z285" s="37"/>
      <c r="AA285" s="37"/>
      <c r="AB285" s="39" t="s">
        <v>2</v>
      </c>
      <c r="AC285" s="39" t="s">
        <v>2</v>
      </c>
      <c r="AD285" s="37"/>
      <c r="AE285" s="39"/>
      <c r="AF285" s="39"/>
      <c r="AH285" s="20">
        <f t="shared" si="33"/>
        <v>0</v>
      </c>
      <c r="AI285" s="20">
        <f t="shared" si="34"/>
        <v>0</v>
      </c>
    </row>
    <row r="286" spans="1:35" ht="20.100000000000001" hidden="1" customHeight="1">
      <c r="A286" s="24" t="str">
        <f>ÖSSZES!$A$67</f>
        <v>Név19</v>
      </c>
      <c r="B286" s="37"/>
      <c r="C286" s="37"/>
      <c r="D286" s="39" t="s">
        <v>2</v>
      </c>
      <c r="E286" s="39" t="s">
        <v>2</v>
      </c>
      <c r="F286" s="37"/>
      <c r="G286" s="37"/>
      <c r="H286" s="37"/>
      <c r="I286" s="37"/>
      <c r="J286" s="37"/>
      <c r="K286" s="37"/>
      <c r="L286" s="39" t="s">
        <v>2</v>
      </c>
      <c r="M286" s="39" t="s">
        <v>2</v>
      </c>
      <c r="N286" s="37"/>
      <c r="O286" s="37"/>
      <c r="P286" s="37"/>
      <c r="Q286" s="37"/>
      <c r="R286" s="37"/>
      <c r="S286" s="37"/>
      <c r="T286" s="39" t="s">
        <v>2</v>
      </c>
      <c r="U286" s="39" t="s">
        <v>2</v>
      </c>
      <c r="V286" s="37"/>
      <c r="W286" s="37"/>
      <c r="X286" s="37"/>
      <c r="Y286" s="37"/>
      <c r="Z286" s="37"/>
      <c r="AA286" s="37"/>
      <c r="AB286" s="39" t="s">
        <v>2</v>
      </c>
      <c r="AC286" s="39" t="s">
        <v>2</v>
      </c>
      <c r="AD286" s="37"/>
      <c r="AE286" s="39"/>
      <c r="AF286" s="39"/>
      <c r="AH286" s="20">
        <f t="shared" si="33"/>
        <v>0</v>
      </c>
      <c r="AI286" s="20">
        <f t="shared" si="34"/>
        <v>0</v>
      </c>
    </row>
    <row r="287" spans="1:35" ht="20.100000000000001" hidden="1" customHeight="1">
      <c r="A287" s="24" t="str">
        <f>ÖSSZES!$A$68</f>
        <v>Név20</v>
      </c>
      <c r="B287" s="37"/>
      <c r="C287" s="37"/>
      <c r="D287" s="39" t="s">
        <v>2</v>
      </c>
      <c r="E287" s="39" t="s">
        <v>2</v>
      </c>
      <c r="F287" s="37"/>
      <c r="G287" s="37"/>
      <c r="H287" s="37"/>
      <c r="I287" s="37"/>
      <c r="J287" s="37"/>
      <c r="K287" s="37"/>
      <c r="L287" s="39" t="s">
        <v>2</v>
      </c>
      <c r="M287" s="39" t="s">
        <v>2</v>
      </c>
      <c r="N287" s="37"/>
      <c r="O287" s="37"/>
      <c r="P287" s="37"/>
      <c r="Q287" s="37"/>
      <c r="R287" s="37"/>
      <c r="S287" s="37"/>
      <c r="T287" s="39" t="s">
        <v>2</v>
      </c>
      <c r="U287" s="39" t="s">
        <v>2</v>
      </c>
      <c r="V287" s="37"/>
      <c r="W287" s="37"/>
      <c r="X287" s="37"/>
      <c r="Y287" s="37"/>
      <c r="Z287" s="37"/>
      <c r="AA287" s="37"/>
      <c r="AB287" s="39" t="s">
        <v>2</v>
      </c>
      <c r="AC287" s="39" t="s">
        <v>2</v>
      </c>
      <c r="AD287" s="37"/>
      <c r="AE287" s="39"/>
      <c r="AF287" s="39"/>
      <c r="AH287" s="20">
        <f t="shared" si="33"/>
        <v>0</v>
      </c>
      <c r="AI287" s="20">
        <f t="shared" si="34"/>
        <v>0</v>
      </c>
    </row>
  </sheetData>
  <sheetProtection password="DD6F" sheet="1" objects="1" scenarios="1"/>
  <mergeCells count="36">
    <mergeCell ref="AH241:AH243"/>
    <mergeCell ref="AI241:AI243"/>
    <mergeCell ref="AH265:AH267"/>
    <mergeCell ref="AI265:AI267"/>
    <mergeCell ref="AH193:AH195"/>
    <mergeCell ref="AI193:AI195"/>
    <mergeCell ref="AH217:AH219"/>
    <mergeCell ref="AI217:AI219"/>
    <mergeCell ref="AH145:AH147"/>
    <mergeCell ref="AI145:AI147"/>
    <mergeCell ref="AH169:AH171"/>
    <mergeCell ref="AI169:AI171"/>
    <mergeCell ref="AH97:AH99"/>
    <mergeCell ref="AI97:AI99"/>
    <mergeCell ref="AH121:AH123"/>
    <mergeCell ref="AI121:AI123"/>
    <mergeCell ref="AH49:AH51"/>
    <mergeCell ref="AI49:AI51"/>
    <mergeCell ref="AH73:AH75"/>
    <mergeCell ref="AI73:AI75"/>
    <mergeCell ref="AH1:AH3"/>
    <mergeCell ref="AI1:AI3"/>
    <mergeCell ref="AH25:AH27"/>
    <mergeCell ref="AI25:AI27"/>
    <mergeCell ref="A217:A219"/>
    <mergeCell ref="A241:A243"/>
    <mergeCell ref="A265:A267"/>
    <mergeCell ref="A97:A99"/>
    <mergeCell ref="A121:A123"/>
    <mergeCell ref="A145:A147"/>
    <mergeCell ref="A169:A171"/>
    <mergeCell ref="A1:A3"/>
    <mergeCell ref="A25:A27"/>
    <mergeCell ref="A49:A51"/>
    <mergeCell ref="A73:A75"/>
    <mergeCell ref="A193:A195"/>
  </mergeCells>
  <phoneticPr fontId="0" type="noConversion"/>
  <conditionalFormatting sqref="A72:XFD75 A52:A71 AG52:XFD71 A96:XFD99 A76:B95 AF76:XFD95 A192:XFD195 A172:A191 AF172:XFD191 A196:A215 AF196:XFD215 A288:XFD1048576 AG268:XFD287 D76:D95 F76:F95 J76:J95 L76:L95 N76:N95 R76:R95 T76:T95 V76:V95 Z76:Z95 AB76:AB95 AD76:AD95 A100:A119 AG100:XFD119 A216:XFD219 A268:C287 A120:XFD123 A1:XFD3 A24:XFD27 A4:A23 D4:I23 L4:Q23 T4:Y23 AB4:XFD23 A48:XFD51 A28:B47 E28:J47 M28:R47 U28:Z47 AC28:XFD47 D100:I119 L100:Q119 T100:Y119 AB100:AB119 A144:XFD147 A124:B143 E124:J143 M124:R143 U124:Z143 AC124:XFD143 A168:XFD171 A148:D167 G148:L167 O148:T167 W148:AB167 AE148:XFD167 A240:XFD243 A220:A239 C220:H239 K220:P239 S220:X239 AA220:XFD239 A264:XFD267 A244:A263 D244:I263 L244:Q263 T244:Y263 AB244:XFD263 F268:K287 N268:S287 V268:AA287 AD268:AD287">
    <cfRule type="cellIs" dxfId="2958" priority="1014" operator="equal">
      <formula>"szf"</formula>
    </cfRule>
    <cfRule type="cellIs" dxfId="2957" priority="1015" operator="equal">
      <formula>"+"</formula>
    </cfRule>
  </conditionalFormatting>
  <conditionalFormatting sqref="B52:F71 I52:N71 Q52:V71 Y52:AD71">
    <cfRule type="cellIs" dxfId="2956" priority="984" operator="equal">
      <formula>"+"</formula>
    </cfRule>
    <cfRule type="cellIs" dxfId="2955" priority="985" operator="equal">
      <formula>"szf"</formula>
    </cfRule>
  </conditionalFormatting>
  <conditionalFormatting sqref="C76:C95 E76:E95 G76:G95 K76:K95 M76:M95 O76:O95 S76:S95 U76:U95 W76:W95 AA76:AA95 AC76:AC95 AE76:AE95">
    <cfRule type="cellIs" dxfId="2954" priority="968" operator="equal">
      <formula>"+"</formula>
    </cfRule>
    <cfRule type="cellIs" dxfId="2953" priority="969" operator="equal">
      <formula>"szf"</formula>
    </cfRule>
  </conditionalFormatting>
  <conditionalFormatting sqref="AC100:AF119">
    <cfRule type="cellIs" dxfId="2952" priority="940" operator="equal">
      <formula>"+"</formula>
    </cfRule>
    <cfRule type="cellIs" dxfId="2951" priority="941" operator="equal">
      <formula>"szf"</formula>
    </cfRule>
  </conditionalFormatting>
  <conditionalFormatting sqref="B172:E191 H172:M191 P172:U191 X172:AC191">
    <cfRule type="cellIs" dxfId="2950" priority="906" operator="equal">
      <formula>"+"</formula>
    </cfRule>
    <cfRule type="cellIs" dxfId="2949" priority="907" operator="equal">
      <formula>"szf"</formula>
    </cfRule>
  </conditionalFormatting>
  <conditionalFormatting sqref="B196:F215 I196:N215 Q196:V215 Y196:AD215">
    <cfRule type="cellIs" dxfId="2948" priority="892" operator="equal">
      <formula>"+"</formula>
    </cfRule>
    <cfRule type="cellIs" dxfId="2947" priority="893" operator="equal">
      <formula>"szf"</formula>
    </cfRule>
  </conditionalFormatting>
  <conditionalFormatting sqref="AE268:AF287">
    <cfRule type="cellIs" dxfId="2946" priority="832" operator="equal">
      <formula>"+"</formula>
    </cfRule>
    <cfRule type="cellIs" dxfId="2945" priority="833" operator="equal">
      <formula>"szf"</formula>
    </cfRule>
  </conditionalFormatting>
  <conditionalFormatting sqref="B1:AF3 B24:AF27 D4:I23 L4:Q23 T4:Y23 AB4:AF23 B48:AF51 B28:B47 E28:J47 M28:R47 U28:Z47 AC28:AF47 B72:AF75 B52:F71 I52:N71 Q52:V71 Y52:AD71 B96:AF99 B76:G95 J76:O95 R76:W95 Z76:AF95 B120:AF123 D100:I119 L100:Q119 T100:Y119 AB100:AF119 B144:AF147 B124:B143 E124:J143 M124:R143 U124:Z143 AC124:AF143 B168:AF171 B148:D167 G148:L167 O148:T167 W148:AB167 AE148:AF167 B192:AF195 B172:E191 H172:M191 P172:U191 X172:AC191 AF172:AF191 B216:AF219 B196:F215 I196:N215 Q196:V215 Y196:AD215 AF196:AF215 B240:AF243 C220:H239 K220:P239 S220:X239 AA220:AF239 B264:AF267 D244:I263 L244:Q263 T244:Y263 AB244:AF263 B288:AF1048576 B268:C287 F268:K287 N268:S287 V268:AA287 AD268:AF287">
    <cfRule type="cellIs" dxfId="2944" priority="829" operator="equal">
      <formula>"X"</formula>
    </cfRule>
    <cfRule type="cellIs" dxfId="2943" priority="830" operator="equal">
      <formula>"V"</formula>
    </cfRule>
    <cfRule type="cellIs" dxfId="2942" priority="831" operator="equal">
      <formula>"Szo"</formula>
    </cfRule>
  </conditionalFormatting>
  <conditionalFormatting sqref="B4">
    <cfRule type="cellIs" dxfId="2941" priority="827" operator="equal">
      <formula>"+"</formula>
    </cfRule>
    <cfRule type="cellIs" dxfId="2940" priority="828" operator="equal">
      <formula>"szf"</formula>
    </cfRule>
  </conditionalFormatting>
  <conditionalFormatting sqref="B4">
    <cfRule type="cellIs" dxfId="2939" priority="826" operator="equal">
      <formula>"+"</formula>
    </cfRule>
  </conditionalFormatting>
  <conditionalFormatting sqref="B4:B23">
    <cfRule type="cellIs" dxfId="2938" priority="824" operator="equal">
      <formula>"+"</formula>
    </cfRule>
    <cfRule type="cellIs" dxfId="2937" priority="825" operator="equal">
      <formula>"szf"</formula>
    </cfRule>
  </conditionalFormatting>
  <conditionalFormatting sqref="B4:B23">
    <cfRule type="cellIs" dxfId="2936" priority="820" operator="equal">
      <formula>"V"</formula>
    </cfRule>
    <cfRule type="cellIs" dxfId="2935" priority="821" operator="equal">
      <formula>"Szo"</formula>
    </cfRule>
    <cfRule type="cellIs" dxfId="2934" priority="822" operator="equal">
      <formula>"X"</formula>
    </cfRule>
    <cfRule type="cellIs" dxfId="2933" priority="823" operator="equal">
      <formula>"X"</formula>
    </cfRule>
  </conditionalFormatting>
  <conditionalFormatting sqref="C4">
    <cfRule type="cellIs" dxfId="2932" priority="818" operator="equal">
      <formula>"+"</formula>
    </cfRule>
    <cfRule type="cellIs" dxfId="2931" priority="819" operator="equal">
      <formula>"szf"</formula>
    </cfRule>
  </conditionalFormatting>
  <conditionalFormatting sqref="C4">
    <cfRule type="cellIs" dxfId="2930" priority="817" operator="equal">
      <formula>"+"</formula>
    </cfRule>
  </conditionalFormatting>
  <conditionalFormatting sqref="C4:C23">
    <cfRule type="cellIs" dxfId="2929" priority="815" operator="equal">
      <formula>"+"</formula>
    </cfRule>
    <cfRule type="cellIs" dxfId="2928" priority="816" operator="equal">
      <formula>"szf"</formula>
    </cfRule>
  </conditionalFormatting>
  <conditionalFormatting sqref="C4:C23">
    <cfRule type="cellIs" dxfId="2927" priority="811" operator="equal">
      <formula>"V"</formula>
    </cfRule>
    <cfRule type="cellIs" dxfId="2926" priority="812" operator="equal">
      <formula>"Szo"</formula>
    </cfRule>
    <cfRule type="cellIs" dxfId="2925" priority="813" operator="equal">
      <formula>"X"</formula>
    </cfRule>
    <cfRule type="cellIs" dxfId="2924" priority="814" operator="equal">
      <formula>"X"</formula>
    </cfRule>
  </conditionalFormatting>
  <conditionalFormatting sqref="J4">
    <cfRule type="cellIs" dxfId="2923" priority="809" operator="equal">
      <formula>"+"</formula>
    </cfRule>
    <cfRule type="cellIs" dxfId="2922" priority="810" operator="equal">
      <formula>"szf"</formula>
    </cfRule>
  </conditionalFormatting>
  <conditionalFormatting sqref="J4">
    <cfRule type="cellIs" dxfId="2921" priority="808" operator="equal">
      <formula>"+"</formula>
    </cfRule>
  </conditionalFormatting>
  <conditionalFormatting sqref="J4:J23">
    <cfRule type="cellIs" dxfId="2920" priority="806" operator="equal">
      <formula>"+"</formula>
    </cfRule>
    <cfRule type="cellIs" dxfId="2919" priority="807" operator="equal">
      <formula>"szf"</formula>
    </cfRule>
  </conditionalFormatting>
  <conditionalFormatting sqref="J4:J23">
    <cfRule type="cellIs" dxfId="2918" priority="802" operator="equal">
      <formula>"V"</formula>
    </cfRule>
    <cfRule type="cellIs" dxfId="2917" priority="803" operator="equal">
      <formula>"Szo"</formula>
    </cfRule>
    <cfRule type="cellIs" dxfId="2916" priority="804" operator="equal">
      <formula>"X"</formula>
    </cfRule>
    <cfRule type="cellIs" dxfId="2915" priority="805" operator="equal">
      <formula>"X"</formula>
    </cfRule>
  </conditionalFormatting>
  <conditionalFormatting sqref="K4">
    <cfRule type="cellIs" dxfId="2914" priority="800" operator="equal">
      <formula>"+"</formula>
    </cfRule>
    <cfRule type="cellIs" dxfId="2913" priority="801" operator="equal">
      <formula>"szf"</formula>
    </cfRule>
  </conditionalFormatting>
  <conditionalFormatting sqref="K4">
    <cfRule type="cellIs" dxfId="2912" priority="799" operator="equal">
      <formula>"+"</formula>
    </cfRule>
  </conditionalFormatting>
  <conditionalFormatting sqref="K4:K23">
    <cfRule type="cellIs" dxfId="2911" priority="797" operator="equal">
      <formula>"+"</formula>
    </cfRule>
    <cfRule type="cellIs" dxfId="2910" priority="798" operator="equal">
      <formula>"szf"</formula>
    </cfRule>
  </conditionalFormatting>
  <conditionalFormatting sqref="K4:K23">
    <cfRule type="cellIs" dxfId="2909" priority="793" operator="equal">
      <formula>"V"</formula>
    </cfRule>
    <cfRule type="cellIs" dxfId="2908" priority="794" operator="equal">
      <formula>"Szo"</formula>
    </cfRule>
    <cfRule type="cellIs" dxfId="2907" priority="795" operator="equal">
      <formula>"X"</formula>
    </cfRule>
    <cfRule type="cellIs" dxfId="2906" priority="796" operator="equal">
      <formula>"X"</formula>
    </cfRule>
  </conditionalFormatting>
  <conditionalFormatting sqref="R4">
    <cfRule type="cellIs" dxfId="2905" priority="791" operator="equal">
      <formula>"+"</formula>
    </cfRule>
    <cfRule type="cellIs" dxfId="2904" priority="792" operator="equal">
      <formula>"szf"</formula>
    </cfRule>
  </conditionalFormatting>
  <conditionalFormatting sqref="R4">
    <cfRule type="cellIs" dxfId="2903" priority="790" operator="equal">
      <formula>"+"</formula>
    </cfRule>
  </conditionalFormatting>
  <conditionalFormatting sqref="R4:R23">
    <cfRule type="cellIs" dxfId="2902" priority="788" operator="equal">
      <formula>"+"</formula>
    </cfRule>
    <cfRule type="cellIs" dxfId="2901" priority="789" operator="equal">
      <formula>"szf"</formula>
    </cfRule>
  </conditionalFormatting>
  <conditionalFormatting sqref="R4:R23">
    <cfRule type="cellIs" dxfId="2900" priority="784" operator="equal">
      <formula>"V"</formula>
    </cfRule>
    <cfRule type="cellIs" dxfId="2899" priority="785" operator="equal">
      <formula>"Szo"</formula>
    </cfRule>
    <cfRule type="cellIs" dxfId="2898" priority="786" operator="equal">
      <formula>"X"</formula>
    </cfRule>
    <cfRule type="cellIs" dxfId="2897" priority="787" operator="equal">
      <formula>"X"</formula>
    </cfRule>
  </conditionalFormatting>
  <conditionalFormatting sqref="S4">
    <cfRule type="cellIs" dxfId="2896" priority="782" operator="equal">
      <formula>"+"</formula>
    </cfRule>
    <cfRule type="cellIs" dxfId="2895" priority="783" operator="equal">
      <formula>"szf"</formula>
    </cfRule>
  </conditionalFormatting>
  <conditionalFormatting sqref="S4">
    <cfRule type="cellIs" dxfId="2894" priority="781" operator="equal">
      <formula>"+"</formula>
    </cfRule>
  </conditionalFormatting>
  <conditionalFormatting sqref="S4:S23">
    <cfRule type="cellIs" dxfId="2893" priority="779" operator="equal">
      <formula>"+"</formula>
    </cfRule>
    <cfRule type="cellIs" dxfId="2892" priority="780" operator="equal">
      <formula>"szf"</formula>
    </cfRule>
  </conditionalFormatting>
  <conditionalFormatting sqref="S4:S23">
    <cfRule type="cellIs" dxfId="2891" priority="775" operator="equal">
      <formula>"V"</formula>
    </cfRule>
    <cfRule type="cellIs" dxfId="2890" priority="776" operator="equal">
      <formula>"Szo"</formula>
    </cfRule>
    <cfRule type="cellIs" dxfId="2889" priority="777" operator="equal">
      <formula>"X"</formula>
    </cfRule>
    <cfRule type="cellIs" dxfId="2888" priority="778" operator="equal">
      <formula>"X"</formula>
    </cfRule>
  </conditionalFormatting>
  <conditionalFormatting sqref="Z4">
    <cfRule type="cellIs" dxfId="2887" priority="773" operator="equal">
      <formula>"+"</formula>
    </cfRule>
    <cfRule type="cellIs" dxfId="2886" priority="774" operator="equal">
      <formula>"szf"</formula>
    </cfRule>
  </conditionalFormatting>
  <conditionalFormatting sqref="Z4">
    <cfRule type="cellIs" dxfId="2885" priority="772" operator="equal">
      <formula>"+"</formula>
    </cfRule>
  </conditionalFormatting>
  <conditionalFormatting sqref="Z4:Z23">
    <cfRule type="cellIs" dxfId="2884" priority="770" operator="equal">
      <formula>"+"</formula>
    </cfRule>
    <cfRule type="cellIs" dxfId="2883" priority="771" operator="equal">
      <formula>"szf"</formula>
    </cfRule>
  </conditionalFormatting>
  <conditionalFormatting sqref="Z4:Z23">
    <cfRule type="cellIs" dxfId="2882" priority="766" operator="equal">
      <formula>"V"</formula>
    </cfRule>
    <cfRule type="cellIs" dxfId="2881" priority="767" operator="equal">
      <formula>"Szo"</formula>
    </cfRule>
    <cfRule type="cellIs" dxfId="2880" priority="768" operator="equal">
      <formula>"X"</formula>
    </cfRule>
    <cfRule type="cellIs" dxfId="2879" priority="769" operator="equal">
      <formula>"X"</formula>
    </cfRule>
  </conditionalFormatting>
  <conditionalFormatting sqref="AA4">
    <cfRule type="cellIs" dxfId="2878" priority="764" operator="equal">
      <formula>"+"</formula>
    </cfRule>
    <cfRule type="cellIs" dxfId="2877" priority="765" operator="equal">
      <formula>"szf"</formula>
    </cfRule>
  </conditionalFormatting>
  <conditionalFormatting sqref="AA4">
    <cfRule type="cellIs" dxfId="2876" priority="763" operator="equal">
      <formula>"+"</formula>
    </cfRule>
  </conditionalFormatting>
  <conditionalFormatting sqref="AA4:AA23">
    <cfRule type="cellIs" dxfId="2875" priority="761" operator="equal">
      <formula>"+"</formula>
    </cfRule>
    <cfRule type="cellIs" dxfId="2874" priority="762" operator="equal">
      <formula>"szf"</formula>
    </cfRule>
  </conditionalFormatting>
  <conditionalFormatting sqref="AA4:AA23">
    <cfRule type="cellIs" dxfId="2873" priority="757" operator="equal">
      <formula>"V"</formula>
    </cfRule>
    <cfRule type="cellIs" dxfId="2872" priority="758" operator="equal">
      <formula>"Szo"</formula>
    </cfRule>
    <cfRule type="cellIs" dxfId="2871" priority="759" operator="equal">
      <formula>"X"</formula>
    </cfRule>
    <cfRule type="cellIs" dxfId="2870" priority="760" operator="equal">
      <formula>"X"</formula>
    </cfRule>
  </conditionalFormatting>
  <conditionalFormatting sqref="C28">
    <cfRule type="cellIs" dxfId="2869" priority="755" operator="equal">
      <formula>"+"</formula>
    </cfRule>
    <cfRule type="cellIs" dxfId="2868" priority="756" operator="equal">
      <formula>"szf"</formula>
    </cfRule>
  </conditionalFormatting>
  <conditionalFormatting sqref="C28">
    <cfRule type="cellIs" dxfId="2867" priority="754" operator="equal">
      <formula>"+"</formula>
    </cfRule>
  </conditionalFormatting>
  <conditionalFormatting sqref="C28:C47">
    <cfRule type="cellIs" dxfId="2866" priority="752" operator="equal">
      <formula>"+"</formula>
    </cfRule>
    <cfRule type="cellIs" dxfId="2865" priority="753" operator="equal">
      <formula>"szf"</formula>
    </cfRule>
  </conditionalFormatting>
  <conditionalFormatting sqref="C28:C47">
    <cfRule type="cellIs" dxfId="2864" priority="748" operator="equal">
      <formula>"V"</formula>
    </cfRule>
    <cfRule type="cellIs" dxfId="2863" priority="749" operator="equal">
      <formula>"Szo"</formula>
    </cfRule>
    <cfRule type="cellIs" dxfId="2862" priority="750" operator="equal">
      <formula>"X"</formula>
    </cfRule>
    <cfRule type="cellIs" dxfId="2861" priority="751" operator="equal">
      <formula>"X"</formula>
    </cfRule>
  </conditionalFormatting>
  <conditionalFormatting sqref="D28">
    <cfRule type="cellIs" dxfId="2860" priority="746" operator="equal">
      <formula>"+"</formula>
    </cfRule>
    <cfRule type="cellIs" dxfId="2859" priority="747" operator="equal">
      <formula>"szf"</formula>
    </cfRule>
  </conditionalFormatting>
  <conditionalFormatting sqref="D28">
    <cfRule type="cellIs" dxfId="2858" priority="745" operator="equal">
      <formula>"+"</formula>
    </cfRule>
  </conditionalFormatting>
  <conditionalFormatting sqref="D28:D47">
    <cfRule type="cellIs" dxfId="2857" priority="743" operator="equal">
      <formula>"+"</formula>
    </cfRule>
    <cfRule type="cellIs" dxfId="2856" priority="744" operator="equal">
      <formula>"szf"</formula>
    </cfRule>
  </conditionalFormatting>
  <conditionalFormatting sqref="D28:D47">
    <cfRule type="cellIs" dxfId="2855" priority="739" operator="equal">
      <formula>"V"</formula>
    </cfRule>
    <cfRule type="cellIs" dxfId="2854" priority="740" operator="equal">
      <formula>"Szo"</formula>
    </cfRule>
    <cfRule type="cellIs" dxfId="2853" priority="741" operator="equal">
      <formula>"X"</formula>
    </cfRule>
    <cfRule type="cellIs" dxfId="2852" priority="742" operator="equal">
      <formula>"X"</formula>
    </cfRule>
  </conditionalFormatting>
  <conditionalFormatting sqref="K28">
    <cfRule type="cellIs" dxfId="2851" priority="737" operator="equal">
      <formula>"+"</formula>
    </cfRule>
    <cfRule type="cellIs" dxfId="2850" priority="738" operator="equal">
      <formula>"szf"</formula>
    </cfRule>
  </conditionalFormatting>
  <conditionalFormatting sqref="K28">
    <cfRule type="cellIs" dxfId="2849" priority="736" operator="equal">
      <formula>"+"</formula>
    </cfRule>
  </conditionalFormatting>
  <conditionalFormatting sqref="K28:K47">
    <cfRule type="cellIs" dxfId="2848" priority="734" operator="equal">
      <formula>"+"</formula>
    </cfRule>
    <cfRule type="cellIs" dxfId="2847" priority="735" operator="equal">
      <formula>"szf"</formula>
    </cfRule>
  </conditionalFormatting>
  <conditionalFormatting sqref="K28:K47">
    <cfRule type="cellIs" dxfId="2846" priority="730" operator="equal">
      <formula>"V"</formula>
    </cfRule>
    <cfRule type="cellIs" dxfId="2845" priority="731" operator="equal">
      <formula>"Szo"</formula>
    </cfRule>
    <cfRule type="cellIs" dxfId="2844" priority="732" operator="equal">
      <formula>"X"</formula>
    </cfRule>
    <cfRule type="cellIs" dxfId="2843" priority="733" operator="equal">
      <formula>"X"</formula>
    </cfRule>
  </conditionalFormatting>
  <conditionalFormatting sqref="L28">
    <cfRule type="cellIs" dxfId="2842" priority="728" operator="equal">
      <formula>"+"</formula>
    </cfRule>
    <cfRule type="cellIs" dxfId="2841" priority="729" operator="equal">
      <formula>"szf"</formula>
    </cfRule>
  </conditionalFormatting>
  <conditionalFormatting sqref="L28">
    <cfRule type="cellIs" dxfId="2840" priority="727" operator="equal">
      <formula>"+"</formula>
    </cfRule>
  </conditionalFormatting>
  <conditionalFormatting sqref="L28:L47">
    <cfRule type="cellIs" dxfId="2839" priority="725" operator="equal">
      <formula>"+"</formula>
    </cfRule>
    <cfRule type="cellIs" dxfId="2838" priority="726" operator="equal">
      <formula>"szf"</formula>
    </cfRule>
  </conditionalFormatting>
  <conditionalFormatting sqref="L28:L47">
    <cfRule type="cellIs" dxfId="2837" priority="721" operator="equal">
      <formula>"V"</formula>
    </cfRule>
    <cfRule type="cellIs" dxfId="2836" priority="722" operator="equal">
      <formula>"Szo"</formula>
    </cfRule>
    <cfRule type="cellIs" dxfId="2835" priority="723" operator="equal">
      <formula>"X"</formula>
    </cfRule>
    <cfRule type="cellIs" dxfId="2834" priority="724" operator="equal">
      <formula>"X"</formula>
    </cfRule>
  </conditionalFormatting>
  <conditionalFormatting sqref="S28">
    <cfRule type="cellIs" dxfId="2833" priority="719" operator="equal">
      <formula>"+"</formula>
    </cfRule>
    <cfRule type="cellIs" dxfId="2832" priority="720" operator="equal">
      <formula>"szf"</formula>
    </cfRule>
  </conditionalFormatting>
  <conditionalFormatting sqref="S28">
    <cfRule type="cellIs" dxfId="2831" priority="718" operator="equal">
      <formula>"+"</formula>
    </cfRule>
  </conditionalFormatting>
  <conditionalFormatting sqref="S28:S47">
    <cfRule type="cellIs" dxfId="2830" priority="716" operator="equal">
      <formula>"+"</formula>
    </cfRule>
    <cfRule type="cellIs" dxfId="2829" priority="717" operator="equal">
      <formula>"szf"</formula>
    </cfRule>
  </conditionalFormatting>
  <conditionalFormatting sqref="S28:S47">
    <cfRule type="cellIs" dxfId="2828" priority="712" operator="equal">
      <formula>"V"</formula>
    </cfRule>
    <cfRule type="cellIs" dxfId="2827" priority="713" operator="equal">
      <formula>"Szo"</formula>
    </cfRule>
    <cfRule type="cellIs" dxfId="2826" priority="714" operator="equal">
      <formula>"X"</formula>
    </cfRule>
    <cfRule type="cellIs" dxfId="2825" priority="715" operator="equal">
      <formula>"X"</formula>
    </cfRule>
  </conditionalFormatting>
  <conditionalFormatting sqref="T28">
    <cfRule type="cellIs" dxfId="2824" priority="710" operator="equal">
      <formula>"+"</formula>
    </cfRule>
    <cfRule type="cellIs" dxfId="2823" priority="711" operator="equal">
      <formula>"szf"</formula>
    </cfRule>
  </conditionalFormatting>
  <conditionalFormatting sqref="T28">
    <cfRule type="cellIs" dxfId="2822" priority="709" operator="equal">
      <formula>"+"</formula>
    </cfRule>
  </conditionalFormatting>
  <conditionalFormatting sqref="T28:T47">
    <cfRule type="cellIs" dxfId="2821" priority="707" operator="equal">
      <formula>"+"</formula>
    </cfRule>
    <cfRule type="cellIs" dxfId="2820" priority="708" operator="equal">
      <formula>"szf"</formula>
    </cfRule>
  </conditionalFormatting>
  <conditionalFormatting sqref="T28:T47">
    <cfRule type="cellIs" dxfId="2819" priority="703" operator="equal">
      <formula>"V"</formula>
    </cfRule>
    <cfRule type="cellIs" dxfId="2818" priority="704" operator="equal">
      <formula>"Szo"</formula>
    </cfRule>
    <cfRule type="cellIs" dxfId="2817" priority="705" operator="equal">
      <formula>"X"</formula>
    </cfRule>
    <cfRule type="cellIs" dxfId="2816" priority="706" operator="equal">
      <formula>"X"</formula>
    </cfRule>
  </conditionalFormatting>
  <conditionalFormatting sqref="AA28">
    <cfRule type="cellIs" dxfId="2815" priority="701" operator="equal">
      <formula>"+"</formula>
    </cfRule>
    <cfRule type="cellIs" dxfId="2814" priority="702" operator="equal">
      <formula>"szf"</formula>
    </cfRule>
  </conditionalFormatting>
  <conditionalFormatting sqref="AA28">
    <cfRule type="cellIs" dxfId="2813" priority="700" operator="equal">
      <formula>"+"</formula>
    </cfRule>
  </conditionalFormatting>
  <conditionalFormatting sqref="AA28:AA47">
    <cfRule type="cellIs" dxfId="2812" priority="698" operator="equal">
      <formula>"+"</formula>
    </cfRule>
    <cfRule type="cellIs" dxfId="2811" priority="699" operator="equal">
      <formula>"szf"</formula>
    </cfRule>
  </conditionalFormatting>
  <conditionalFormatting sqref="AA28:AA47">
    <cfRule type="cellIs" dxfId="2810" priority="694" operator="equal">
      <formula>"V"</formula>
    </cfRule>
    <cfRule type="cellIs" dxfId="2809" priority="695" operator="equal">
      <formula>"Szo"</formula>
    </cfRule>
    <cfRule type="cellIs" dxfId="2808" priority="696" operator="equal">
      <formula>"X"</formula>
    </cfRule>
    <cfRule type="cellIs" dxfId="2807" priority="697" operator="equal">
      <formula>"X"</formula>
    </cfRule>
  </conditionalFormatting>
  <conditionalFormatting sqref="AB28">
    <cfRule type="cellIs" dxfId="2806" priority="692" operator="equal">
      <formula>"+"</formula>
    </cfRule>
    <cfRule type="cellIs" dxfId="2805" priority="693" operator="equal">
      <formula>"szf"</formula>
    </cfRule>
  </conditionalFormatting>
  <conditionalFormatting sqref="AB28">
    <cfRule type="cellIs" dxfId="2804" priority="691" operator="equal">
      <formula>"+"</formula>
    </cfRule>
  </conditionalFormatting>
  <conditionalFormatting sqref="AB28:AB47">
    <cfRule type="cellIs" dxfId="2803" priority="689" operator="equal">
      <formula>"+"</formula>
    </cfRule>
    <cfRule type="cellIs" dxfId="2802" priority="690" operator="equal">
      <formula>"szf"</formula>
    </cfRule>
  </conditionalFormatting>
  <conditionalFormatting sqref="AB28:AB47">
    <cfRule type="cellIs" dxfId="2801" priority="685" operator="equal">
      <formula>"V"</formula>
    </cfRule>
    <cfRule type="cellIs" dxfId="2800" priority="686" operator="equal">
      <formula>"Szo"</formula>
    </cfRule>
    <cfRule type="cellIs" dxfId="2799" priority="687" operator="equal">
      <formula>"X"</formula>
    </cfRule>
    <cfRule type="cellIs" dxfId="2798" priority="688" operator="equal">
      <formula>"X"</formula>
    </cfRule>
  </conditionalFormatting>
  <conditionalFormatting sqref="G52">
    <cfRule type="cellIs" dxfId="2797" priority="683" operator="equal">
      <formula>"+"</formula>
    </cfRule>
    <cfRule type="cellIs" dxfId="2796" priority="684" operator="equal">
      <formula>"szf"</formula>
    </cfRule>
  </conditionalFormatting>
  <conditionalFormatting sqref="G52">
    <cfRule type="cellIs" dxfId="2795" priority="682" operator="equal">
      <formula>"+"</formula>
    </cfRule>
  </conditionalFormatting>
  <conditionalFormatting sqref="G52:G71">
    <cfRule type="cellIs" dxfId="2794" priority="680" operator="equal">
      <formula>"+"</formula>
    </cfRule>
    <cfRule type="cellIs" dxfId="2793" priority="681" operator="equal">
      <formula>"szf"</formula>
    </cfRule>
  </conditionalFormatting>
  <conditionalFormatting sqref="G52:G71">
    <cfRule type="cellIs" dxfId="2792" priority="676" operator="equal">
      <formula>"V"</formula>
    </cfRule>
    <cfRule type="cellIs" dxfId="2791" priority="677" operator="equal">
      <formula>"Szo"</formula>
    </cfRule>
    <cfRule type="cellIs" dxfId="2790" priority="678" operator="equal">
      <formula>"X"</formula>
    </cfRule>
    <cfRule type="cellIs" dxfId="2789" priority="679" operator="equal">
      <formula>"X"</formula>
    </cfRule>
  </conditionalFormatting>
  <conditionalFormatting sqref="H52">
    <cfRule type="cellIs" dxfId="2788" priority="674" operator="equal">
      <formula>"+"</formula>
    </cfRule>
    <cfRule type="cellIs" dxfId="2787" priority="675" operator="equal">
      <formula>"szf"</formula>
    </cfRule>
  </conditionalFormatting>
  <conditionalFormatting sqref="H52">
    <cfRule type="cellIs" dxfId="2786" priority="673" operator="equal">
      <formula>"+"</formula>
    </cfRule>
  </conditionalFormatting>
  <conditionalFormatting sqref="H52:H71">
    <cfRule type="cellIs" dxfId="2785" priority="671" operator="equal">
      <formula>"+"</formula>
    </cfRule>
    <cfRule type="cellIs" dxfId="2784" priority="672" operator="equal">
      <formula>"szf"</formula>
    </cfRule>
  </conditionalFormatting>
  <conditionalFormatting sqref="H52:H71">
    <cfRule type="cellIs" dxfId="2783" priority="667" operator="equal">
      <formula>"V"</formula>
    </cfRule>
    <cfRule type="cellIs" dxfId="2782" priority="668" operator="equal">
      <formula>"Szo"</formula>
    </cfRule>
    <cfRule type="cellIs" dxfId="2781" priority="669" operator="equal">
      <formula>"X"</formula>
    </cfRule>
    <cfRule type="cellIs" dxfId="2780" priority="670" operator="equal">
      <formula>"X"</formula>
    </cfRule>
  </conditionalFormatting>
  <conditionalFormatting sqref="O52">
    <cfRule type="cellIs" dxfId="2779" priority="665" operator="equal">
      <formula>"+"</formula>
    </cfRule>
    <cfRule type="cellIs" dxfId="2778" priority="666" operator="equal">
      <formula>"szf"</formula>
    </cfRule>
  </conditionalFormatting>
  <conditionalFormatting sqref="O52">
    <cfRule type="cellIs" dxfId="2777" priority="664" operator="equal">
      <formula>"+"</formula>
    </cfRule>
  </conditionalFormatting>
  <conditionalFormatting sqref="O52:O71">
    <cfRule type="cellIs" dxfId="2776" priority="662" operator="equal">
      <formula>"+"</formula>
    </cfRule>
    <cfRule type="cellIs" dxfId="2775" priority="663" operator="equal">
      <formula>"szf"</formula>
    </cfRule>
  </conditionalFormatting>
  <conditionalFormatting sqref="O52:O71">
    <cfRule type="cellIs" dxfId="2774" priority="658" operator="equal">
      <formula>"V"</formula>
    </cfRule>
    <cfRule type="cellIs" dxfId="2773" priority="659" operator="equal">
      <formula>"Szo"</formula>
    </cfRule>
    <cfRule type="cellIs" dxfId="2772" priority="660" operator="equal">
      <formula>"X"</formula>
    </cfRule>
    <cfRule type="cellIs" dxfId="2771" priority="661" operator="equal">
      <formula>"X"</formula>
    </cfRule>
  </conditionalFormatting>
  <conditionalFormatting sqref="P52">
    <cfRule type="cellIs" dxfId="2770" priority="656" operator="equal">
      <formula>"+"</formula>
    </cfRule>
    <cfRule type="cellIs" dxfId="2769" priority="657" operator="equal">
      <formula>"szf"</formula>
    </cfRule>
  </conditionalFormatting>
  <conditionalFormatting sqref="P52">
    <cfRule type="cellIs" dxfId="2768" priority="655" operator="equal">
      <formula>"+"</formula>
    </cfRule>
  </conditionalFormatting>
  <conditionalFormatting sqref="P52:P71">
    <cfRule type="cellIs" dxfId="2767" priority="653" operator="equal">
      <formula>"+"</formula>
    </cfRule>
    <cfRule type="cellIs" dxfId="2766" priority="654" operator="equal">
      <formula>"szf"</formula>
    </cfRule>
  </conditionalFormatting>
  <conditionalFormatting sqref="P52:P71">
    <cfRule type="cellIs" dxfId="2765" priority="649" operator="equal">
      <formula>"V"</formula>
    </cfRule>
    <cfRule type="cellIs" dxfId="2764" priority="650" operator="equal">
      <formula>"Szo"</formula>
    </cfRule>
    <cfRule type="cellIs" dxfId="2763" priority="651" operator="equal">
      <formula>"X"</formula>
    </cfRule>
    <cfRule type="cellIs" dxfId="2762" priority="652" operator="equal">
      <formula>"X"</formula>
    </cfRule>
  </conditionalFormatting>
  <conditionalFormatting sqref="W52">
    <cfRule type="cellIs" dxfId="2761" priority="647" operator="equal">
      <formula>"+"</formula>
    </cfRule>
    <cfRule type="cellIs" dxfId="2760" priority="648" operator="equal">
      <formula>"szf"</formula>
    </cfRule>
  </conditionalFormatting>
  <conditionalFormatting sqref="W52">
    <cfRule type="cellIs" dxfId="2759" priority="646" operator="equal">
      <formula>"+"</formula>
    </cfRule>
  </conditionalFormatting>
  <conditionalFormatting sqref="W52:W71">
    <cfRule type="cellIs" dxfId="2758" priority="644" operator="equal">
      <formula>"+"</formula>
    </cfRule>
    <cfRule type="cellIs" dxfId="2757" priority="645" operator="equal">
      <formula>"szf"</formula>
    </cfRule>
  </conditionalFormatting>
  <conditionalFormatting sqref="W52:W71">
    <cfRule type="cellIs" dxfId="2756" priority="640" operator="equal">
      <formula>"V"</formula>
    </cfRule>
    <cfRule type="cellIs" dxfId="2755" priority="641" operator="equal">
      <formula>"Szo"</formula>
    </cfRule>
    <cfRule type="cellIs" dxfId="2754" priority="642" operator="equal">
      <formula>"X"</formula>
    </cfRule>
    <cfRule type="cellIs" dxfId="2753" priority="643" operator="equal">
      <formula>"X"</formula>
    </cfRule>
  </conditionalFormatting>
  <conditionalFormatting sqref="X52">
    <cfRule type="cellIs" dxfId="2752" priority="638" operator="equal">
      <formula>"+"</formula>
    </cfRule>
    <cfRule type="cellIs" dxfId="2751" priority="639" operator="equal">
      <formula>"szf"</formula>
    </cfRule>
  </conditionalFormatting>
  <conditionalFormatting sqref="X52">
    <cfRule type="cellIs" dxfId="2750" priority="637" operator="equal">
      <formula>"+"</formula>
    </cfRule>
  </conditionalFormatting>
  <conditionalFormatting sqref="X52:X71">
    <cfRule type="cellIs" dxfId="2749" priority="635" operator="equal">
      <formula>"+"</formula>
    </cfRule>
    <cfRule type="cellIs" dxfId="2748" priority="636" operator="equal">
      <formula>"szf"</formula>
    </cfRule>
  </conditionalFormatting>
  <conditionalFormatting sqref="X52:X71">
    <cfRule type="cellIs" dxfId="2747" priority="631" operator="equal">
      <formula>"V"</formula>
    </cfRule>
    <cfRule type="cellIs" dxfId="2746" priority="632" operator="equal">
      <formula>"Szo"</formula>
    </cfRule>
    <cfRule type="cellIs" dxfId="2745" priority="633" operator="equal">
      <formula>"X"</formula>
    </cfRule>
    <cfRule type="cellIs" dxfId="2744" priority="634" operator="equal">
      <formula>"X"</formula>
    </cfRule>
  </conditionalFormatting>
  <conditionalFormatting sqref="AE52">
    <cfRule type="cellIs" dxfId="2743" priority="629" operator="equal">
      <formula>"+"</formula>
    </cfRule>
    <cfRule type="cellIs" dxfId="2742" priority="630" operator="equal">
      <formula>"szf"</formula>
    </cfRule>
  </conditionalFormatting>
  <conditionalFormatting sqref="AE52">
    <cfRule type="cellIs" dxfId="2741" priority="628" operator="equal">
      <formula>"+"</formula>
    </cfRule>
  </conditionalFormatting>
  <conditionalFormatting sqref="AE52:AE71">
    <cfRule type="cellIs" dxfId="2740" priority="626" operator="equal">
      <formula>"+"</formula>
    </cfRule>
    <cfRule type="cellIs" dxfId="2739" priority="627" operator="equal">
      <formula>"szf"</formula>
    </cfRule>
  </conditionalFormatting>
  <conditionalFormatting sqref="AE52:AE71">
    <cfRule type="cellIs" dxfId="2738" priority="622" operator="equal">
      <formula>"V"</formula>
    </cfRule>
    <cfRule type="cellIs" dxfId="2737" priority="623" operator="equal">
      <formula>"Szo"</formula>
    </cfRule>
    <cfRule type="cellIs" dxfId="2736" priority="624" operator="equal">
      <formula>"X"</formula>
    </cfRule>
    <cfRule type="cellIs" dxfId="2735" priority="625" operator="equal">
      <formula>"X"</formula>
    </cfRule>
  </conditionalFormatting>
  <conditionalFormatting sqref="AF52">
    <cfRule type="cellIs" dxfId="2734" priority="620" operator="equal">
      <formula>"+"</formula>
    </cfRule>
    <cfRule type="cellIs" dxfId="2733" priority="621" operator="equal">
      <formula>"szf"</formula>
    </cfRule>
  </conditionalFormatting>
  <conditionalFormatting sqref="AF52">
    <cfRule type="cellIs" dxfId="2732" priority="619" operator="equal">
      <formula>"+"</formula>
    </cfRule>
  </conditionalFormatting>
  <conditionalFormatting sqref="AF52:AF71">
    <cfRule type="cellIs" dxfId="2731" priority="617" operator="equal">
      <formula>"+"</formula>
    </cfRule>
    <cfRule type="cellIs" dxfId="2730" priority="618" operator="equal">
      <formula>"szf"</formula>
    </cfRule>
  </conditionalFormatting>
  <conditionalFormatting sqref="AF52:AF71">
    <cfRule type="cellIs" dxfId="2729" priority="613" operator="equal">
      <formula>"V"</formula>
    </cfRule>
    <cfRule type="cellIs" dxfId="2728" priority="614" operator="equal">
      <formula>"Szo"</formula>
    </cfRule>
    <cfRule type="cellIs" dxfId="2727" priority="615" operator="equal">
      <formula>"X"</formula>
    </cfRule>
    <cfRule type="cellIs" dxfId="2726" priority="616" operator="equal">
      <formula>"X"</formula>
    </cfRule>
  </conditionalFormatting>
  <conditionalFormatting sqref="H76">
    <cfRule type="cellIs" dxfId="2725" priority="611" operator="equal">
      <formula>"+"</formula>
    </cfRule>
    <cfRule type="cellIs" dxfId="2724" priority="612" operator="equal">
      <formula>"szf"</formula>
    </cfRule>
  </conditionalFormatting>
  <conditionalFormatting sqref="H76">
    <cfRule type="cellIs" dxfId="2723" priority="610" operator="equal">
      <formula>"+"</formula>
    </cfRule>
  </conditionalFormatting>
  <conditionalFormatting sqref="H76:H95">
    <cfRule type="cellIs" dxfId="2722" priority="608" operator="equal">
      <formula>"+"</formula>
    </cfRule>
    <cfRule type="cellIs" dxfId="2721" priority="609" operator="equal">
      <formula>"szf"</formula>
    </cfRule>
  </conditionalFormatting>
  <conditionalFormatting sqref="H76:H95">
    <cfRule type="cellIs" dxfId="2720" priority="604" operator="equal">
      <formula>"V"</formula>
    </cfRule>
    <cfRule type="cellIs" dxfId="2719" priority="605" operator="equal">
      <formula>"Szo"</formula>
    </cfRule>
    <cfRule type="cellIs" dxfId="2718" priority="606" operator="equal">
      <formula>"X"</formula>
    </cfRule>
    <cfRule type="cellIs" dxfId="2717" priority="607" operator="equal">
      <formula>"X"</formula>
    </cfRule>
  </conditionalFormatting>
  <conditionalFormatting sqref="I76">
    <cfRule type="cellIs" dxfId="2716" priority="602" operator="equal">
      <formula>"+"</formula>
    </cfRule>
    <cfRule type="cellIs" dxfId="2715" priority="603" operator="equal">
      <formula>"szf"</formula>
    </cfRule>
  </conditionalFormatting>
  <conditionalFormatting sqref="I76">
    <cfRule type="cellIs" dxfId="2714" priority="601" operator="equal">
      <formula>"+"</formula>
    </cfRule>
  </conditionalFormatting>
  <conditionalFormatting sqref="I76:I95">
    <cfRule type="cellIs" dxfId="2713" priority="599" operator="equal">
      <formula>"+"</formula>
    </cfRule>
    <cfRule type="cellIs" dxfId="2712" priority="600" operator="equal">
      <formula>"szf"</formula>
    </cfRule>
  </conditionalFormatting>
  <conditionalFormatting sqref="I76:I95">
    <cfRule type="cellIs" dxfId="2711" priority="595" operator="equal">
      <formula>"V"</formula>
    </cfRule>
    <cfRule type="cellIs" dxfId="2710" priority="596" operator="equal">
      <formula>"Szo"</formula>
    </cfRule>
    <cfRule type="cellIs" dxfId="2709" priority="597" operator="equal">
      <formula>"X"</formula>
    </cfRule>
    <cfRule type="cellIs" dxfId="2708" priority="598" operator="equal">
      <formula>"X"</formula>
    </cfRule>
  </conditionalFormatting>
  <conditionalFormatting sqref="P76">
    <cfRule type="cellIs" dxfId="2707" priority="593" operator="equal">
      <formula>"+"</formula>
    </cfRule>
    <cfRule type="cellIs" dxfId="2706" priority="594" operator="equal">
      <formula>"szf"</formula>
    </cfRule>
  </conditionalFormatting>
  <conditionalFormatting sqref="P76">
    <cfRule type="cellIs" dxfId="2705" priority="592" operator="equal">
      <formula>"+"</formula>
    </cfRule>
  </conditionalFormatting>
  <conditionalFormatting sqref="P76:P95">
    <cfRule type="cellIs" dxfId="2704" priority="590" operator="equal">
      <formula>"+"</formula>
    </cfRule>
    <cfRule type="cellIs" dxfId="2703" priority="591" operator="equal">
      <formula>"szf"</formula>
    </cfRule>
  </conditionalFormatting>
  <conditionalFormatting sqref="P76:P95">
    <cfRule type="cellIs" dxfId="2702" priority="586" operator="equal">
      <formula>"V"</formula>
    </cfRule>
    <cfRule type="cellIs" dxfId="2701" priority="587" operator="equal">
      <formula>"Szo"</formula>
    </cfRule>
    <cfRule type="cellIs" dxfId="2700" priority="588" operator="equal">
      <formula>"X"</formula>
    </cfRule>
    <cfRule type="cellIs" dxfId="2699" priority="589" operator="equal">
      <formula>"X"</formula>
    </cfRule>
  </conditionalFormatting>
  <conditionalFormatting sqref="Q76">
    <cfRule type="cellIs" dxfId="2698" priority="584" operator="equal">
      <formula>"+"</formula>
    </cfRule>
    <cfRule type="cellIs" dxfId="2697" priority="585" operator="equal">
      <formula>"szf"</formula>
    </cfRule>
  </conditionalFormatting>
  <conditionalFormatting sqref="Q76">
    <cfRule type="cellIs" dxfId="2696" priority="583" operator="equal">
      <formula>"+"</formula>
    </cfRule>
  </conditionalFormatting>
  <conditionalFormatting sqref="Q76:Q95">
    <cfRule type="cellIs" dxfId="2695" priority="581" operator="equal">
      <formula>"+"</formula>
    </cfRule>
    <cfRule type="cellIs" dxfId="2694" priority="582" operator="equal">
      <formula>"szf"</formula>
    </cfRule>
  </conditionalFormatting>
  <conditionalFormatting sqref="Q76:Q95">
    <cfRule type="cellIs" dxfId="2693" priority="577" operator="equal">
      <formula>"V"</formula>
    </cfRule>
    <cfRule type="cellIs" dxfId="2692" priority="578" operator="equal">
      <formula>"Szo"</formula>
    </cfRule>
    <cfRule type="cellIs" dxfId="2691" priority="579" operator="equal">
      <formula>"X"</formula>
    </cfRule>
    <cfRule type="cellIs" dxfId="2690" priority="580" operator="equal">
      <formula>"X"</formula>
    </cfRule>
  </conditionalFormatting>
  <conditionalFormatting sqref="X76">
    <cfRule type="cellIs" dxfId="2689" priority="575" operator="equal">
      <formula>"+"</formula>
    </cfRule>
    <cfRule type="cellIs" dxfId="2688" priority="576" operator="equal">
      <formula>"szf"</formula>
    </cfRule>
  </conditionalFormatting>
  <conditionalFormatting sqref="X76">
    <cfRule type="cellIs" dxfId="2687" priority="574" operator="equal">
      <formula>"+"</formula>
    </cfRule>
  </conditionalFormatting>
  <conditionalFormatting sqref="X76:X95">
    <cfRule type="cellIs" dxfId="2686" priority="572" operator="equal">
      <formula>"+"</formula>
    </cfRule>
    <cfRule type="cellIs" dxfId="2685" priority="573" operator="equal">
      <formula>"szf"</formula>
    </cfRule>
  </conditionalFormatting>
  <conditionalFormatting sqref="X76:X95">
    <cfRule type="cellIs" dxfId="2684" priority="568" operator="equal">
      <formula>"V"</formula>
    </cfRule>
    <cfRule type="cellIs" dxfId="2683" priority="569" operator="equal">
      <formula>"Szo"</formula>
    </cfRule>
    <cfRule type="cellIs" dxfId="2682" priority="570" operator="equal">
      <formula>"X"</formula>
    </cfRule>
    <cfRule type="cellIs" dxfId="2681" priority="571" operator="equal">
      <formula>"X"</formula>
    </cfRule>
  </conditionalFormatting>
  <conditionalFormatting sqref="Y76">
    <cfRule type="cellIs" dxfId="2680" priority="566" operator="equal">
      <formula>"+"</formula>
    </cfRule>
    <cfRule type="cellIs" dxfId="2679" priority="567" operator="equal">
      <formula>"szf"</formula>
    </cfRule>
  </conditionalFormatting>
  <conditionalFormatting sqref="Y76">
    <cfRule type="cellIs" dxfId="2678" priority="565" operator="equal">
      <formula>"+"</formula>
    </cfRule>
  </conditionalFormatting>
  <conditionalFormatting sqref="Y76:Y95">
    <cfRule type="cellIs" dxfId="2677" priority="563" operator="equal">
      <formula>"+"</formula>
    </cfRule>
    <cfRule type="cellIs" dxfId="2676" priority="564" operator="equal">
      <formula>"szf"</formula>
    </cfRule>
  </conditionalFormatting>
  <conditionalFormatting sqref="Y76:Y95">
    <cfRule type="cellIs" dxfId="2675" priority="559" operator="equal">
      <formula>"V"</formula>
    </cfRule>
    <cfRule type="cellIs" dxfId="2674" priority="560" operator="equal">
      <formula>"Szo"</formula>
    </cfRule>
    <cfRule type="cellIs" dxfId="2673" priority="561" operator="equal">
      <formula>"X"</formula>
    </cfRule>
    <cfRule type="cellIs" dxfId="2672" priority="562" operator="equal">
      <formula>"X"</formula>
    </cfRule>
  </conditionalFormatting>
  <conditionalFormatting sqref="B100">
    <cfRule type="cellIs" dxfId="2671" priority="557" operator="equal">
      <formula>"+"</formula>
    </cfRule>
    <cfRule type="cellIs" dxfId="2670" priority="558" operator="equal">
      <formula>"szf"</formula>
    </cfRule>
  </conditionalFormatting>
  <conditionalFormatting sqref="B100">
    <cfRule type="cellIs" dxfId="2669" priority="556" operator="equal">
      <formula>"+"</formula>
    </cfRule>
  </conditionalFormatting>
  <conditionalFormatting sqref="B100:B119">
    <cfRule type="cellIs" dxfId="2668" priority="554" operator="equal">
      <formula>"+"</formula>
    </cfRule>
    <cfRule type="cellIs" dxfId="2667" priority="555" operator="equal">
      <formula>"szf"</formula>
    </cfRule>
  </conditionalFormatting>
  <conditionalFormatting sqref="B100:B119">
    <cfRule type="cellIs" dxfId="2666" priority="550" operator="equal">
      <formula>"V"</formula>
    </cfRule>
    <cfRule type="cellIs" dxfId="2665" priority="551" operator="equal">
      <formula>"Szo"</formula>
    </cfRule>
    <cfRule type="cellIs" dxfId="2664" priority="552" operator="equal">
      <formula>"X"</formula>
    </cfRule>
    <cfRule type="cellIs" dxfId="2663" priority="553" operator="equal">
      <formula>"X"</formula>
    </cfRule>
  </conditionalFormatting>
  <conditionalFormatting sqref="C100">
    <cfRule type="cellIs" dxfId="2662" priority="548" operator="equal">
      <formula>"+"</formula>
    </cfRule>
    <cfRule type="cellIs" dxfId="2661" priority="549" operator="equal">
      <formula>"szf"</formula>
    </cfRule>
  </conditionalFormatting>
  <conditionalFormatting sqref="C100">
    <cfRule type="cellIs" dxfId="2660" priority="547" operator="equal">
      <formula>"+"</formula>
    </cfRule>
  </conditionalFormatting>
  <conditionalFormatting sqref="C100:C119">
    <cfRule type="cellIs" dxfId="2659" priority="545" operator="equal">
      <formula>"+"</formula>
    </cfRule>
    <cfRule type="cellIs" dxfId="2658" priority="546" operator="equal">
      <formula>"szf"</formula>
    </cfRule>
  </conditionalFormatting>
  <conditionalFormatting sqref="C100:C119">
    <cfRule type="cellIs" dxfId="2657" priority="541" operator="equal">
      <formula>"V"</formula>
    </cfRule>
    <cfRule type="cellIs" dxfId="2656" priority="542" operator="equal">
      <formula>"Szo"</formula>
    </cfRule>
    <cfRule type="cellIs" dxfId="2655" priority="543" operator="equal">
      <formula>"X"</formula>
    </cfRule>
    <cfRule type="cellIs" dxfId="2654" priority="544" operator="equal">
      <formula>"X"</formula>
    </cfRule>
  </conditionalFormatting>
  <conditionalFormatting sqref="J100">
    <cfRule type="cellIs" dxfId="2653" priority="539" operator="equal">
      <formula>"+"</formula>
    </cfRule>
    <cfRule type="cellIs" dxfId="2652" priority="540" operator="equal">
      <formula>"szf"</formula>
    </cfRule>
  </conditionalFormatting>
  <conditionalFormatting sqref="J100">
    <cfRule type="cellIs" dxfId="2651" priority="538" operator="equal">
      <formula>"+"</formula>
    </cfRule>
  </conditionalFormatting>
  <conditionalFormatting sqref="J100:J119">
    <cfRule type="cellIs" dxfId="2650" priority="536" operator="equal">
      <formula>"+"</formula>
    </cfRule>
    <cfRule type="cellIs" dxfId="2649" priority="537" operator="equal">
      <formula>"szf"</formula>
    </cfRule>
  </conditionalFormatting>
  <conditionalFormatting sqref="J100:J119">
    <cfRule type="cellIs" dxfId="2648" priority="532" operator="equal">
      <formula>"V"</formula>
    </cfRule>
    <cfRule type="cellIs" dxfId="2647" priority="533" operator="equal">
      <formula>"Szo"</formula>
    </cfRule>
    <cfRule type="cellIs" dxfId="2646" priority="534" operator="equal">
      <formula>"X"</formula>
    </cfRule>
    <cfRule type="cellIs" dxfId="2645" priority="535" operator="equal">
      <formula>"X"</formula>
    </cfRule>
  </conditionalFormatting>
  <conditionalFormatting sqref="K100">
    <cfRule type="cellIs" dxfId="2644" priority="530" operator="equal">
      <formula>"+"</formula>
    </cfRule>
    <cfRule type="cellIs" dxfId="2643" priority="531" operator="equal">
      <formula>"szf"</formula>
    </cfRule>
  </conditionalFormatting>
  <conditionalFormatting sqref="K100">
    <cfRule type="cellIs" dxfId="2642" priority="529" operator="equal">
      <formula>"+"</formula>
    </cfRule>
  </conditionalFormatting>
  <conditionalFormatting sqref="K100:K119">
    <cfRule type="cellIs" dxfId="2641" priority="527" operator="equal">
      <formula>"+"</formula>
    </cfRule>
    <cfRule type="cellIs" dxfId="2640" priority="528" operator="equal">
      <formula>"szf"</formula>
    </cfRule>
  </conditionalFormatting>
  <conditionalFormatting sqref="K100:K119">
    <cfRule type="cellIs" dxfId="2639" priority="523" operator="equal">
      <formula>"V"</formula>
    </cfRule>
    <cfRule type="cellIs" dxfId="2638" priority="524" operator="equal">
      <formula>"Szo"</formula>
    </cfRule>
    <cfRule type="cellIs" dxfId="2637" priority="525" operator="equal">
      <formula>"X"</formula>
    </cfRule>
    <cfRule type="cellIs" dxfId="2636" priority="526" operator="equal">
      <formula>"X"</formula>
    </cfRule>
  </conditionalFormatting>
  <conditionalFormatting sqref="S100">
    <cfRule type="cellIs" dxfId="2635" priority="521" operator="equal">
      <formula>"+"</formula>
    </cfRule>
    <cfRule type="cellIs" dxfId="2634" priority="522" operator="equal">
      <formula>"szf"</formula>
    </cfRule>
  </conditionalFormatting>
  <conditionalFormatting sqref="S100">
    <cfRule type="cellIs" dxfId="2633" priority="520" operator="equal">
      <formula>"+"</formula>
    </cfRule>
  </conditionalFormatting>
  <conditionalFormatting sqref="S100:S119">
    <cfRule type="cellIs" dxfId="2632" priority="518" operator="equal">
      <formula>"+"</formula>
    </cfRule>
    <cfRule type="cellIs" dxfId="2631" priority="519" operator="equal">
      <formula>"szf"</formula>
    </cfRule>
  </conditionalFormatting>
  <conditionalFormatting sqref="S100:S119">
    <cfRule type="cellIs" dxfId="2630" priority="514" operator="equal">
      <formula>"V"</formula>
    </cfRule>
    <cfRule type="cellIs" dxfId="2629" priority="515" operator="equal">
      <formula>"Szo"</formula>
    </cfRule>
    <cfRule type="cellIs" dxfId="2628" priority="516" operator="equal">
      <formula>"X"</formula>
    </cfRule>
    <cfRule type="cellIs" dxfId="2627" priority="517" operator="equal">
      <formula>"X"</formula>
    </cfRule>
  </conditionalFormatting>
  <conditionalFormatting sqref="R100">
    <cfRule type="cellIs" dxfId="2626" priority="512" operator="equal">
      <formula>"+"</formula>
    </cfRule>
    <cfRule type="cellIs" dxfId="2625" priority="513" operator="equal">
      <formula>"szf"</formula>
    </cfRule>
  </conditionalFormatting>
  <conditionalFormatting sqref="R100">
    <cfRule type="cellIs" dxfId="2624" priority="511" operator="equal">
      <formula>"+"</formula>
    </cfRule>
  </conditionalFormatting>
  <conditionalFormatting sqref="R100:R119">
    <cfRule type="cellIs" dxfId="2623" priority="509" operator="equal">
      <formula>"+"</formula>
    </cfRule>
    <cfRule type="cellIs" dxfId="2622" priority="510" operator="equal">
      <formula>"szf"</formula>
    </cfRule>
  </conditionalFormatting>
  <conditionalFormatting sqref="R100:R119">
    <cfRule type="cellIs" dxfId="2621" priority="505" operator="equal">
      <formula>"V"</formula>
    </cfRule>
    <cfRule type="cellIs" dxfId="2620" priority="506" operator="equal">
      <formula>"Szo"</formula>
    </cfRule>
    <cfRule type="cellIs" dxfId="2619" priority="507" operator="equal">
      <formula>"X"</formula>
    </cfRule>
    <cfRule type="cellIs" dxfId="2618" priority="508" operator="equal">
      <formula>"X"</formula>
    </cfRule>
  </conditionalFormatting>
  <conditionalFormatting sqref="Z100">
    <cfRule type="cellIs" dxfId="2617" priority="503" operator="equal">
      <formula>"+"</formula>
    </cfRule>
    <cfRule type="cellIs" dxfId="2616" priority="504" operator="equal">
      <formula>"szf"</formula>
    </cfRule>
  </conditionalFormatting>
  <conditionalFormatting sqref="Z100">
    <cfRule type="cellIs" dxfId="2615" priority="502" operator="equal">
      <formula>"+"</formula>
    </cfRule>
  </conditionalFormatting>
  <conditionalFormatting sqref="Z100:Z119">
    <cfRule type="cellIs" dxfId="2614" priority="500" operator="equal">
      <formula>"+"</formula>
    </cfRule>
    <cfRule type="cellIs" dxfId="2613" priority="501" operator="equal">
      <formula>"szf"</formula>
    </cfRule>
  </conditionalFormatting>
  <conditionalFormatting sqref="Z100:Z119">
    <cfRule type="cellIs" dxfId="2612" priority="496" operator="equal">
      <formula>"V"</formula>
    </cfRule>
    <cfRule type="cellIs" dxfId="2611" priority="497" operator="equal">
      <formula>"Szo"</formula>
    </cfRule>
    <cfRule type="cellIs" dxfId="2610" priority="498" operator="equal">
      <formula>"X"</formula>
    </cfRule>
    <cfRule type="cellIs" dxfId="2609" priority="499" operator="equal">
      <formula>"X"</formula>
    </cfRule>
  </conditionalFormatting>
  <conditionalFormatting sqref="AA100">
    <cfRule type="cellIs" dxfId="2608" priority="494" operator="equal">
      <formula>"+"</formula>
    </cfRule>
    <cfRule type="cellIs" dxfId="2607" priority="495" operator="equal">
      <formula>"szf"</formula>
    </cfRule>
  </conditionalFormatting>
  <conditionalFormatting sqref="AA100">
    <cfRule type="cellIs" dxfId="2606" priority="493" operator="equal">
      <formula>"+"</formula>
    </cfRule>
  </conditionalFormatting>
  <conditionalFormatting sqref="AA100:AA119">
    <cfRule type="cellIs" dxfId="2605" priority="491" operator="equal">
      <formula>"+"</formula>
    </cfRule>
    <cfRule type="cellIs" dxfId="2604" priority="492" operator="equal">
      <formula>"szf"</formula>
    </cfRule>
  </conditionalFormatting>
  <conditionalFormatting sqref="AA100:AA119">
    <cfRule type="cellIs" dxfId="2603" priority="487" operator="equal">
      <formula>"V"</formula>
    </cfRule>
    <cfRule type="cellIs" dxfId="2602" priority="488" operator="equal">
      <formula>"Szo"</formula>
    </cfRule>
    <cfRule type="cellIs" dxfId="2601" priority="489" operator="equal">
      <formula>"X"</formula>
    </cfRule>
    <cfRule type="cellIs" dxfId="2600" priority="490" operator="equal">
      <formula>"X"</formula>
    </cfRule>
  </conditionalFormatting>
  <conditionalFormatting sqref="C124">
    <cfRule type="cellIs" dxfId="2599" priority="485" operator="equal">
      <formula>"+"</formula>
    </cfRule>
    <cfRule type="cellIs" dxfId="2598" priority="486" operator="equal">
      <formula>"szf"</formula>
    </cfRule>
  </conditionalFormatting>
  <conditionalFormatting sqref="C124">
    <cfRule type="cellIs" dxfId="2597" priority="484" operator="equal">
      <formula>"+"</formula>
    </cfRule>
  </conditionalFormatting>
  <conditionalFormatting sqref="C124:C143">
    <cfRule type="cellIs" dxfId="2596" priority="482" operator="equal">
      <formula>"+"</formula>
    </cfRule>
    <cfRule type="cellIs" dxfId="2595" priority="483" operator="equal">
      <formula>"szf"</formula>
    </cfRule>
  </conditionalFormatting>
  <conditionalFormatting sqref="C124:C143">
    <cfRule type="cellIs" dxfId="2594" priority="478" operator="equal">
      <formula>"V"</formula>
    </cfRule>
    <cfRule type="cellIs" dxfId="2593" priority="479" operator="equal">
      <formula>"Szo"</formula>
    </cfRule>
    <cfRule type="cellIs" dxfId="2592" priority="480" operator="equal">
      <formula>"X"</formula>
    </cfRule>
    <cfRule type="cellIs" dxfId="2591" priority="481" operator="equal">
      <formula>"X"</formula>
    </cfRule>
  </conditionalFormatting>
  <conditionalFormatting sqref="D124">
    <cfRule type="cellIs" dxfId="2590" priority="476" operator="equal">
      <formula>"+"</formula>
    </cfRule>
    <cfRule type="cellIs" dxfId="2589" priority="477" operator="equal">
      <formula>"szf"</formula>
    </cfRule>
  </conditionalFormatting>
  <conditionalFormatting sqref="D124">
    <cfRule type="cellIs" dxfId="2588" priority="475" operator="equal">
      <formula>"+"</formula>
    </cfRule>
  </conditionalFormatting>
  <conditionalFormatting sqref="D124:D143">
    <cfRule type="cellIs" dxfId="2587" priority="473" operator="equal">
      <formula>"+"</formula>
    </cfRule>
    <cfRule type="cellIs" dxfId="2586" priority="474" operator="equal">
      <formula>"szf"</formula>
    </cfRule>
  </conditionalFormatting>
  <conditionalFormatting sqref="D124:D143">
    <cfRule type="cellIs" dxfId="2585" priority="469" operator="equal">
      <formula>"V"</formula>
    </cfRule>
    <cfRule type="cellIs" dxfId="2584" priority="470" operator="equal">
      <formula>"Szo"</formula>
    </cfRule>
    <cfRule type="cellIs" dxfId="2583" priority="471" operator="equal">
      <formula>"X"</formula>
    </cfRule>
    <cfRule type="cellIs" dxfId="2582" priority="472" operator="equal">
      <formula>"X"</formula>
    </cfRule>
  </conditionalFormatting>
  <conditionalFormatting sqref="K124">
    <cfRule type="cellIs" dxfId="2581" priority="467" operator="equal">
      <formula>"+"</formula>
    </cfRule>
    <cfRule type="cellIs" dxfId="2580" priority="468" operator="equal">
      <formula>"szf"</formula>
    </cfRule>
  </conditionalFormatting>
  <conditionalFormatting sqref="K124">
    <cfRule type="cellIs" dxfId="2579" priority="466" operator="equal">
      <formula>"+"</formula>
    </cfRule>
  </conditionalFormatting>
  <conditionalFormatting sqref="K124:K143">
    <cfRule type="cellIs" dxfId="2578" priority="464" operator="equal">
      <formula>"+"</formula>
    </cfRule>
    <cfRule type="cellIs" dxfId="2577" priority="465" operator="equal">
      <formula>"szf"</formula>
    </cfRule>
  </conditionalFormatting>
  <conditionalFormatting sqref="K124:K143">
    <cfRule type="cellIs" dxfId="2576" priority="460" operator="equal">
      <formula>"V"</formula>
    </cfRule>
    <cfRule type="cellIs" dxfId="2575" priority="461" operator="equal">
      <formula>"Szo"</formula>
    </cfRule>
    <cfRule type="cellIs" dxfId="2574" priority="462" operator="equal">
      <formula>"X"</formula>
    </cfRule>
    <cfRule type="cellIs" dxfId="2573" priority="463" operator="equal">
      <formula>"X"</formula>
    </cfRule>
  </conditionalFormatting>
  <conditionalFormatting sqref="L124">
    <cfRule type="cellIs" dxfId="2572" priority="458" operator="equal">
      <formula>"+"</formula>
    </cfRule>
    <cfRule type="cellIs" dxfId="2571" priority="459" operator="equal">
      <formula>"szf"</formula>
    </cfRule>
  </conditionalFormatting>
  <conditionalFormatting sqref="L124">
    <cfRule type="cellIs" dxfId="2570" priority="457" operator="equal">
      <formula>"+"</formula>
    </cfRule>
  </conditionalFormatting>
  <conditionalFormatting sqref="L124:L143">
    <cfRule type="cellIs" dxfId="2569" priority="455" operator="equal">
      <formula>"+"</formula>
    </cfRule>
    <cfRule type="cellIs" dxfId="2568" priority="456" operator="equal">
      <formula>"szf"</formula>
    </cfRule>
  </conditionalFormatting>
  <conditionalFormatting sqref="L124:L143">
    <cfRule type="cellIs" dxfId="2567" priority="451" operator="equal">
      <formula>"V"</formula>
    </cfRule>
    <cfRule type="cellIs" dxfId="2566" priority="452" operator="equal">
      <formula>"Szo"</formula>
    </cfRule>
    <cfRule type="cellIs" dxfId="2565" priority="453" operator="equal">
      <formula>"X"</formula>
    </cfRule>
    <cfRule type="cellIs" dxfId="2564" priority="454" operator="equal">
      <formula>"X"</formula>
    </cfRule>
  </conditionalFormatting>
  <conditionalFormatting sqref="S124">
    <cfRule type="cellIs" dxfId="2563" priority="449" operator="equal">
      <formula>"+"</formula>
    </cfRule>
    <cfRule type="cellIs" dxfId="2562" priority="450" operator="equal">
      <formula>"szf"</formula>
    </cfRule>
  </conditionalFormatting>
  <conditionalFormatting sqref="S124">
    <cfRule type="cellIs" dxfId="2561" priority="448" operator="equal">
      <formula>"+"</formula>
    </cfRule>
  </conditionalFormatting>
  <conditionalFormatting sqref="S124:S143">
    <cfRule type="cellIs" dxfId="2560" priority="446" operator="equal">
      <formula>"+"</formula>
    </cfRule>
    <cfRule type="cellIs" dxfId="2559" priority="447" operator="equal">
      <formula>"szf"</formula>
    </cfRule>
  </conditionalFormatting>
  <conditionalFormatting sqref="S124:S143">
    <cfRule type="cellIs" dxfId="2558" priority="442" operator="equal">
      <formula>"V"</formula>
    </cfRule>
    <cfRule type="cellIs" dxfId="2557" priority="443" operator="equal">
      <formula>"Szo"</formula>
    </cfRule>
    <cfRule type="cellIs" dxfId="2556" priority="444" operator="equal">
      <formula>"X"</formula>
    </cfRule>
    <cfRule type="cellIs" dxfId="2555" priority="445" operator="equal">
      <formula>"X"</formula>
    </cfRule>
  </conditionalFormatting>
  <conditionalFormatting sqref="T124">
    <cfRule type="cellIs" dxfId="2554" priority="440" operator="equal">
      <formula>"+"</formula>
    </cfRule>
    <cfRule type="cellIs" dxfId="2553" priority="441" operator="equal">
      <formula>"szf"</formula>
    </cfRule>
  </conditionalFormatting>
  <conditionalFormatting sqref="T124">
    <cfRule type="cellIs" dxfId="2552" priority="439" operator="equal">
      <formula>"+"</formula>
    </cfRule>
  </conditionalFormatting>
  <conditionalFormatting sqref="T124:T143">
    <cfRule type="cellIs" dxfId="2551" priority="437" operator="equal">
      <formula>"+"</formula>
    </cfRule>
    <cfRule type="cellIs" dxfId="2550" priority="438" operator="equal">
      <formula>"szf"</formula>
    </cfRule>
  </conditionalFormatting>
  <conditionalFormatting sqref="T124:T143">
    <cfRule type="cellIs" dxfId="2549" priority="433" operator="equal">
      <formula>"V"</formula>
    </cfRule>
    <cfRule type="cellIs" dxfId="2548" priority="434" operator="equal">
      <formula>"Szo"</formula>
    </cfRule>
    <cfRule type="cellIs" dxfId="2547" priority="435" operator="equal">
      <formula>"X"</formula>
    </cfRule>
    <cfRule type="cellIs" dxfId="2546" priority="436" operator="equal">
      <formula>"X"</formula>
    </cfRule>
  </conditionalFormatting>
  <conditionalFormatting sqref="AA124">
    <cfRule type="cellIs" dxfId="2545" priority="431" operator="equal">
      <formula>"+"</formula>
    </cfRule>
    <cfRule type="cellIs" dxfId="2544" priority="432" operator="equal">
      <formula>"szf"</formula>
    </cfRule>
  </conditionalFormatting>
  <conditionalFormatting sqref="AA124">
    <cfRule type="cellIs" dxfId="2543" priority="430" operator="equal">
      <formula>"+"</formula>
    </cfRule>
  </conditionalFormatting>
  <conditionalFormatting sqref="AA124:AA143">
    <cfRule type="cellIs" dxfId="2542" priority="428" operator="equal">
      <formula>"+"</formula>
    </cfRule>
    <cfRule type="cellIs" dxfId="2541" priority="429" operator="equal">
      <formula>"szf"</formula>
    </cfRule>
  </conditionalFormatting>
  <conditionalFormatting sqref="AA124:AA143">
    <cfRule type="cellIs" dxfId="2540" priority="424" operator="equal">
      <formula>"V"</formula>
    </cfRule>
    <cfRule type="cellIs" dxfId="2539" priority="425" operator="equal">
      <formula>"Szo"</formula>
    </cfRule>
    <cfRule type="cellIs" dxfId="2538" priority="426" operator="equal">
      <formula>"X"</formula>
    </cfRule>
    <cfRule type="cellIs" dxfId="2537" priority="427" operator="equal">
      <formula>"X"</formula>
    </cfRule>
  </conditionalFormatting>
  <conditionalFormatting sqref="AB124">
    <cfRule type="cellIs" dxfId="2536" priority="422" operator="equal">
      <formula>"+"</formula>
    </cfRule>
    <cfRule type="cellIs" dxfId="2535" priority="423" operator="equal">
      <formula>"szf"</formula>
    </cfRule>
  </conditionalFormatting>
  <conditionalFormatting sqref="AB124">
    <cfRule type="cellIs" dxfId="2534" priority="421" operator="equal">
      <formula>"+"</formula>
    </cfRule>
  </conditionalFormatting>
  <conditionalFormatting sqref="AB124:AB143">
    <cfRule type="cellIs" dxfId="2533" priority="419" operator="equal">
      <formula>"+"</formula>
    </cfRule>
    <cfRule type="cellIs" dxfId="2532" priority="420" operator="equal">
      <formula>"szf"</formula>
    </cfRule>
  </conditionalFormatting>
  <conditionalFormatting sqref="AB124:AB143">
    <cfRule type="cellIs" dxfId="2531" priority="415" operator="equal">
      <formula>"V"</formula>
    </cfRule>
    <cfRule type="cellIs" dxfId="2530" priority="416" operator="equal">
      <formula>"Szo"</formula>
    </cfRule>
    <cfRule type="cellIs" dxfId="2529" priority="417" operator="equal">
      <formula>"X"</formula>
    </cfRule>
    <cfRule type="cellIs" dxfId="2528" priority="418" operator="equal">
      <formula>"X"</formula>
    </cfRule>
  </conditionalFormatting>
  <conditionalFormatting sqref="E148">
    <cfRule type="cellIs" dxfId="2527" priority="413" operator="equal">
      <formula>"+"</formula>
    </cfRule>
    <cfRule type="cellIs" dxfId="2526" priority="414" operator="equal">
      <formula>"szf"</formula>
    </cfRule>
  </conditionalFormatting>
  <conditionalFormatting sqref="E148">
    <cfRule type="cellIs" dxfId="2525" priority="412" operator="equal">
      <formula>"+"</formula>
    </cfRule>
  </conditionalFormatting>
  <conditionalFormatting sqref="E148:E167">
    <cfRule type="cellIs" dxfId="2524" priority="410" operator="equal">
      <formula>"+"</formula>
    </cfRule>
    <cfRule type="cellIs" dxfId="2523" priority="411" operator="equal">
      <formula>"szf"</formula>
    </cfRule>
  </conditionalFormatting>
  <conditionalFormatting sqref="E148:E167">
    <cfRule type="cellIs" dxfId="2522" priority="406" operator="equal">
      <formula>"V"</formula>
    </cfRule>
    <cfRule type="cellIs" dxfId="2521" priority="407" operator="equal">
      <formula>"Szo"</formula>
    </cfRule>
    <cfRule type="cellIs" dxfId="2520" priority="408" operator="equal">
      <formula>"X"</formula>
    </cfRule>
    <cfRule type="cellIs" dxfId="2519" priority="409" operator="equal">
      <formula>"X"</formula>
    </cfRule>
  </conditionalFormatting>
  <conditionalFormatting sqref="F148">
    <cfRule type="cellIs" dxfId="2518" priority="404" operator="equal">
      <formula>"+"</formula>
    </cfRule>
    <cfRule type="cellIs" dxfId="2517" priority="405" operator="equal">
      <formula>"szf"</formula>
    </cfRule>
  </conditionalFormatting>
  <conditionalFormatting sqref="F148">
    <cfRule type="cellIs" dxfId="2516" priority="403" operator="equal">
      <formula>"+"</formula>
    </cfRule>
  </conditionalFormatting>
  <conditionalFormatting sqref="F148:F167">
    <cfRule type="cellIs" dxfId="2515" priority="401" operator="equal">
      <formula>"+"</formula>
    </cfRule>
    <cfRule type="cellIs" dxfId="2514" priority="402" operator="equal">
      <formula>"szf"</formula>
    </cfRule>
  </conditionalFormatting>
  <conditionalFormatting sqref="F148:F167">
    <cfRule type="cellIs" dxfId="2513" priority="397" operator="equal">
      <formula>"V"</formula>
    </cfRule>
    <cfRule type="cellIs" dxfId="2512" priority="398" operator="equal">
      <formula>"Szo"</formula>
    </cfRule>
    <cfRule type="cellIs" dxfId="2511" priority="399" operator="equal">
      <formula>"X"</formula>
    </cfRule>
    <cfRule type="cellIs" dxfId="2510" priority="400" operator="equal">
      <formula>"X"</formula>
    </cfRule>
  </conditionalFormatting>
  <conditionalFormatting sqref="M148">
    <cfRule type="cellIs" dxfId="2509" priority="395" operator="equal">
      <formula>"+"</formula>
    </cfRule>
    <cfRule type="cellIs" dxfId="2508" priority="396" operator="equal">
      <formula>"szf"</formula>
    </cfRule>
  </conditionalFormatting>
  <conditionalFormatting sqref="M148">
    <cfRule type="cellIs" dxfId="2507" priority="394" operator="equal">
      <formula>"+"</formula>
    </cfRule>
  </conditionalFormatting>
  <conditionalFormatting sqref="M148:M167">
    <cfRule type="cellIs" dxfId="2506" priority="392" operator="equal">
      <formula>"+"</formula>
    </cfRule>
    <cfRule type="cellIs" dxfId="2505" priority="393" operator="equal">
      <formula>"szf"</formula>
    </cfRule>
  </conditionalFormatting>
  <conditionalFormatting sqref="M148:M167">
    <cfRule type="cellIs" dxfId="2504" priority="388" operator="equal">
      <formula>"V"</formula>
    </cfRule>
    <cfRule type="cellIs" dxfId="2503" priority="389" operator="equal">
      <formula>"Szo"</formula>
    </cfRule>
    <cfRule type="cellIs" dxfId="2502" priority="390" operator="equal">
      <formula>"X"</formula>
    </cfRule>
    <cfRule type="cellIs" dxfId="2501" priority="391" operator="equal">
      <formula>"X"</formula>
    </cfRule>
  </conditionalFormatting>
  <conditionalFormatting sqref="N148">
    <cfRule type="cellIs" dxfId="2500" priority="386" operator="equal">
      <formula>"+"</formula>
    </cfRule>
    <cfRule type="cellIs" dxfId="2499" priority="387" operator="equal">
      <formula>"szf"</formula>
    </cfRule>
  </conditionalFormatting>
  <conditionalFormatting sqref="N148">
    <cfRule type="cellIs" dxfId="2498" priority="385" operator="equal">
      <formula>"+"</formula>
    </cfRule>
  </conditionalFormatting>
  <conditionalFormatting sqref="N148:N167">
    <cfRule type="cellIs" dxfId="2497" priority="383" operator="equal">
      <formula>"+"</formula>
    </cfRule>
    <cfRule type="cellIs" dxfId="2496" priority="384" operator="equal">
      <formula>"szf"</formula>
    </cfRule>
  </conditionalFormatting>
  <conditionalFormatting sqref="N148:N167">
    <cfRule type="cellIs" dxfId="2495" priority="379" operator="equal">
      <formula>"V"</formula>
    </cfRule>
    <cfRule type="cellIs" dxfId="2494" priority="380" operator="equal">
      <formula>"Szo"</formula>
    </cfRule>
    <cfRule type="cellIs" dxfId="2493" priority="381" operator="equal">
      <formula>"X"</formula>
    </cfRule>
    <cfRule type="cellIs" dxfId="2492" priority="382" operator="equal">
      <formula>"X"</formula>
    </cfRule>
  </conditionalFormatting>
  <conditionalFormatting sqref="U148">
    <cfRule type="cellIs" dxfId="2491" priority="377" operator="equal">
      <formula>"+"</formula>
    </cfRule>
    <cfRule type="cellIs" dxfId="2490" priority="378" operator="equal">
      <formula>"szf"</formula>
    </cfRule>
  </conditionalFormatting>
  <conditionalFormatting sqref="U148">
    <cfRule type="cellIs" dxfId="2489" priority="376" operator="equal">
      <formula>"+"</formula>
    </cfRule>
  </conditionalFormatting>
  <conditionalFormatting sqref="U148:U167">
    <cfRule type="cellIs" dxfId="2488" priority="374" operator="equal">
      <formula>"+"</formula>
    </cfRule>
    <cfRule type="cellIs" dxfId="2487" priority="375" operator="equal">
      <formula>"szf"</formula>
    </cfRule>
  </conditionalFormatting>
  <conditionalFormatting sqref="U148:U167">
    <cfRule type="cellIs" dxfId="2486" priority="370" operator="equal">
      <formula>"V"</formula>
    </cfRule>
    <cfRule type="cellIs" dxfId="2485" priority="371" operator="equal">
      <formula>"Szo"</formula>
    </cfRule>
    <cfRule type="cellIs" dxfId="2484" priority="372" operator="equal">
      <formula>"X"</formula>
    </cfRule>
    <cfRule type="cellIs" dxfId="2483" priority="373" operator="equal">
      <formula>"X"</formula>
    </cfRule>
  </conditionalFormatting>
  <conditionalFormatting sqref="V148">
    <cfRule type="cellIs" dxfId="2482" priority="368" operator="equal">
      <formula>"+"</formula>
    </cfRule>
    <cfRule type="cellIs" dxfId="2481" priority="369" operator="equal">
      <formula>"szf"</formula>
    </cfRule>
  </conditionalFormatting>
  <conditionalFormatting sqref="V148">
    <cfRule type="cellIs" dxfId="2480" priority="367" operator="equal">
      <formula>"+"</formula>
    </cfRule>
  </conditionalFormatting>
  <conditionalFormatting sqref="V148:V167">
    <cfRule type="cellIs" dxfId="2479" priority="365" operator="equal">
      <formula>"+"</formula>
    </cfRule>
    <cfRule type="cellIs" dxfId="2478" priority="366" operator="equal">
      <formula>"szf"</formula>
    </cfRule>
  </conditionalFormatting>
  <conditionalFormatting sqref="V148:V167">
    <cfRule type="cellIs" dxfId="2477" priority="361" operator="equal">
      <formula>"V"</formula>
    </cfRule>
    <cfRule type="cellIs" dxfId="2476" priority="362" operator="equal">
      <formula>"Szo"</formula>
    </cfRule>
    <cfRule type="cellIs" dxfId="2475" priority="363" operator="equal">
      <formula>"X"</formula>
    </cfRule>
    <cfRule type="cellIs" dxfId="2474" priority="364" operator="equal">
      <formula>"X"</formula>
    </cfRule>
  </conditionalFormatting>
  <conditionalFormatting sqref="AC148">
    <cfRule type="cellIs" dxfId="2473" priority="359" operator="equal">
      <formula>"+"</formula>
    </cfRule>
    <cfRule type="cellIs" dxfId="2472" priority="360" operator="equal">
      <formula>"szf"</formula>
    </cfRule>
  </conditionalFormatting>
  <conditionalFormatting sqref="AC148">
    <cfRule type="cellIs" dxfId="2471" priority="358" operator="equal">
      <formula>"+"</formula>
    </cfRule>
  </conditionalFormatting>
  <conditionalFormatting sqref="AC148:AC167">
    <cfRule type="cellIs" dxfId="2470" priority="356" operator="equal">
      <formula>"+"</formula>
    </cfRule>
    <cfRule type="cellIs" dxfId="2469" priority="357" operator="equal">
      <formula>"szf"</formula>
    </cfRule>
  </conditionalFormatting>
  <conditionalFormatting sqref="AC148:AC167">
    <cfRule type="cellIs" dxfId="2468" priority="352" operator="equal">
      <formula>"V"</formula>
    </cfRule>
    <cfRule type="cellIs" dxfId="2467" priority="353" operator="equal">
      <formula>"Szo"</formula>
    </cfRule>
    <cfRule type="cellIs" dxfId="2466" priority="354" operator="equal">
      <formula>"X"</formula>
    </cfRule>
    <cfRule type="cellIs" dxfId="2465" priority="355" operator="equal">
      <formula>"X"</formula>
    </cfRule>
  </conditionalFormatting>
  <conditionalFormatting sqref="AD148">
    <cfRule type="cellIs" dxfId="2464" priority="350" operator="equal">
      <formula>"+"</formula>
    </cfRule>
    <cfRule type="cellIs" dxfId="2463" priority="351" operator="equal">
      <formula>"szf"</formula>
    </cfRule>
  </conditionalFormatting>
  <conditionalFormatting sqref="AD148">
    <cfRule type="cellIs" dxfId="2462" priority="349" operator="equal">
      <formula>"+"</formula>
    </cfRule>
  </conditionalFormatting>
  <conditionalFormatting sqref="AD148:AD167">
    <cfRule type="cellIs" dxfId="2461" priority="347" operator="equal">
      <formula>"+"</formula>
    </cfRule>
    <cfRule type="cellIs" dxfId="2460" priority="348" operator="equal">
      <formula>"szf"</formula>
    </cfRule>
  </conditionalFormatting>
  <conditionalFormatting sqref="AD148:AD167">
    <cfRule type="cellIs" dxfId="2459" priority="343" operator="equal">
      <formula>"V"</formula>
    </cfRule>
    <cfRule type="cellIs" dxfId="2458" priority="344" operator="equal">
      <formula>"Szo"</formula>
    </cfRule>
    <cfRule type="cellIs" dxfId="2457" priority="345" operator="equal">
      <formula>"X"</formula>
    </cfRule>
    <cfRule type="cellIs" dxfId="2456" priority="346" operator="equal">
      <formula>"X"</formula>
    </cfRule>
  </conditionalFormatting>
  <conditionalFormatting sqref="F172">
    <cfRule type="cellIs" dxfId="2455" priority="341" operator="equal">
      <formula>"+"</formula>
    </cfRule>
    <cfRule type="cellIs" dxfId="2454" priority="342" operator="equal">
      <formula>"szf"</formula>
    </cfRule>
  </conditionalFormatting>
  <conditionalFormatting sqref="F172">
    <cfRule type="cellIs" dxfId="2453" priority="340" operator="equal">
      <formula>"+"</formula>
    </cfRule>
  </conditionalFormatting>
  <conditionalFormatting sqref="F172:F191">
    <cfRule type="cellIs" dxfId="2452" priority="338" operator="equal">
      <formula>"+"</formula>
    </cfRule>
    <cfRule type="cellIs" dxfId="2451" priority="339" operator="equal">
      <formula>"szf"</formula>
    </cfRule>
  </conditionalFormatting>
  <conditionalFormatting sqref="F172:F191">
    <cfRule type="cellIs" dxfId="2450" priority="334" operator="equal">
      <formula>"V"</formula>
    </cfRule>
    <cfRule type="cellIs" dxfId="2449" priority="335" operator="equal">
      <formula>"Szo"</formula>
    </cfRule>
    <cfRule type="cellIs" dxfId="2448" priority="336" operator="equal">
      <formula>"X"</formula>
    </cfRule>
    <cfRule type="cellIs" dxfId="2447" priority="337" operator="equal">
      <formula>"X"</formula>
    </cfRule>
  </conditionalFormatting>
  <conditionalFormatting sqref="G172">
    <cfRule type="cellIs" dxfId="2446" priority="332" operator="equal">
      <formula>"+"</formula>
    </cfRule>
    <cfRule type="cellIs" dxfId="2445" priority="333" operator="equal">
      <formula>"szf"</formula>
    </cfRule>
  </conditionalFormatting>
  <conditionalFormatting sqref="G172">
    <cfRule type="cellIs" dxfId="2444" priority="331" operator="equal">
      <formula>"+"</formula>
    </cfRule>
  </conditionalFormatting>
  <conditionalFormatting sqref="G172:G191">
    <cfRule type="cellIs" dxfId="2443" priority="329" operator="equal">
      <formula>"+"</formula>
    </cfRule>
    <cfRule type="cellIs" dxfId="2442" priority="330" operator="equal">
      <formula>"szf"</formula>
    </cfRule>
  </conditionalFormatting>
  <conditionalFormatting sqref="G172:G191">
    <cfRule type="cellIs" dxfId="2441" priority="325" operator="equal">
      <formula>"V"</formula>
    </cfRule>
    <cfRule type="cellIs" dxfId="2440" priority="326" operator="equal">
      <formula>"Szo"</formula>
    </cfRule>
    <cfRule type="cellIs" dxfId="2439" priority="327" operator="equal">
      <formula>"X"</formula>
    </cfRule>
    <cfRule type="cellIs" dxfId="2438" priority="328" operator="equal">
      <formula>"X"</formula>
    </cfRule>
  </conditionalFormatting>
  <conditionalFormatting sqref="N172">
    <cfRule type="cellIs" dxfId="2437" priority="323" operator="equal">
      <formula>"+"</formula>
    </cfRule>
    <cfRule type="cellIs" dxfId="2436" priority="324" operator="equal">
      <formula>"szf"</formula>
    </cfRule>
  </conditionalFormatting>
  <conditionalFormatting sqref="N172">
    <cfRule type="cellIs" dxfId="2435" priority="322" operator="equal">
      <formula>"+"</formula>
    </cfRule>
  </conditionalFormatting>
  <conditionalFormatting sqref="N172:N191">
    <cfRule type="cellIs" dxfId="2434" priority="320" operator="equal">
      <formula>"+"</formula>
    </cfRule>
    <cfRule type="cellIs" dxfId="2433" priority="321" operator="equal">
      <formula>"szf"</formula>
    </cfRule>
  </conditionalFormatting>
  <conditionalFormatting sqref="N172:N191">
    <cfRule type="cellIs" dxfId="2432" priority="316" operator="equal">
      <formula>"V"</formula>
    </cfRule>
    <cfRule type="cellIs" dxfId="2431" priority="317" operator="equal">
      <formula>"Szo"</formula>
    </cfRule>
    <cfRule type="cellIs" dxfId="2430" priority="318" operator="equal">
      <formula>"X"</formula>
    </cfRule>
    <cfRule type="cellIs" dxfId="2429" priority="319" operator="equal">
      <formula>"X"</formula>
    </cfRule>
  </conditionalFormatting>
  <conditionalFormatting sqref="O172">
    <cfRule type="cellIs" dxfId="2428" priority="314" operator="equal">
      <formula>"+"</formula>
    </cfRule>
    <cfRule type="cellIs" dxfId="2427" priority="315" operator="equal">
      <formula>"szf"</formula>
    </cfRule>
  </conditionalFormatting>
  <conditionalFormatting sqref="O172">
    <cfRule type="cellIs" dxfId="2426" priority="313" operator="equal">
      <formula>"+"</formula>
    </cfRule>
  </conditionalFormatting>
  <conditionalFormatting sqref="O172:O191">
    <cfRule type="cellIs" dxfId="2425" priority="311" operator="equal">
      <formula>"+"</formula>
    </cfRule>
    <cfRule type="cellIs" dxfId="2424" priority="312" operator="equal">
      <formula>"szf"</formula>
    </cfRule>
  </conditionalFormatting>
  <conditionalFormatting sqref="O172:O191">
    <cfRule type="cellIs" dxfId="2423" priority="307" operator="equal">
      <formula>"V"</formula>
    </cfRule>
    <cfRule type="cellIs" dxfId="2422" priority="308" operator="equal">
      <formula>"Szo"</formula>
    </cfRule>
    <cfRule type="cellIs" dxfId="2421" priority="309" operator="equal">
      <formula>"X"</formula>
    </cfRule>
    <cfRule type="cellIs" dxfId="2420" priority="310" operator="equal">
      <formula>"X"</formula>
    </cfRule>
  </conditionalFormatting>
  <conditionalFormatting sqref="W172">
    <cfRule type="cellIs" dxfId="2419" priority="305" operator="equal">
      <formula>"+"</formula>
    </cfRule>
    <cfRule type="cellIs" dxfId="2418" priority="306" operator="equal">
      <formula>"szf"</formula>
    </cfRule>
  </conditionalFormatting>
  <conditionalFormatting sqref="W172">
    <cfRule type="cellIs" dxfId="2417" priority="304" operator="equal">
      <formula>"+"</formula>
    </cfRule>
  </conditionalFormatting>
  <conditionalFormatting sqref="W172:W191">
    <cfRule type="cellIs" dxfId="2416" priority="302" operator="equal">
      <formula>"+"</formula>
    </cfRule>
    <cfRule type="cellIs" dxfId="2415" priority="303" operator="equal">
      <formula>"szf"</formula>
    </cfRule>
  </conditionalFormatting>
  <conditionalFormatting sqref="W172:W191">
    <cfRule type="cellIs" dxfId="2414" priority="298" operator="equal">
      <formula>"V"</formula>
    </cfRule>
    <cfRule type="cellIs" dxfId="2413" priority="299" operator="equal">
      <formula>"Szo"</formula>
    </cfRule>
    <cfRule type="cellIs" dxfId="2412" priority="300" operator="equal">
      <formula>"X"</formula>
    </cfRule>
    <cfRule type="cellIs" dxfId="2411" priority="301" operator="equal">
      <formula>"X"</formula>
    </cfRule>
  </conditionalFormatting>
  <conditionalFormatting sqref="V172">
    <cfRule type="cellIs" dxfId="2410" priority="296" operator="equal">
      <formula>"+"</formula>
    </cfRule>
    <cfRule type="cellIs" dxfId="2409" priority="297" operator="equal">
      <formula>"szf"</formula>
    </cfRule>
  </conditionalFormatting>
  <conditionalFormatting sqref="V172">
    <cfRule type="cellIs" dxfId="2408" priority="295" operator="equal">
      <formula>"+"</formula>
    </cfRule>
  </conditionalFormatting>
  <conditionalFormatting sqref="V172:V191">
    <cfRule type="cellIs" dxfId="2407" priority="293" operator="equal">
      <formula>"+"</formula>
    </cfRule>
    <cfRule type="cellIs" dxfId="2406" priority="294" operator="equal">
      <formula>"szf"</formula>
    </cfRule>
  </conditionalFormatting>
  <conditionalFormatting sqref="V172:V191">
    <cfRule type="cellIs" dxfId="2405" priority="289" operator="equal">
      <formula>"V"</formula>
    </cfRule>
    <cfRule type="cellIs" dxfId="2404" priority="290" operator="equal">
      <formula>"Szo"</formula>
    </cfRule>
    <cfRule type="cellIs" dxfId="2403" priority="291" operator="equal">
      <formula>"X"</formula>
    </cfRule>
    <cfRule type="cellIs" dxfId="2402" priority="292" operator="equal">
      <formula>"X"</formula>
    </cfRule>
  </conditionalFormatting>
  <conditionalFormatting sqref="AD172">
    <cfRule type="cellIs" dxfId="2401" priority="287" operator="equal">
      <formula>"+"</formula>
    </cfRule>
    <cfRule type="cellIs" dxfId="2400" priority="288" operator="equal">
      <formula>"szf"</formula>
    </cfRule>
  </conditionalFormatting>
  <conditionalFormatting sqref="AD172">
    <cfRule type="cellIs" dxfId="2399" priority="286" operator="equal">
      <formula>"+"</formula>
    </cfRule>
  </conditionalFormatting>
  <conditionalFormatting sqref="AD172:AD191">
    <cfRule type="cellIs" dxfId="2398" priority="284" operator="equal">
      <formula>"+"</formula>
    </cfRule>
    <cfRule type="cellIs" dxfId="2397" priority="285" operator="equal">
      <formula>"szf"</formula>
    </cfRule>
  </conditionalFormatting>
  <conditionalFormatting sqref="AD172:AD191">
    <cfRule type="cellIs" dxfId="2396" priority="280" operator="equal">
      <formula>"V"</formula>
    </cfRule>
    <cfRule type="cellIs" dxfId="2395" priority="281" operator="equal">
      <formula>"Szo"</formula>
    </cfRule>
    <cfRule type="cellIs" dxfId="2394" priority="282" operator="equal">
      <formula>"X"</formula>
    </cfRule>
    <cfRule type="cellIs" dxfId="2393" priority="283" operator="equal">
      <formula>"X"</formula>
    </cfRule>
  </conditionalFormatting>
  <conditionalFormatting sqref="AE172">
    <cfRule type="cellIs" dxfId="2392" priority="278" operator="equal">
      <formula>"+"</formula>
    </cfRule>
    <cfRule type="cellIs" dxfId="2391" priority="279" operator="equal">
      <formula>"szf"</formula>
    </cfRule>
  </conditionalFormatting>
  <conditionalFormatting sqref="AE172">
    <cfRule type="cellIs" dxfId="2390" priority="277" operator="equal">
      <formula>"+"</formula>
    </cfRule>
  </conditionalFormatting>
  <conditionalFormatting sqref="AE172:AE191">
    <cfRule type="cellIs" dxfId="2389" priority="275" operator="equal">
      <formula>"+"</formula>
    </cfRule>
    <cfRule type="cellIs" dxfId="2388" priority="276" operator="equal">
      <formula>"szf"</formula>
    </cfRule>
  </conditionalFormatting>
  <conditionalFormatting sqref="AE172:AE191">
    <cfRule type="cellIs" dxfId="2387" priority="271" operator="equal">
      <formula>"V"</formula>
    </cfRule>
    <cfRule type="cellIs" dxfId="2386" priority="272" operator="equal">
      <formula>"Szo"</formula>
    </cfRule>
    <cfRule type="cellIs" dxfId="2385" priority="273" operator="equal">
      <formula>"X"</formula>
    </cfRule>
    <cfRule type="cellIs" dxfId="2384" priority="274" operator="equal">
      <formula>"X"</formula>
    </cfRule>
  </conditionalFormatting>
  <conditionalFormatting sqref="G196">
    <cfRule type="cellIs" dxfId="2383" priority="269" operator="equal">
      <formula>"+"</formula>
    </cfRule>
    <cfRule type="cellIs" dxfId="2382" priority="270" operator="equal">
      <formula>"szf"</formula>
    </cfRule>
  </conditionalFormatting>
  <conditionalFormatting sqref="G196">
    <cfRule type="cellIs" dxfId="2381" priority="268" operator="equal">
      <formula>"+"</formula>
    </cfRule>
  </conditionalFormatting>
  <conditionalFormatting sqref="G196:G215">
    <cfRule type="cellIs" dxfId="2380" priority="266" operator="equal">
      <formula>"+"</formula>
    </cfRule>
    <cfRule type="cellIs" dxfId="2379" priority="267" operator="equal">
      <formula>"szf"</formula>
    </cfRule>
  </conditionalFormatting>
  <conditionalFormatting sqref="G196:G215">
    <cfRule type="cellIs" dxfId="2378" priority="262" operator="equal">
      <formula>"V"</formula>
    </cfRule>
    <cfRule type="cellIs" dxfId="2377" priority="263" operator="equal">
      <formula>"Szo"</formula>
    </cfRule>
    <cfRule type="cellIs" dxfId="2376" priority="264" operator="equal">
      <formula>"X"</formula>
    </cfRule>
    <cfRule type="cellIs" dxfId="2375" priority="265" operator="equal">
      <formula>"X"</formula>
    </cfRule>
  </conditionalFormatting>
  <conditionalFormatting sqref="H196">
    <cfRule type="cellIs" dxfId="2374" priority="260" operator="equal">
      <formula>"+"</formula>
    </cfRule>
    <cfRule type="cellIs" dxfId="2373" priority="261" operator="equal">
      <formula>"szf"</formula>
    </cfRule>
  </conditionalFormatting>
  <conditionalFormatting sqref="H196">
    <cfRule type="cellIs" dxfId="2372" priority="259" operator="equal">
      <formula>"+"</formula>
    </cfRule>
  </conditionalFormatting>
  <conditionalFormatting sqref="H196:H215">
    <cfRule type="cellIs" dxfId="2371" priority="257" operator="equal">
      <formula>"+"</formula>
    </cfRule>
    <cfRule type="cellIs" dxfId="2370" priority="258" operator="equal">
      <formula>"szf"</formula>
    </cfRule>
  </conditionalFormatting>
  <conditionalFormatting sqref="H196:H215">
    <cfRule type="cellIs" dxfId="2369" priority="253" operator="equal">
      <formula>"V"</formula>
    </cfRule>
    <cfRule type="cellIs" dxfId="2368" priority="254" operator="equal">
      <formula>"Szo"</formula>
    </cfRule>
    <cfRule type="cellIs" dxfId="2367" priority="255" operator="equal">
      <formula>"X"</formula>
    </cfRule>
    <cfRule type="cellIs" dxfId="2366" priority="256" operator="equal">
      <formula>"X"</formula>
    </cfRule>
  </conditionalFormatting>
  <conditionalFormatting sqref="O196">
    <cfRule type="cellIs" dxfId="2365" priority="251" operator="equal">
      <formula>"+"</formula>
    </cfRule>
    <cfRule type="cellIs" dxfId="2364" priority="252" operator="equal">
      <formula>"szf"</formula>
    </cfRule>
  </conditionalFormatting>
  <conditionalFormatting sqref="O196">
    <cfRule type="cellIs" dxfId="2363" priority="250" operator="equal">
      <formula>"+"</formula>
    </cfRule>
  </conditionalFormatting>
  <conditionalFormatting sqref="O196:O215">
    <cfRule type="cellIs" dxfId="2362" priority="248" operator="equal">
      <formula>"+"</formula>
    </cfRule>
    <cfRule type="cellIs" dxfId="2361" priority="249" operator="equal">
      <formula>"szf"</formula>
    </cfRule>
  </conditionalFormatting>
  <conditionalFormatting sqref="O196:O215">
    <cfRule type="cellIs" dxfId="2360" priority="244" operator="equal">
      <formula>"V"</formula>
    </cfRule>
    <cfRule type="cellIs" dxfId="2359" priority="245" operator="equal">
      <formula>"Szo"</formula>
    </cfRule>
    <cfRule type="cellIs" dxfId="2358" priority="246" operator="equal">
      <formula>"X"</formula>
    </cfRule>
    <cfRule type="cellIs" dxfId="2357" priority="247" operator="equal">
      <formula>"X"</formula>
    </cfRule>
  </conditionalFormatting>
  <conditionalFormatting sqref="P196">
    <cfRule type="cellIs" dxfId="2356" priority="242" operator="equal">
      <formula>"+"</formula>
    </cfRule>
    <cfRule type="cellIs" dxfId="2355" priority="243" operator="equal">
      <formula>"szf"</formula>
    </cfRule>
  </conditionalFormatting>
  <conditionalFormatting sqref="P196">
    <cfRule type="cellIs" dxfId="2354" priority="241" operator="equal">
      <formula>"+"</formula>
    </cfRule>
  </conditionalFormatting>
  <conditionalFormatting sqref="P196:P215">
    <cfRule type="cellIs" dxfId="2353" priority="239" operator="equal">
      <formula>"+"</formula>
    </cfRule>
    <cfRule type="cellIs" dxfId="2352" priority="240" operator="equal">
      <formula>"szf"</formula>
    </cfRule>
  </conditionalFormatting>
  <conditionalFormatting sqref="P196:P215">
    <cfRule type="cellIs" dxfId="2351" priority="235" operator="equal">
      <formula>"V"</formula>
    </cfRule>
    <cfRule type="cellIs" dxfId="2350" priority="236" operator="equal">
      <formula>"Szo"</formula>
    </cfRule>
    <cfRule type="cellIs" dxfId="2349" priority="237" operator="equal">
      <formula>"X"</formula>
    </cfRule>
    <cfRule type="cellIs" dxfId="2348" priority="238" operator="equal">
      <formula>"X"</formula>
    </cfRule>
  </conditionalFormatting>
  <conditionalFormatting sqref="W196">
    <cfRule type="cellIs" dxfId="2347" priority="233" operator="equal">
      <formula>"+"</formula>
    </cfRule>
    <cfRule type="cellIs" dxfId="2346" priority="234" operator="equal">
      <formula>"szf"</formula>
    </cfRule>
  </conditionalFormatting>
  <conditionalFormatting sqref="W196">
    <cfRule type="cellIs" dxfId="2345" priority="232" operator="equal">
      <formula>"+"</formula>
    </cfRule>
  </conditionalFormatting>
  <conditionalFormatting sqref="W196:W215">
    <cfRule type="cellIs" dxfId="2344" priority="230" operator="equal">
      <formula>"+"</formula>
    </cfRule>
    <cfRule type="cellIs" dxfId="2343" priority="231" operator="equal">
      <formula>"szf"</formula>
    </cfRule>
  </conditionalFormatting>
  <conditionalFormatting sqref="W196:W215">
    <cfRule type="cellIs" dxfId="2342" priority="226" operator="equal">
      <formula>"V"</formula>
    </cfRule>
    <cfRule type="cellIs" dxfId="2341" priority="227" operator="equal">
      <formula>"Szo"</formula>
    </cfRule>
    <cfRule type="cellIs" dxfId="2340" priority="228" operator="equal">
      <formula>"X"</formula>
    </cfRule>
    <cfRule type="cellIs" dxfId="2339" priority="229" operator="equal">
      <formula>"X"</formula>
    </cfRule>
  </conditionalFormatting>
  <conditionalFormatting sqref="X196">
    <cfRule type="cellIs" dxfId="2338" priority="224" operator="equal">
      <formula>"+"</formula>
    </cfRule>
    <cfRule type="cellIs" dxfId="2337" priority="225" operator="equal">
      <formula>"szf"</formula>
    </cfRule>
  </conditionalFormatting>
  <conditionalFormatting sqref="X196">
    <cfRule type="cellIs" dxfId="2336" priority="223" operator="equal">
      <formula>"+"</formula>
    </cfRule>
  </conditionalFormatting>
  <conditionalFormatting sqref="X196:X215">
    <cfRule type="cellIs" dxfId="2335" priority="221" operator="equal">
      <formula>"+"</formula>
    </cfRule>
    <cfRule type="cellIs" dxfId="2334" priority="222" operator="equal">
      <formula>"szf"</formula>
    </cfRule>
  </conditionalFormatting>
  <conditionalFormatting sqref="X196:X215">
    <cfRule type="cellIs" dxfId="2333" priority="217" operator="equal">
      <formula>"V"</formula>
    </cfRule>
    <cfRule type="cellIs" dxfId="2332" priority="218" operator="equal">
      <formula>"Szo"</formula>
    </cfRule>
    <cfRule type="cellIs" dxfId="2331" priority="219" operator="equal">
      <formula>"X"</formula>
    </cfRule>
    <cfRule type="cellIs" dxfId="2330" priority="220" operator="equal">
      <formula>"X"</formula>
    </cfRule>
  </conditionalFormatting>
  <conditionalFormatting sqref="AE196">
    <cfRule type="cellIs" dxfId="2329" priority="215" operator="equal">
      <formula>"+"</formula>
    </cfRule>
    <cfRule type="cellIs" dxfId="2328" priority="216" operator="equal">
      <formula>"szf"</formula>
    </cfRule>
  </conditionalFormatting>
  <conditionalFormatting sqref="AE196">
    <cfRule type="cellIs" dxfId="2327" priority="214" operator="equal">
      <formula>"+"</formula>
    </cfRule>
  </conditionalFormatting>
  <conditionalFormatting sqref="AE196:AE215">
    <cfRule type="cellIs" dxfId="2326" priority="212" operator="equal">
      <formula>"+"</formula>
    </cfRule>
    <cfRule type="cellIs" dxfId="2325" priority="213" operator="equal">
      <formula>"szf"</formula>
    </cfRule>
  </conditionalFormatting>
  <conditionalFormatting sqref="AE196:AE215">
    <cfRule type="cellIs" dxfId="2324" priority="208" operator="equal">
      <formula>"V"</formula>
    </cfRule>
    <cfRule type="cellIs" dxfId="2323" priority="209" operator="equal">
      <formula>"Szo"</formula>
    </cfRule>
    <cfRule type="cellIs" dxfId="2322" priority="210" operator="equal">
      <formula>"X"</formula>
    </cfRule>
    <cfRule type="cellIs" dxfId="2321" priority="211" operator="equal">
      <formula>"X"</formula>
    </cfRule>
  </conditionalFormatting>
  <conditionalFormatting sqref="B220">
    <cfRule type="cellIs" dxfId="2320" priority="206" operator="equal">
      <formula>"+"</formula>
    </cfRule>
    <cfRule type="cellIs" dxfId="2319" priority="207" operator="equal">
      <formula>"szf"</formula>
    </cfRule>
  </conditionalFormatting>
  <conditionalFormatting sqref="B220">
    <cfRule type="cellIs" dxfId="2318" priority="205" operator="equal">
      <formula>"+"</formula>
    </cfRule>
  </conditionalFormatting>
  <conditionalFormatting sqref="B220:B239">
    <cfRule type="cellIs" dxfId="2317" priority="203" operator="equal">
      <formula>"+"</formula>
    </cfRule>
    <cfRule type="cellIs" dxfId="2316" priority="204" operator="equal">
      <formula>"szf"</formula>
    </cfRule>
  </conditionalFormatting>
  <conditionalFormatting sqref="B220:B239">
    <cfRule type="cellIs" dxfId="2315" priority="199" operator="equal">
      <formula>"V"</formula>
    </cfRule>
    <cfRule type="cellIs" dxfId="2314" priority="200" operator="equal">
      <formula>"Szo"</formula>
    </cfRule>
    <cfRule type="cellIs" dxfId="2313" priority="201" operator="equal">
      <formula>"X"</formula>
    </cfRule>
    <cfRule type="cellIs" dxfId="2312" priority="202" operator="equal">
      <formula>"X"</formula>
    </cfRule>
  </conditionalFormatting>
  <conditionalFormatting sqref="I220">
    <cfRule type="cellIs" dxfId="2311" priority="197" operator="equal">
      <formula>"+"</formula>
    </cfRule>
    <cfRule type="cellIs" dxfId="2310" priority="198" operator="equal">
      <formula>"szf"</formula>
    </cfRule>
  </conditionalFormatting>
  <conditionalFormatting sqref="I220">
    <cfRule type="cellIs" dxfId="2309" priority="196" operator="equal">
      <formula>"+"</formula>
    </cfRule>
  </conditionalFormatting>
  <conditionalFormatting sqref="I220:I239">
    <cfRule type="cellIs" dxfId="2308" priority="194" operator="equal">
      <formula>"+"</formula>
    </cfRule>
    <cfRule type="cellIs" dxfId="2307" priority="195" operator="equal">
      <formula>"szf"</formula>
    </cfRule>
  </conditionalFormatting>
  <conditionalFormatting sqref="I220:I239">
    <cfRule type="cellIs" dxfId="2306" priority="190" operator="equal">
      <formula>"V"</formula>
    </cfRule>
    <cfRule type="cellIs" dxfId="2305" priority="191" operator="equal">
      <formula>"Szo"</formula>
    </cfRule>
    <cfRule type="cellIs" dxfId="2304" priority="192" operator="equal">
      <formula>"X"</formula>
    </cfRule>
    <cfRule type="cellIs" dxfId="2303" priority="193" operator="equal">
      <formula>"X"</formula>
    </cfRule>
  </conditionalFormatting>
  <conditionalFormatting sqref="J220">
    <cfRule type="cellIs" dxfId="2302" priority="188" operator="equal">
      <formula>"+"</formula>
    </cfRule>
    <cfRule type="cellIs" dxfId="2301" priority="189" operator="equal">
      <formula>"szf"</formula>
    </cfRule>
  </conditionalFormatting>
  <conditionalFormatting sqref="J220">
    <cfRule type="cellIs" dxfId="2300" priority="187" operator="equal">
      <formula>"+"</formula>
    </cfRule>
  </conditionalFormatting>
  <conditionalFormatting sqref="J220:J239">
    <cfRule type="cellIs" dxfId="2299" priority="185" operator="equal">
      <formula>"+"</formula>
    </cfRule>
    <cfRule type="cellIs" dxfId="2298" priority="186" operator="equal">
      <formula>"szf"</formula>
    </cfRule>
  </conditionalFormatting>
  <conditionalFormatting sqref="J220:J239">
    <cfRule type="cellIs" dxfId="2297" priority="181" operator="equal">
      <formula>"V"</formula>
    </cfRule>
    <cfRule type="cellIs" dxfId="2296" priority="182" operator="equal">
      <formula>"Szo"</formula>
    </cfRule>
    <cfRule type="cellIs" dxfId="2295" priority="183" operator="equal">
      <formula>"X"</formula>
    </cfRule>
    <cfRule type="cellIs" dxfId="2294" priority="184" operator="equal">
      <formula>"X"</formula>
    </cfRule>
  </conditionalFormatting>
  <conditionalFormatting sqref="Q220">
    <cfRule type="cellIs" dxfId="2293" priority="179" operator="equal">
      <formula>"+"</formula>
    </cfRule>
    <cfRule type="cellIs" dxfId="2292" priority="180" operator="equal">
      <formula>"szf"</formula>
    </cfRule>
  </conditionalFormatting>
  <conditionalFormatting sqref="Q220">
    <cfRule type="cellIs" dxfId="2291" priority="178" operator="equal">
      <formula>"+"</formula>
    </cfRule>
  </conditionalFormatting>
  <conditionalFormatting sqref="Q220:Q239">
    <cfRule type="cellIs" dxfId="2290" priority="176" operator="equal">
      <formula>"+"</formula>
    </cfRule>
    <cfRule type="cellIs" dxfId="2289" priority="177" operator="equal">
      <formula>"szf"</formula>
    </cfRule>
  </conditionalFormatting>
  <conditionalFormatting sqref="Q220:Q239">
    <cfRule type="cellIs" dxfId="2288" priority="172" operator="equal">
      <formula>"V"</formula>
    </cfRule>
    <cfRule type="cellIs" dxfId="2287" priority="173" operator="equal">
      <formula>"Szo"</formula>
    </cfRule>
    <cfRule type="cellIs" dxfId="2286" priority="174" operator="equal">
      <formula>"X"</formula>
    </cfRule>
    <cfRule type="cellIs" dxfId="2285" priority="175" operator="equal">
      <formula>"X"</formula>
    </cfRule>
  </conditionalFormatting>
  <conditionalFormatting sqref="R220">
    <cfRule type="cellIs" dxfId="2284" priority="170" operator="equal">
      <formula>"+"</formula>
    </cfRule>
    <cfRule type="cellIs" dxfId="2283" priority="171" operator="equal">
      <formula>"szf"</formula>
    </cfRule>
  </conditionalFormatting>
  <conditionalFormatting sqref="R220">
    <cfRule type="cellIs" dxfId="2282" priority="169" operator="equal">
      <formula>"+"</formula>
    </cfRule>
  </conditionalFormatting>
  <conditionalFormatting sqref="R220:R239">
    <cfRule type="cellIs" dxfId="2281" priority="167" operator="equal">
      <formula>"+"</formula>
    </cfRule>
    <cfRule type="cellIs" dxfId="2280" priority="168" operator="equal">
      <formula>"szf"</formula>
    </cfRule>
  </conditionalFormatting>
  <conditionalFormatting sqref="R220:R239">
    <cfRule type="cellIs" dxfId="2279" priority="163" operator="equal">
      <formula>"V"</formula>
    </cfRule>
    <cfRule type="cellIs" dxfId="2278" priority="164" operator="equal">
      <formula>"Szo"</formula>
    </cfRule>
    <cfRule type="cellIs" dxfId="2277" priority="165" operator="equal">
      <formula>"X"</formula>
    </cfRule>
    <cfRule type="cellIs" dxfId="2276" priority="166" operator="equal">
      <formula>"X"</formula>
    </cfRule>
  </conditionalFormatting>
  <conditionalFormatting sqref="Y220">
    <cfRule type="cellIs" dxfId="2275" priority="161" operator="equal">
      <formula>"+"</formula>
    </cfRule>
    <cfRule type="cellIs" dxfId="2274" priority="162" operator="equal">
      <formula>"szf"</formula>
    </cfRule>
  </conditionalFormatting>
  <conditionalFormatting sqref="Y220">
    <cfRule type="cellIs" dxfId="2273" priority="160" operator="equal">
      <formula>"+"</formula>
    </cfRule>
  </conditionalFormatting>
  <conditionalFormatting sqref="Y220:Y239">
    <cfRule type="cellIs" dxfId="2272" priority="158" operator="equal">
      <formula>"+"</formula>
    </cfRule>
    <cfRule type="cellIs" dxfId="2271" priority="159" operator="equal">
      <formula>"szf"</formula>
    </cfRule>
  </conditionalFormatting>
  <conditionalFormatting sqref="Y220:Y239">
    <cfRule type="cellIs" dxfId="2270" priority="154" operator="equal">
      <formula>"V"</formula>
    </cfRule>
    <cfRule type="cellIs" dxfId="2269" priority="155" operator="equal">
      <formula>"Szo"</formula>
    </cfRule>
    <cfRule type="cellIs" dxfId="2268" priority="156" operator="equal">
      <formula>"X"</formula>
    </cfRule>
    <cfRule type="cellIs" dxfId="2267" priority="157" operator="equal">
      <formula>"X"</formula>
    </cfRule>
  </conditionalFormatting>
  <conditionalFormatting sqref="Z220">
    <cfRule type="cellIs" dxfId="2266" priority="152" operator="equal">
      <formula>"+"</formula>
    </cfRule>
    <cfRule type="cellIs" dxfId="2265" priority="153" operator="equal">
      <formula>"szf"</formula>
    </cfRule>
  </conditionalFormatting>
  <conditionalFormatting sqref="Z220">
    <cfRule type="cellIs" dxfId="2264" priority="151" operator="equal">
      <formula>"+"</formula>
    </cfRule>
  </conditionalFormatting>
  <conditionalFormatting sqref="Z220:Z239">
    <cfRule type="cellIs" dxfId="2263" priority="149" operator="equal">
      <formula>"+"</formula>
    </cfRule>
    <cfRule type="cellIs" dxfId="2262" priority="150" operator="equal">
      <formula>"szf"</formula>
    </cfRule>
  </conditionalFormatting>
  <conditionalFormatting sqref="Z220:Z239">
    <cfRule type="cellIs" dxfId="2261" priority="145" operator="equal">
      <formula>"V"</formula>
    </cfRule>
    <cfRule type="cellIs" dxfId="2260" priority="146" operator="equal">
      <formula>"Szo"</formula>
    </cfRule>
    <cfRule type="cellIs" dxfId="2259" priority="147" operator="equal">
      <formula>"X"</formula>
    </cfRule>
    <cfRule type="cellIs" dxfId="2258" priority="148" operator="equal">
      <formula>"X"</formula>
    </cfRule>
  </conditionalFormatting>
  <conditionalFormatting sqref="B244">
    <cfRule type="cellIs" dxfId="2257" priority="143" operator="equal">
      <formula>"+"</formula>
    </cfRule>
    <cfRule type="cellIs" dxfId="2256" priority="144" operator="equal">
      <formula>"szf"</formula>
    </cfRule>
  </conditionalFormatting>
  <conditionalFormatting sqref="B244">
    <cfRule type="cellIs" dxfId="2255" priority="142" operator="equal">
      <formula>"+"</formula>
    </cfRule>
  </conditionalFormatting>
  <conditionalFormatting sqref="B244:B263">
    <cfRule type="cellIs" dxfId="2254" priority="140" operator="equal">
      <formula>"+"</formula>
    </cfRule>
    <cfRule type="cellIs" dxfId="2253" priority="141" operator="equal">
      <formula>"szf"</formula>
    </cfRule>
  </conditionalFormatting>
  <conditionalFormatting sqref="B244:B263">
    <cfRule type="cellIs" dxfId="2252" priority="136" operator="equal">
      <formula>"V"</formula>
    </cfRule>
    <cfRule type="cellIs" dxfId="2251" priority="137" operator="equal">
      <formula>"Szo"</formula>
    </cfRule>
    <cfRule type="cellIs" dxfId="2250" priority="138" operator="equal">
      <formula>"X"</formula>
    </cfRule>
    <cfRule type="cellIs" dxfId="2249" priority="139" operator="equal">
      <formula>"X"</formula>
    </cfRule>
  </conditionalFormatting>
  <conditionalFormatting sqref="C244">
    <cfRule type="cellIs" dxfId="2248" priority="134" operator="equal">
      <formula>"+"</formula>
    </cfRule>
    <cfRule type="cellIs" dxfId="2247" priority="135" operator="equal">
      <formula>"szf"</formula>
    </cfRule>
  </conditionalFormatting>
  <conditionalFormatting sqref="C244">
    <cfRule type="cellIs" dxfId="2246" priority="133" operator="equal">
      <formula>"+"</formula>
    </cfRule>
  </conditionalFormatting>
  <conditionalFormatting sqref="C244:C263">
    <cfRule type="cellIs" dxfId="2245" priority="131" operator="equal">
      <formula>"+"</formula>
    </cfRule>
    <cfRule type="cellIs" dxfId="2244" priority="132" operator="equal">
      <formula>"szf"</formula>
    </cfRule>
  </conditionalFormatting>
  <conditionalFormatting sqref="C244:C263">
    <cfRule type="cellIs" dxfId="2243" priority="127" operator="equal">
      <formula>"V"</formula>
    </cfRule>
    <cfRule type="cellIs" dxfId="2242" priority="128" operator="equal">
      <formula>"Szo"</formula>
    </cfRule>
    <cfRule type="cellIs" dxfId="2241" priority="129" operator="equal">
      <formula>"X"</formula>
    </cfRule>
    <cfRule type="cellIs" dxfId="2240" priority="130" operator="equal">
      <formula>"X"</formula>
    </cfRule>
  </conditionalFormatting>
  <conditionalFormatting sqref="J244">
    <cfRule type="cellIs" dxfId="2239" priority="125" operator="equal">
      <formula>"+"</formula>
    </cfRule>
    <cfRule type="cellIs" dxfId="2238" priority="126" operator="equal">
      <formula>"szf"</formula>
    </cfRule>
  </conditionalFormatting>
  <conditionalFormatting sqref="J244">
    <cfRule type="cellIs" dxfId="2237" priority="124" operator="equal">
      <formula>"+"</formula>
    </cfRule>
  </conditionalFormatting>
  <conditionalFormatting sqref="J244:J263">
    <cfRule type="cellIs" dxfId="2236" priority="122" operator="equal">
      <formula>"+"</formula>
    </cfRule>
    <cfRule type="cellIs" dxfId="2235" priority="123" operator="equal">
      <formula>"szf"</formula>
    </cfRule>
  </conditionalFormatting>
  <conditionalFormatting sqref="J244:J263">
    <cfRule type="cellIs" dxfId="2234" priority="118" operator="equal">
      <formula>"V"</formula>
    </cfRule>
    <cfRule type="cellIs" dxfId="2233" priority="119" operator="equal">
      <formula>"Szo"</formula>
    </cfRule>
    <cfRule type="cellIs" dxfId="2232" priority="120" operator="equal">
      <formula>"X"</formula>
    </cfRule>
    <cfRule type="cellIs" dxfId="2231" priority="121" operator="equal">
      <formula>"X"</formula>
    </cfRule>
  </conditionalFormatting>
  <conditionalFormatting sqref="K244">
    <cfRule type="cellIs" dxfId="2230" priority="116" operator="equal">
      <formula>"+"</formula>
    </cfRule>
    <cfRule type="cellIs" dxfId="2229" priority="117" operator="equal">
      <formula>"szf"</formula>
    </cfRule>
  </conditionalFormatting>
  <conditionalFormatting sqref="K244">
    <cfRule type="cellIs" dxfId="2228" priority="115" operator="equal">
      <formula>"+"</formula>
    </cfRule>
  </conditionalFormatting>
  <conditionalFormatting sqref="K244:K263">
    <cfRule type="cellIs" dxfId="2227" priority="113" operator="equal">
      <formula>"+"</formula>
    </cfRule>
    <cfRule type="cellIs" dxfId="2226" priority="114" operator="equal">
      <formula>"szf"</formula>
    </cfRule>
  </conditionalFormatting>
  <conditionalFormatting sqref="K244:K263">
    <cfRule type="cellIs" dxfId="2225" priority="109" operator="equal">
      <formula>"V"</formula>
    </cfRule>
    <cfRule type="cellIs" dxfId="2224" priority="110" operator="equal">
      <formula>"Szo"</formula>
    </cfRule>
    <cfRule type="cellIs" dxfId="2223" priority="111" operator="equal">
      <formula>"X"</formula>
    </cfRule>
    <cfRule type="cellIs" dxfId="2222" priority="112" operator="equal">
      <formula>"X"</formula>
    </cfRule>
  </conditionalFormatting>
  <conditionalFormatting sqref="R244">
    <cfRule type="cellIs" dxfId="2221" priority="107" operator="equal">
      <formula>"+"</formula>
    </cfRule>
    <cfRule type="cellIs" dxfId="2220" priority="108" operator="equal">
      <formula>"szf"</formula>
    </cfRule>
  </conditionalFormatting>
  <conditionalFormatting sqref="R244">
    <cfRule type="cellIs" dxfId="2219" priority="106" operator="equal">
      <formula>"+"</formula>
    </cfRule>
  </conditionalFormatting>
  <conditionalFormatting sqref="R244:R263">
    <cfRule type="cellIs" dxfId="2218" priority="104" operator="equal">
      <formula>"+"</formula>
    </cfRule>
    <cfRule type="cellIs" dxfId="2217" priority="105" operator="equal">
      <formula>"szf"</formula>
    </cfRule>
  </conditionalFormatting>
  <conditionalFormatting sqref="R244:R263">
    <cfRule type="cellIs" dxfId="2216" priority="100" operator="equal">
      <formula>"V"</formula>
    </cfRule>
    <cfRule type="cellIs" dxfId="2215" priority="101" operator="equal">
      <formula>"Szo"</formula>
    </cfRule>
    <cfRule type="cellIs" dxfId="2214" priority="102" operator="equal">
      <formula>"X"</formula>
    </cfRule>
    <cfRule type="cellIs" dxfId="2213" priority="103" operator="equal">
      <formula>"X"</formula>
    </cfRule>
  </conditionalFormatting>
  <conditionalFormatting sqref="S244">
    <cfRule type="cellIs" dxfId="2212" priority="98" operator="equal">
      <formula>"+"</formula>
    </cfRule>
    <cfRule type="cellIs" dxfId="2211" priority="99" operator="equal">
      <formula>"szf"</formula>
    </cfRule>
  </conditionalFormatting>
  <conditionalFormatting sqref="S244">
    <cfRule type="cellIs" dxfId="2210" priority="97" operator="equal">
      <formula>"+"</formula>
    </cfRule>
  </conditionalFormatting>
  <conditionalFormatting sqref="S244:S263">
    <cfRule type="cellIs" dxfId="2209" priority="95" operator="equal">
      <formula>"+"</formula>
    </cfRule>
    <cfRule type="cellIs" dxfId="2208" priority="96" operator="equal">
      <formula>"szf"</formula>
    </cfRule>
  </conditionalFormatting>
  <conditionalFormatting sqref="S244:S263">
    <cfRule type="cellIs" dxfId="2207" priority="91" operator="equal">
      <formula>"V"</formula>
    </cfRule>
    <cfRule type="cellIs" dxfId="2206" priority="92" operator="equal">
      <formula>"Szo"</formula>
    </cfRule>
    <cfRule type="cellIs" dxfId="2205" priority="93" operator="equal">
      <formula>"X"</formula>
    </cfRule>
    <cfRule type="cellIs" dxfId="2204" priority="94" operator="equal">
      <formula>"X"</formula>
    </cfRule>
  </conditionalFormatting>
  <conditionalFormatting sqref="Z244">
    <cfRule type="cellIs" dxfId="2203" priority="89" operator="equal">
      <formula>"+"</formula>
    </cfRule>
    <cfRule type="cellIs" dxfId="2202" priority="90" operator="equal">
      <formula>"szf"</formula>
    </cfRule>
  </conditionalFormatting>
  <conditionalFormatting sqref="Z244">
    <cfRule type="cellIs" dxfId="2201" priority="88" operator="equal">
      <formula>"+"</formula>
    </cfRule>
  </conditionalFormatting>
  <conditionalFormatting sqref="Z244:Z263">
    <cfRule type="cellIs" dxfId="2200" priority="86" operator="equal">
      <formula>"+"</formula>
    </cfRule>
    <cfRule type="cellIs" dxfId="2199" priority="87" operator="equal">
      <formula>"szf"</formula>
    </cfRule>
  </conditionalFormatting>
  <conditionalFormatting sqref="Z244:Z263">
    <cfRule type="cellIs" dxfId="2198" priority="82" operator="equal">
      <formula>"V"</formula>
    </cfRule>
    <cfRule type="cellIs" dxfId="2197" priority="83" operator="equal">
      <formula>"Szo"</formula>
    </cfRule>
    <cfRule type="cellIs" dxfId="2196" priority="84" operator="equal">
      <formula>"X"</formula>
    </cfRule>
    <cfRule type="cellIs" dxfId="2195" priority="85" operator="equal">
      <formula>"X"</formula>
    </cfRule>
  </conditionalFormatting>
  <conditionalFormatting sqref="AA244">
    <cfRule type="cellIs" dxfId="2194" priority="80" operator="equal">
      <formula>"+"</formula>
    </cfRule>
    <cfRule type="cellIs" dxfId="2193" priority="81" operator="equal">
      <formula>"szf"</formula>
    </cfRule>
  </conditionalFormatting>
  <conditionalFormatting sqref="AA244">
    <cfRule type="cellIs" dxfId="2192" priority="79" operator="equal">
      <formula>"+"</formula>
    </cfRule>
  </conditionalFormatting>
  <conditionalFormatting sqref="AA244:AA263">
    <cfRule type="cellIs" dxfId="2191" priority="77" operator="equal">
      <formula>"+"</formula>
    </cfRule>
    <cfRule type="cellIs" dxfId="2190" priority="78" operator="equal">
      <formula>"szf"</formula>
    </cfRule>
  </conditionalFormatting>
  <conditionalFormatting sqref="AA244:AA263">
    <cfRule type="cellIs" dxfId="2189" priority="73" operator="equal">
      <formula>"V"</formula>
    </cfRule>
    <cfRule type="cellIs" dxfId="2188" priority="74" operator="equal">
      <formula>"Szo"</formula>
    </cfRule>
    <cfRule type="cellIs" dxfId="2187" priority="75" operator="equal">
      <formula>"X"</formula>
    </cfRule>
    <cfRule type="cellIs" dxfId="2186" priority="76" operator="equal">
      <formula>"X"</formula>
    </cfRule>
  </conditionalFormatting>
  <conditionalFormatting sqref="D268">
    <cfRule type="cellIs" dxfId="2185" priority="71" operator="equal">
      <formula>"+"</formula>
    </cfRule>
    <cfRule type="cellIs" dxfId="2184" priority="72" operator="equal">
      <formula>"szf"</formula>
    </cfRule>
  </conditionalFormatting>
  <conditionalFormatting sqref="D268">
    <cfRule type="cellIs" dxfId="2183" priority="70" operator="equal">
      <formula>"+"</formula>
    </cfRule>
  </conditionalFormatting>
  <conditionalFormatting sqref="D268:D287">
    <cfRule type="cellIs" dxfId="2182" priority="68" operator="equal">
      <formula>"+"</formula>
    </cfRule>
    <cfRule type="cellIs" dxfId="2181" priority="69" operator="equal">
      <formula>"szf"</formula>
    </cfRule>
  </conditionalFormatting>
  <conditionalFormatting sqref="D268:D287">
    <cfRule type="cellIs" dxfId="2180" priority="64" operator="equal">
      <formula>"V"</formula>
    </cfRule>
    <cfRule type="cellIs" dxfId="2179" priority="65" operator="equal">
      <formula>"Szo"</formula>
    </cfRule>
    <cfRule type="cellIs" dxfId="2178" priority="66" operator="equal">
      <formula>"X"</formula>
    </cfRule>
    <cfRule type="cellIs" dxfId="2177" priority="67" operator="equal">
      <formula>"X"</formula>
    </cfRule>
  </conditionalFormatting>
  <conditionalFormatting sqref="E268">
    <cfRule type="cellIs" dxfId="2176" priority="62" operator="equal">
      <formula>"+"</formula>
    </cfRule>
    <cfRule type="cellIs" dxfId="2175" priority="63" operator="equal">
      <formula>"szf"</formula>
    </cfRule>
  </conditionalFormatting>
  <conditionalFormatting sqref="E268">
    <cfRule type="cellIs" dxfId="2174" priority="61" operator="equal">
      <formula>"+"</formula>
    </cfRule>
  </conditionalFormatting>
  <conditionalFormatting sqref="E268:E287">
    <cfRule type="cellIs" dxfId="2173" priority="59" operator="equal">
      <formula>"+"</formula>
    </cfRule>
    <cfRule type="cellIs" dxfId="2172" priority="60" operator="equal">
      <formula>"szf"</formula>
    </cfRule>
  </conditionalFormatting>
  <conditionalFormatting sqref="E268:E287">
    <cfRule type="cellIs" dxfId="2171" priority="55" operator="equal">
      <formula>"V"</formula>
    </cfRule>
    <cfRule type="cellIs" dxfId="2170" priority="56" operator="equal">
      <formula>"Szo"</formula>
    </cfRule>
    <cfRule type="cellIs" dxfId="2169" priority="57" operator="equal">
      <formula>"X"</formula>
    </cfRule>
    <cfRule type="cellIs" dxfId="2168" priority="58" operator="equal">
      <formula>"X"</formula>
    </cfRule>
  </conditionalFormatting>
  <conditionalFormatting sqref="L268">
    <cfRule type="cellIs" dxfId="2167" priority="53" operator="equal">
      <formula>"+"</formula>
    </cfRule>
    <cfRule type="cellIs" dxfId="2166" priority="54" operator="equal">
      <formula>"szf"</formula>
    </cfRule>
  </conditionalFormatting>
  <conditionalFormatting sqref="L268">
    <cfRule type="cellIs" dxfId="2165" priority="52" operator="equal">
      <formula>"+"</formula>
    </cfRule>
  </conditionalFormatting>
  <conditionalFormatting sqref="L268:L287">
    <cfRule type="cellIs" dxfId="2164" priority="50" operator="equal">
      <formula>"+"</formula>
    </cfRule>
    <cfRule type="cellIs" dxfId="2163" priority="51" operator="equal">
      <formula>"szf"</formula>
    </cfRule>
  </conditionalFormatting>
  <conditionalFormatting sqref="L268:L287">
    <cfRule type="cellIs" dxfId="2162" priority="46" operator="equal">
      <formula>"V"</formula>
    </cfRule>
    <cfRule type="cellIs" dxfId="2161" priority="47" operator="equal">
      <formula>"Szo"</formula>
    </cfRule>
    <cfRule type="cellIs" dxfId="2160" priority="48" operator="equal">
      <formula>"X"</formula>
    </cfRule>
    <cfRule type="cellIs" dxfId="2159" priority="49" operator="equal">
      <formula>"X"</formula>
    </cfRule>
  </conditionalFormatting>
  <conditionalFormatting sqref="M268">
    <cfRule type="cellIs" dxfId="2158" priority="44" operator="equal">
      <formula>"+"</formula>
    </cfRule>
    <cfRule type="cellIs" dxfId="2157" priority="45" operator="equal">
      <formula>"szf"</formula>
    </cfRule>
  </conditionalFormatting>
  <conditionalFormatting sqref="M268">
    <cfRule type="cellIs" dxfId="2156" priority="43" operator="equal">
      <formula>"+"</formula>
    </cfRule>
  </conditionalFormatting>
  <conditionalFormatting sqref="M268:M287">
    <cfRule type="cellIs" dxfId="2155" priority="41" operator="equal">
      <formula>"+"</formula>
    </cfRule>
    <cfRule type="cellIs" dxfId="2154" priority="42" operator="equal">
      <formula>"szf"</formula>
    </cfRule>
  </conditionalFormatting>
  <conditionalFormatting sqref="M268:M287">
    <cfRule type="cellIs" dxfId="2153" priority="37" operator="equal">
      <formula>"V"</formula>
    </cfRule>
    <cfRule type="cellIs" dxfId="2152" priority="38" operator="equal">
      <formula>"Szo"</formula>
    </cfRule>
    <cfRule type="cellIs" dxfId="2151" priority="39" operator="equal">
      <formula>"X"</formula>
    </cfRule>
    <cfRule type="cellIs" dxfId="2150" priority="40" operator="equal">
      <formula>"X"</formula>
    </cfRule>
  </conditionalFormatting>
  <conditionalFormatting sqref="T268">
    <cfRule type="cellIs" dxfId="2149" priority="35" operator="equal">
      <formula>"+"</formula>
    </cfRule>
    <cfRule type="cellIs" dxfId="2148" priority="36" operator="equal">
      <formula>"szf"</formula>
    </cfRule>
  </conditionalFormatting>
  <conditionalFormatting sqref="T268">
    <cfRule type="cellIs" dxfId="2147" priority="34" operator="equal">
      <formula>"+"</formula>
    </cfRule>
  </conditionalFormatting>
  <conditionalFormatting sqref="T268:T287">
    <cfRule type="cellIs" dxfId="2146" priority="32" operator="equal">
      <formula>"+"</formula>
    </cfRule>
    <cfRule type="cellIs" dxfId="2145" priority="33" operator="equal">
      <formula>"szf"</formula>
    </cfRule>
  </conditionalFormatting>
  <conditionalFormatting sqref="T268:T287">
    <cfRule type="cellIs" dxfId="2144" priority="28" operator="equal">
      <formula>"V"</formula>
    </cfRule>
    <cfRule type="cellIs" dxfId="2143" priority="29" operator="equal">
      <formula>"Szo"</formula>
    </cfRule>
    <cfRule type="cellIs" dxfId="2142" priority="30" operator="equal">
      <formula>"X"</formula>
    </cfRule>
    <cfRule type="cellIs" dxfId="2141" priority="31" operator="equal">
      <formula>"X"</formula>
    </cfRule>
  </conditionalFormatting>
  <conditionalFormatting sqref="U268">
    <cfRule type="cellIs" dxfId="2140" priority="26" operator="equal">
      <formula>"+"</formula>
    </cfRule>
    <cfRule type="cellIs" dxfId="2139" priority="27" operator="equal">
      <formula>"szf"</formula>
    </cfRule>
  </conditionalFormatting>
  <conditionalFormatting sqref="U268">
    <cfRule type="cellIs" dxfId="2138" priority="25" operator="equal">
      <formula>"+"</formula>
    </cfRule>
  </conditionalFormatting>
  <conditionalFormatting sqref="U268:U287">
    <cfRule type="cellIs" dxfId="2137" priority="23" operator="equal">
      <formula>"+"</formula>
    </cfRule>
    <cfRule type="cellIs" dxfId="2136" priority="24" operator="equal">
      <formula>"szf"</formula>
    </cfRule>
  </conditionalFormatting>
  <conditionalFormatting sqref="U268:U287">
    <cfRule type="cellIs" dxfId="2135" priority="19" operator="equal">
      <formula>"V"</formula>
    </cfRule>
    <cfRule type="cellIs" dxfId="2134" priority="20" operator="equal">
      <formula>"Szo"</formula>
    </cfRule>
    <cfRule type="cellIs" dxfId="2133" priority="21" operator="equal">
      <formula>"X"</formula>
    </cfRule>
    <cfRule type="cellIs" dxfId="2132" priority="22" operator="equal">
      <formula>"X"</formula>
    </cfRule>
  </conditionalFormatting>
  <conditionalFormatting sqref="AB268">
    <cfRule type="cellIs" dxfId="2131" priority="17" operator="equal">
      <formula>"+"</formula>
    </cfRule>
    <cfRule type="cellIs" dxfId="2130" priority="18" operator="equal">
      <formula>"szf"</formula>
    </cfRule>
  </conditionalFormatting>
  <conditionalFormatting sqref="AB268">
    <cfRule type="cellIs" dxfId="2129" priority="16" operator="equal">
      <formula>"+"</formula>
    </cfRule>
  </conditionalFormatting>
  <conditionalFormatting sqref="AB268:AB287">
    <cfRule type="cellIs" dxfId="2128" priority="14" operator="equal">
      <formula>"+"</formula>
    </cfRule>
    <cfRule type="cellIs" dxfId="2127" priority="15" operator="equal">
      <formula>"szf"</formula>
    </cfRule>
  </conditionalFormatting>
  <conditionalFormatting sqref="AB268:AB287">
    <cfRule type="cellIs" dxfId="2126" priority="10" operator="equal">
      <formula>"V"</formula>
    </cfRule>
    <cfRule type="cellIs" dxfId="2125" priority="11" operator="equal">
      <formula>"Szo"</formula>
    </cfRule>
    <cfRule type="cellIs" dxfId="2124" priority="12" operator="equal">
      <formula>"X"</formula>
    </cfRule>
    <cfRule type="cellIs" dxfId="2123" priority="13" operator="equal">
      <formula>"X"</formula>
    </cfRule>
  </conditionalFormatting>
  <conditionalFormatting sqref="AC268">
    <cfRule type="cellIs" dxfId="2122" priority="8" operator="equal">
      <formula>"+"</formula>
    </cfRule>
    <cfRule type="cellIs" dxfId="2121" priority="9" operator="equal">
      <formula>"szf"</formula>
    </cfRule>
  </conditionalFormatting>
  <conditionalFormatting sqref="AC268">
    <cfRule type="cellIs" dxfId="2120" priority="7" operator="equal">
      <formula>"+"</formula>
    </cfRule>
  </conditionalFormatting>
  <conditionalFormatting sqref="AC268:AC287">
    <cfRule type="cellIs" dxfId="2119" priority="5" operator="equal">
      <formula>"+"</formula>
    </cfRule>
    <cfRule type="cellIs" dxfId="2118" priority="6" operator="equal">
      <formula>"szf"</formula>
    </cfRule>
  </conditionalFormatting>
  <conditionalFormatting sqref="AC268:AC287">
    <cfRule type="cellIs" dxfId="2117" priority="1" operator="equal">
      <formula>"V"</formula>
    </cfRule>
    <cfRule type="cellIs" dxfId="2116" priority="2" operator="equal">
      <formula>"Szo"</formula>
    </cfRule>
    <cfRule type="cellIs" dxfId="2115" priority="3" operator="equal">
      <formula>"X"</formula>
    </cfRule>
    <cfRule type="cellIs" dxfId="2114" priority="4" operator="equal">
      <formula>"X"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tabSelected="1" zoomScale="85" zoomScaleNormal="85" workbookViewId="0">
      <selection activeCell="L30" sqref="L30"/>
    </sheetView>
  </sheetViews>
  <sheetFormatPr defaultColWidth="12" defaultRowHeight="12.75"/>
  <cols>
    <col min="1" max="1" width="18.85546875" style="26" customWidth="1"/>
    <col min="2" max="2" width="4" style="9" customWidth="1"/>
    <col min="3" max="8" width="3.140625" style="9" customWidth="1"/>
    <col min="9" max="9" width="3" style="9" customWidth="1"/>
    <col min="10" max="31" width="3.140625" style="9" customWidth="1"/>
    <col min="32" max="32" width="3.85546875" style="9" customWidth="1"/>
    <col min="33" max="33" width="3.42578125" style="6" customWidth="1"/>
    <col min="34" max="35" width="6.85546875" style="13" hidden="1" customWidth="1"/>
    <col min="36" max="43" width="3.42578125" style="6" customWidth="1"/>
    <col min="44" max="16384" width="12" style="6"/>
  </cols>
  <sheetData>
    <row r="1" spans="1:35" s="11" customFormat="1" ht="20.100000000000001" customHeight="1">
      <c r="A1" s="57" t="s">
        <v>0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23">
        <v>13</v>
      </c>
      <c r="O1" s="23">
        <v>14</v>
      </c>
      <c r="P1" s="23">
        <v>15</v>
      </c>
      <c r="Q1" s="23">
        <v>16</v>
      </c>
      <c r="R1" s="23">
        <v>17</v>
      </c>
      <c r="S1" s="23">
        <v>18</v>
      </c>
      <c r="T1" s="23">
        <v>19</v>
      </c>
      <c r="U1" s="23">
        <v>20</v>
      </c>
      <c r="V1" s="23">
        <v>21</v>
      </c>
      <c r="W1" s="23">
        <v>22</v>
      </c>
      <c r="X1" s="23">
        <v>23</v>
      </c>
      <c r="Y1" s="23">
        <v>24</v>
      </c>
      <c r="Z1" s="23">
        <v>25</v>
      </c>
      <c r="AA1" s="23">
        <v>26</v>
      </c>
      <c r="AB1" s="23">
        <v>27</v>
      </c>
      <c r="AC1" s="23">
        <v>28</v>
      </c>
      <c r="AD1" s="23">
        <v>29</v>
      </c>
      <c r="AE1" s="23">
        <v>30</v>
      </c>
      <c r="AF1" s="23">
        <v>31</v>
      </c>
      <c r="AH1" s="59" t="s">
        <v>18</v>
      </c>
      <c r="AI1" s="59" t="s">
        <v>19</v>
      </c>
    </row>
    <row r="2" spans="1:35" ht="20.100000000000001" customHeight="1">
      <c r="A2" s="61"/>
      <c r="B2" s="15" t="str">
        <f>'2021'!B4</f>
        <v>P</v>
      </c>
      <c r="C2" s="15" t="str">
        <f>'2021'!C4</f>
        <v>Szo</v>
      </c>
      <c r="D2" s="15" t="str">
        <f>'2021'!D4</f>
        <v>V</v>
      </c>
      <c r="E2" s="15" t="str">
        <f>'2021'!E4</f>
        <v>H</v>
      </c>
      <c r="F2" s="15" t="str">
        <f>'2021'!F4</f>
        <v>K</v>
      </c>
      <c r="G2" s="15" t="str">
        <f>'2021'!G4</f>
        <v>Sze</v>
      </c>
      <c r="H2" s="15" t="str">
        <f>'2021'!H4</f>
        <v>Cs</v>
      </c>
      <c r="I2" s="15" t="str">
        <f>'2021'!I4</f>
        <v>P</v>
      </c>
      <c r="J2" s="15" t="str">
        <f>'2021'!J4</f>
        <v>Szo</v>
      </c>
      <c r="K2" s="15" t="str">
        <f>'2021'!K4</f>
        <v>V</v>
      </c>
      <c r="L2" s="15" t="str">
        <f>'2021'!L4</f>
        <v>H</v>
      </c>
      <c r="M2" s="15" t="str">
        <f>'2021'!M4</f>
        <v>K</v>
      </c>
      <c r="N2" s="15" t="str">
        <f>'2021'!N4</f>
        <v>Sze</v>
      </c>
      <c r="O2" s="15" t="str">
        <f>'2021'!O4</f>
        <v>Cs</v>
      </c>
      <c r="P2" s="15" t="str">
        <f>'2021'!P4</f>
        <v>P</v>
      </c>
      <c r="Q2" s="15" t="str">
        <f>'2021'!Q4</f>
        <v>Szo</v>
      </c>
      <c r="R2" s="15" t="str">
        <f>'2021'!R4</f>
        <v>V</v>
      </c>
      <c r="S2" s="15" t="str">
        <f>'2021'!S4</f>
        <v>H</v>
      </c>
      <c r="T2" s="15" t="str">
        <f>'2021'!T4</f>
        <v>K</v>
      </c>
      <c r="U2" s="15" t="str">
        <f>'2021'!U4</f>
        <v>Sze</v>
      </c>
      <c r="V2" s="15" t="str">
        <f>'2021'!V4</f>
        <v>Cs</v>
      </c>
      <c r="W2" s="15" t="str">
        <f>'2021'!W4</f>
        <v>P</v>
      </c>
      <c r="X2" s="15" t="str">
        <f>'2021'!X4</f>
        <v>Szo</v>
      </c>
      <c r="Y2" s="15" t="str">
        <f>'2021'!Y4</f>
        <v>V</v>
      </c>
      <c r="Z2" s="15" t="str">
        <f>'2021'!Z4</f>
        <v>H</v>
      </c>
      <c r="AA2" s="15" t="str">
        <f>'2021'!AA4</f>
        <v>K</v>
      </c>
      <c r="AB2" s="15" t="str">
        <f>'2021'!AB4</f>
        <v>Sze</v>
      </c>
      <c r="AC2" s="15" t="str">
        <f>'2021'!AC4</f>
        <v>Cs</v>
      </c>
      <c r="AD2" s="15" t="str">
        <f>'2021'!AD4</f>
        <v>P</v>
      </c>
      <c r="AE2" s="15" t="str">
        <f>'2021'!AE4</f>
        <v>Szo</v>
      </c>
      <c r="AF2" s="15" t="str">
        <f>'2021'!AF4</f>
        <v>V</v>
      </c>
      <c r="AH2" s="60"/>
      <c r="AI2" s="60"/>
    </row>
    <row r="3" spans="1:35" ht="20.100000000000001" customHeight="1">
      <c r="A3" s="61"/>
      <c r="B3" s="15">
        <f>'2021'!B8</f>
        <v>1</v>
      </c>
      <c r="C3" s="15">
        <f>'2021'!C8</f>
        <v>1</v>
      </c>
      <c r="D3" s="15">
        <f>'2021'!D8</f>
        <v>1</v>
      </c>
      <c r="E3" s="15">
        <f>'2021'!E8</f>
        <v>1</v>
      </c>
      <c r="F3" s="15">
        <f>'2021'!F8</f>
        <v>1</v>
      </c>
      <c r="G3" s="15">
        <f>'2021'!G8</f>
        <v>1</v>
      </c>
      <c r="H3" s="15" t="str">
        <f>'2021'!H8</f>
        <v>X</v>
      </c>
      <c r="I3" s="15" t="str">
        <f>'2021'!I8</f>
        <v>X</v>
      </c>
      <c r="J3" s="15">
        <f>'2021'!J8</f>
        <v>3</v>
      </c>
      <c r="K3" s="15">
        <f>'2021'!K8</f>
        <v>3</v>
      </c>
      <c r="L3" s="15">
        <f>'2021'!L8</f>
        <v>3</v>
      </c>
      <c r="M3" s="15">
        <f>'2021'!M8</f>
        <v>3</v>
      </c>
      <c r="N3" s="15">
        <f>'2021'!N8</f>
        <v>3</v>
      </c>
      <c r="O3" s="15">
        <f>'2021'!O8</f>
        <v>3</v>
      </c>
      <c r="P3" s="15" t="str">
        <f>'2021'!P8</f>
        <v>X</v>
      </c>
      <c r="Q3" s="15" t="str">
        <f>'2021'!Q8</f>
        <v>X</v>
      </c>
      <c r="R3" s="15">
        <f>'2021'!R8</f>
        <v>2</v>
      </c>
      <c r="S3" s="15">
        <f>'2021'!S8</f>
        <v>2</v>
      </c>
      <c r="T3" s="15">
        <f>'2021'!T8</f>
        <v>2</v>
      </c>
      <c r="U3" s="15">
        <f>'2021'!U8</f>
        <v>2</v>
      </c>
      <c r="V3" s="15">
        <f>'2021'!V8</f>
        <v>2</v>
      </c>
      <c r="W3" s="15">
        <f>'2021'!W8</f>
        <v>2</v>
      </c>
      <c r="X3" s="15" t="str">
        <f>'2021'!X8</f>
        <v>X</v>
      </c>
      <c r="Y3" s="15" t="str">
        <f>'2021'!Y8</f>
        <v>X</v>
      </c>
      <c r="Z3" s="15">
        <f>'2021'!Z8</f>
        <v>1</v>
      </c>
      <c r="AA3" s="15">
        <f>'2021'!AA8</f>
        <v>1</v>
      </c>
      <c r="AB3" s="15">
        <f>'2021'!AB8</f>
        <v>1</v>
      </c>
      <c r="AC3" s="15">
        <f>'2021'!AC8</f>
        <v>1</v>
      </c>
      <c r="AD3" s="15">
        <f>'2021'!AD8</f>
        <v>1</v>
      </c>
      <c r="AE3" s="15">
        <f>'2021'!AE8</f>
        <v>1</v>
      </c>
      <c r="AF3" s="15" t="str">
        <f>'2021'!AF8</f>
        <v>X</v>
      </c>
      <c r="AH3" s="60"/>
      <c r="AI3" s="60"/>
    </row>
    <row r="4" spans="1:35" ht="20.100000000000001" customHeight="1">
      <c r="A4" s="24" t="str">
        <f>ÖSSZES!$A$72</f>
        <v>Daku Gábor</v>
      </c>
      <c r="B4" s="39" t="str">
        <f>[1]D!B4</f>
        <v>+</v>
      </c>
      <c r="C4" s="39">
        <f>[1]D!C4</f>
        <v>0</v>
      </c>
      <c r="D4" s="39">
        <f>[1]D!D4</f>
        <v>0</v>
      </c>
      <c r="E4" s="39">
        <f>[1]D!E4</f>
        <v>0</v>
      </c>
      <c r="F4" s="39">
        <f>[1]D!F4</f>
        <v>0</v>
      </c>
      <c r="G4" s="39">
        <f>[1]D!G4</f>
        <v>0</v>
      </c>
      <c r="H4" s="39" t="str">
        <f>[1]D!H4</f>
        <v>X</v>
      </c>
      <c r="I4" s="39" t="str">
        <f>[1]D!I4</f>
        <v>X</v>
      </c>
      <c r="J4" s="39">
        <f>[1]D!J4</f>
        <v>0</v>
      </c>
      <c r="K4" s="39">
        <f>[1]D!K4</f>
        <v>0</v>
      </c>
      <c r="L4" s="39">
        <f>[1]D!L4</f>
        <v>0</v>
      </c>
      <c r="M4" s="39">
        <f>[1]D!M4</f>
        <v>0</v>
      </c>
      <c r="N4" s="39">
        <f>[1]D!N4</f>
        <v>0</v>
      </c>
      <c r="O4" s="39">
        <f>[1]D!O4</f>
        <v>0</v>
      </c>
      <c r="P4" s="39" t="str">
        <f>[1]D!P4</f>
        <v>X</v>
      </c>
      <c r="Q4" s="39" t="str">
        <f>[1]D!Q4</f>
        <v>X</v>
      </c>
      <c r="R4" s="39">
        <f>[1]D!R4</f>
        <v>0</v>
      </c>
      <c r="S4" s="39">
        <f>[1]D!S4</f>
        <v>0</v>
      </c>
      <c r="T4" s="39">
        <f>[1]D!T4</f>
        <v>0</v>
      </c>
      <c r="U4" s="39">
        <f>[1]D!U4</f>
        <v>0</v>
      </c>
      <c r="V4" s="39">
        <f>[1]D!V4</f>
        <v>0</v>
      </c>
      <c r="W4" s="39">
        <f>[1]D!W4</f>
        <v>0</v>
      </c>
      <c r="X4" s="39" t="str">
        <f>[1]D!X4</f>
        <v>X</v>
      </c>
      <c r="Y4" s="39" t="str">
        <f>[1]D!Y4</f>
        <v>X</v>
      </c>
      <c r="Z4" s="39">
        <f>[1]D!Z4</f>
        <v>0</v>
      </c>
      <c r="AA4" s="39">
        <f>[1]D!AA4</f>
        <v>0</v>
      </c>
      <c r="AB4" s="39">
        <f>[1]D!AB4</f>
        <v>0</v>
      </c>
      <c r="AC4" s="39">
        <f>[1]D!AC4</f>
        <v>0</v>
      </c>
      <c r="AD4" s="39">
        <f>[1]D!AD4</f>
        <v>0</v>
      </c>
      <c r="AE4" s="39">
        <f>[1]D!AE4</f>
        <v>0</v>
      </c>
      <c r="AF4" s="39" t="s">
        <v>2</v>
      </c>
      <c r="AH4" s="20">
        <f>1*COUNTIF(A4:AF4,"+")</f>
        <v>1</v>
      </c>
      <c r="AI4" s="20">
        <f>1*COUNTIF(B4:AF4,"szf")</f>
        <v>0</v>
      </c>
    </row>
    <row r="5" spans="1:35" ht="20.100000000000001" customHeight="1">
      <c r="A5" s="24" t="str">
        <f>ÖSSZES!$A$73</f>
        <v>Borbély Csaba</v>
      </c>
      <c r="B5" s="39">
        <f>[1]D!B5</f>
        <v>0</v>
      </c>
      <c r="C5" s="39">
        <f>[1]D!C5</f>
        <v>0</v>
      </c>
      <c r="D5" s="39">
        <f>[1]D!D5</f>
        <v>0</v>
      </c>
      <c r="E5" s="39">
        <f>[1]D!E5</f>
        <v>0</v>
      </c>
      <c r="F5" s="39">
        <f>[1]D!F5</f>
        <v>0</v>
      </c>
      <c r="G5" s="39" t="str">
        <f>[1]D!G5</f>
        <v>+</v>
      </c>
      <c r="H5" s="39" t="str">
        <f>[1]D!H5</f>
        <v>X</v>
      </c>
      <c r="I5" s="39" t="str">
        <f>[1]D!I5</f>
        <v>X</v>
      </c>
      <c r="J5" s="39">
        <f>[1]D!J5</f>
        <v>0</v>
      </c>
      <c r="K5" s="39">
        <f>[1]D!K5</f>
        <v>0</v>
      </c>
      <c r="L5" s="39">
        <f>[1]D!L5</f>
        <v>0</v>
      </c>
      <c r="M5" s="39">
        <f>[1]D!M5</f>
        <v>0</v>
      </c>
      <c r="N5" s="39">
        <f>[1]D!N5</f>
        <v>0</v>
      </c>
      <c r="O5" s="39">
        <f>[1]D!O5</f>
        <v>0</v>
      </c>
      <c r="P5" s="39" t="str">
        <f>[1]D!P5</f>
        <v>X</v>
      </c>
      <c r="Q5" s="39" t="str">
        <f>[1]D!Q5</f>
        <v>X</v>
      </c>
      <c r="R5" s="39">
        <f>[1]D!R5</f>
        <v>0</v>
      </c>
      <c r="S5" s="39">
        <f>[1]D!S5</f>
        <v>0</v>
      </c>
      <c r="T5" s="39">
        <f>[1]D!T5</f>
        <v>0</v>
      </c>
      <c r="U5" s="39">
        <f>[1]D!U5</f>
        <v>0</v>
      </c>
      <c r="V5" s="39">
        <f>[1]D!V5</f>
        <v>0</v>
      </c>
      <c r="W5" s="39">
        <f>[1]D!W5</f>
        <v>0</v>
      </c>
      <c r="X5" s="39" t="str">
        <f>[1]D!X5</f>
        <v>X</v>
      </c>
      <c r="Y5" s="39" t="str">
        <f>[1]D!Y5</f>
        <v>X</v>
      </c>
      <c r="Z5" s="39">
        <f>[1]D!Z5</f>
        <v>0</v>
      </c>
      <c r="AA5" s="39">
        <f>[1]D!AA5</f>
        <v>0</v>
      </c>
      <c r="AB5" s="39">
        <f>[1]D!AB5</f>
        <v>0</v>
      </c>
      <c r="AC5" s="39">
        <f>[1]D!AC5</f>
        <v>0</v>
      </c>
      <c r="AD5" s="39">
        <f>[1]D!AD5</f>
        <v>0</v>
      </c>
      <c r="AE5" s="39">
        <f>[1]D!AE5</f>
        <v>0</v>
      </c>
      <c r="AF5" s="39" t="s">
        <v>2</v>
      </c>
      <c r="AH5" s="20">
        <f t="shared" ref="AH5:AH23" si="0">1*COUNTIF(A5:AF5,"+")</f>
        <v>1</v>
      </c>
      <c r="AI5" s="20">
        <f t="shared" ref="AI5:AI23" si="1">1*COUNTIF(B5:AF5,"szf")</f>
        <v>0</v>
      </c>
    </row>
    <row r="6" spans="1:35" ht="20.100000000000001" customHeight="1">
      <c r="A6" s="24" t="str">
        <f>ÖSSZES!$A$74</f>
        <v>Erdei Bálint</v>
      </c>
      <c r="B6" s="39">
        <f>[1]D!B6</f>
        <v>0</v>
      </c>
      <c r="C6" s="39">
        <f>[1]D!C6</f>
        <v>0</v>
      </c>
      <c r="D6" s="39">
        <f>[1]D!D6</f>
        <v>0</v>
      </c>
      <c r="E6" s="39">
        <f>[1]D!E6</f>
        <v>0</v>
      </c>
      <c r="F6" s="39">
        <f>[1]D!F6</f>
        <v>0</v>
      </c>
      <c r="G6" s="39">
        <f>[1]D!G6</f>
        <v>0</v>
      </c>
      <c r="H6" s="39" t="str">
        <f>[1]D!H6</f>
        <v>X</v>
      </c>
      <c r="I6" s="39" t="str">
        <f>[1]D!I6</f>
        <v>X</v>
      </c>
      <c r="J6" s="39">
        <f>[1]D!J6</f>
        <v>0</v>
      </c>
      <c r="K6" s="39">
        <f>[1]D!K6</f>
        <v>0</v>
      </c>
      <c r="L6" s="39">
        <f>[1]D!L6</f>
        <v>0</v>
      </c>
      <c r="M6" s="39">
        <f>[1]D!M6</f>
        <v>0</v>
      </c>
      <c r="N6" s="39">
        <f>[1]D!N6</f>
        <v>0</v>
      </c>
      <c r="O6" s="39">
        <f>[1]D!O6</f>
        <v>0</v>
      </c>
      <c r="P6" s="39" t="str">
        <f>[1]D!P6</f>
        <v>X</v>
      </c>
      <c r="Q6" s="39" t="str">
        <f>[1]D!Q6</f>
        <v>X</v>
      </c>
      <c r="R6" s="39">
        <f>[1]D!R6</f>
        <v>0</v>
      </c>
      <c r="S6" s="39">
        <f>[1]D!S6</f>
        <v>0</v>
      </c>
      <c r="T6" s="39">
        <f>[1]D!T6</f>
        <v>0</v>
      </c>
      <c r="U6" s="39">
        <f>[1]D!U6</f>
        <v>0</v>
      </c>
      <c r="V6" s="39">
        <f>[1]D!V6</f>
        <v>0</v>
      </c>
      <c r="W6" s="39">
        <f>[1]D!W6</f>
        <v>0</v>
      </c>
      <c r="X6" s="39" t="str">
        <f>[1]D!X6</f>
        <v>X</v>
      </c>
      <c r="Y6" s="39" t="str">
        <f>[1]D!Y6</f>
        <v>X</v>
      </c>
      <c r="Z6" s="39">
        <f>[1]D!Z6</f>
        <v>0</v>
      </c>
      <c r="AA6" s="39">
        <f>[1]D!AA6</f>
        <v>0</v>
      </c>
      <c r="AB6" s="39">
        <f>[1]D!AB6</f>
        <v>0</v>
      </c>
      <c r="AC6" s="39">
        <f>[1]D!AC6</f>
        <v>0</v>
      </c>
      <c r="AD6" s="39">
        <f>[1]D!AD6</f>
        <v>0</v>
      </c>
      <c r="AE6" s="39">
        <f>[1]D!AE6</f>
        <v>0</v>
      </c>
      <c r="AF6" s="39" t="s">
        <v>2</v>
      </c>
      <c r="AH6" s="20">
        <f t="shared" si="0"/>
        <v>0</v>
      </c>
      <c r="AI6" s="20">
        <f t="shared" si="1"/>
        <v>0</v>
      </c>
    </row>
    <row r="7" spans="1:35" ht="20.100000000000001" customHeight="1">
      <c r="A7" s="24" t="str">
        <f>ÖSSZES!$A$75</f>
        <v>Fábián Gábor</v>
      </c>
      <c r="B7" s="39">
        <f>[1]D!B7</f>
        <v>0</v>
      </c>
      <c r="C7" s="39">
        <f>[1]D!C7</f>
        <v>0</v>
      </c>
      <c r="D7" s="39">
        <f>[1]D!D7</f>
        <v>0</v>
      </c>
      <c r="E7" s="39">
        <f>[1]D!E7</f>
        <v>0</v>
      </c>
      <c r="F7" s="39">
        <f>[1]D!F7</f>
        <v>0</v>
      </c>
      <c r="G7" s="39">
        <f>[1]D!G7</f>
        <v>0</v>
      </c>
      <c r="H7" s="39" t="str">
        <f>[1]D!H7</f>
        <v>X</v>
      </c>
      <c r="I7" s="39" t="str">
        <f>[1]D!I7</f>
        <v>X</v>
      </c>
      <c r="J7" s="39">
        <f>[1]D!J7</f>
        <v>0</v>
      </c>
      <c r="K7" s="39">
        <f>[1]D!K7</f>
        <v>0</v>
      </c>
      <c r="L7" s="39">
        <f>[1]D!L7</f>
        <v>0</v>
      </c>
      <c r="M7" s="39">
        <f>[1]D!M7</f>
        <v>0</v>
      </c>
      <c r="N7" s="39">
        <f>[1]D!N7</f>
        <v>0</v>
      </c>
      <c r="O7" s="39">
        <f>[1]D!O7</f>
        <v>0</v>
      </c>
      <c r="P7" s="39" t="str">
        <f>[1]D!P7</f>
        <v>X</v>
      </c>
      <c r="Q7" s="39" t="str">
        <f>[1]D!Q7</f>
        <v>X</v>
      </c>
      <c r="R7" s="39">
        <f>[1]D!R7</f>
        <v>0</v>
      </c>
      <c r="S7" s="39">
        <f>[1]D!S7</f>
        <v>0</v>
      </c>
      <c r="T7" s="39">
        <f>[1]D!T7</f>
        <v>0</v>
      </c>
      <c r="U7" s="39">
        <f>[1]D!U7</f>
        <v>0</v>
      </c>
      <c r="V7" s="39">
        <f>[1]D!V7</f>
        <v>0</v>
      </c>
      <c r="W7" s="39">
        <f>[1]D!W7</f>
        <v>0</v>
      </c>
      <c r="X7" s="39" t="str">
        <f>[1]D!X7</f>
        <v>X</v>
      </c>
      <c r="Y7" s="39" t="str">
        <f>[1]D!Y7</f>
        <v>X</v>
      </c>
      <c r="Z7" s="39">
        <f>[1]D!Z7</f>
        <v>0</v>
      </c>
      <c r="AA7" s="39">
        <f>[1]D!AA7</f>
        <v>0</v>
      </c>
      <c r="AB7" s="39">
        <f>[1]D!AB7</f>
        <v>0</v>
      </c>
      <c r="AC7" s="39">
        <f>[1]D!AC7</f>
        <v>0</v>
      </c>
      <c r="AD7" s="39">
        <f>[1]D!AD7</f>
        <v>0</v>
      </c>
      <c r="AE7" s="39">
        <f>[1]D!AE7</f>
        <v>0</v>
      </c>
      <c r="AF7" s="39" t="s">
        <v>2</v>
      </c>
      <c r="AH7" s="20">
        <f t="shared" si="0"/>
        <v>0</v>
      </c>
      <c r="AI7" s="20">
        <f t="shared" si="1"/>
        <v>0</v>
      </c>
    </row>
    <row r="8" spans="1:35" ht="20.100000000000001" customHeight="1">
      <c r="A8" s="24" t="str">
        <f>ÖSSZES!$A$76</f>
        <v>Gellei Zsolt</v>
      </c>
      <c r="B8" s="39">
        <f>[1]D!B8</f>
        <v>0</v>
      </c>
      <c r="C8" s="39">
        <f>[1]D!C8</f>
        <v>0</v>
      </c>
      <c r="D8" s="39">
        <f>[1]D!D8</f>
        <v>0</v>
      </c>
      <c r="E8" s="39">
        <f>[1]D!E8</f>
        <v>0</v>
      </c>
      <c r="F8" s="39">
        <f>[1]D!F8</f>
        <v>0</v>
      </c>
      <c r="G8" s="39">
        <f>[1]D!G8</f>
        <v>0</v>
      </c>
      <c r="H8" s="39" t="str">
        <f>[1]D!H8</f>
        <v>X</v>
      </c>
      <c r="I8" s="39" t="str">
        <f>[1]D!I8</f>
        <v>X</v>
      </c>
      <c r="J8" s="39">
        <f>[1]D!J8</f>
        <v>0</v>
      </c>
      <c r="K8" s="39">
        <f>[1]D!K8</f>
        <v>0</v>
      </c>
      <c r="L8" s="39">
        <f>[1]D!L8</f>
        <v>0</v>
      </c>
      <c r="M8" s="39">
        <f>[1]D!M8</f>
        <v>0</v>
      </c>
      <c r="N8" s="39">
        <f>[1]D!N8</f>
        <v>0</v>
      </c>
      <c r="O8" s="39">
        <f>[1]D!O8</f>
        <v>0</v>
      </c>
      <c r="P8" s="39" t="str">
        <f>[1]D!P8</f>
        <v>X</v>
      </c>
      <c r="Q8" s="39" t="str">
        <f>[1]D!Q8</f>
        <v>X</v>
      </c>
      <c r="R8" s="39">
        <f>[1]D!R8</f>
        <v>0</v>
      </c>
      <c r="S8" s="39">
        <f>[1]D!S8</f>
        <v>0</v>
      </c>
      <c r="T8" s="39">
        <f>[1]D!T8</f>
        <v>0</v>
      </c>
      <c r="U8" s="39">
        <f>[1]D!U8</f>
        <v>0</v>
      </c>
      <c r="V8" s="39">
        <f>[1]D!V8</f>
        <v>0</v>
      </c>
      <c r="W8" s="39">
        <f>[1]D!W8</f>
        <v>0</v>
      </c>
      <c r="X8" s="39" t="str">
        <f>[1]D!X8</f>
        <v>X</v>
      </c>
      <c r="Y8" s="39" t="str">
        <f>[1]D!Y8</f>
        <v>X</v>
      </c>
      <c r="Z8" s="39">
        <f>[1]D!Z8</f>
        <v>0</v>
      </c>
      <c r="AA8" s="39">
        <f>[1]D!AA8</f>
        <v>0</v>
      </c>
      <c r="AB8" s="39">
        <f>[1]D!AB8</f>
        <v>0</v>
      </c>
      <c r="AC8" s="39">
        <f>[1]D!AC8</f>
        <v>0</v>
      </c>
      <c r="AD8" s="39">
        <f>[1]D!AD8</f>
        <v>0</v>
      </c>
      <c r="AE8" s="39">
        <f>[1]D!AE8</f>
        <v>0</v>
      </c>
      <c r="AF8" s="39" t="s">
        <v>2</v>
      </c>
      <c r="AH8" s="20">
        <f t="shared" si="0"/>
        <v>0</v>
      </c>
      <c r="AI8" s="20">
        <f t="shared" si="1"/>
        <v>0</v>
      </c>
    </row>
    <row r="9" spans="1:35" ht="20.100000000000001" customHeight="1">
      <c r="A9" s="24" t="str">
        <f>ÖSSZES!$A$77</f>
        <v>Kiss Gyula</v>
      </c>
      <c r="B9" s="39">
        <f>[1]D!B9</f>
        <v>0</v>
      </c>
      <c r="C9" s="39">
        <f>[1]D!C9</f>
        <v>0</v>
      </c>
      <c r="D9" s="39">
        <f>[1]D!D9</f>
        <v>0</v>
      </c>
      <c r="E9" s="39">
        <f>[1]D!E9</f>
        <v>0</v>
      </c>
      <c r="F9" s="39">
        <f>[1]D!F9</f>
        <v>0</v>
      </c>
      <c r="G9" s="39">
        <f>[1]D!G9</f>
        <v>0</v>
      </c>
      <c r="H9" s="39" t="str">
        <f>[1]D!H9</f>
        <v>X</v>
      </c>
      <c r="I9" s="39" t="str">
        <f>[1]D!I9</f>
        <v>X</v>
      </c>
      <c r="J9" s="39">
        <f>[1]D!J9</f>
        <v>0</v>
      </c>
      <c r="K9" s="39">
        <f>[1]D!K9</f>
        <v>0</v>
      </c>
      <c r="L9" s="39">
        <f>[1]D!L9</f>
        <v>0</v>
      </c>
      <c r="M9" s="39">
        <f>[1]D!M9</f>
        <v>0</v>
      </c>
      <c r="N9" s="39">
        <f>[1]D!N9</f>
        <v>0</v>
      </c>
      <c r="O9" s="39">
        <f>[1]D!O9</f>
        <v>0</v>
      </c>
      <c r="P9" s="39" t="str">
        <f>[1]D!P9</f>
        <v>X</v>
      </c>
      <c r="Q9" s="39" t="str">
        <f>[1]D!Q9</f>
        <v>X</v>
      </c>
      <c r="R9" s="39">
        <f>[1]D!R9</f>
        <v>0</v>
      </c>
      <c r="S9" s="39">
        <f>[1]D!S9</f>
        <v>0</v>
      </c>
      <c r="T9" s="39">
        <f>[1]D!T9</f>
        <v>0</v>
      </c>
      <c r="U9" s="39">
        <f>[1]D!U9</f>
        <v>0</v>
      </c>
      <c r="V9" s="39">
        <f>[1]D!V9</f>
        <v>0</v>
      </c>
      <c r="W9" s="39">
        <f>[1]D!W9</f>
        <v>0</v>
      </c>
      <c r="X9" s="39" t="str">
        <f>[1]D!X9</f>
        <v>X</v>
      </c>
      <c r="Y9" s="39" t="str">
        <f>[1]D!Y9</f>
        <v>X</v>
      </c>
      <c r="Z9" s="39">
        <f>[1]D!Z9</f>
        <v>0</v>
      </c>
      <c r="AA9" s="39">
        <f>[1]D!AA9</f>
        <v>0</v>
      </c>
      <c r="AB9" s="39">
        <f>[1]D!AB9</f>
        <v>0</v>
      </c>
      <c r="AC9" s="39">
        <f>[1]D!AC9</f>
        <v>0</v>
      </c>
      <c r="AD9" s="39">
        <f>[1]D!AD9</f>
        <v>0</v>
      </c>
      <c r="AE9" s="39">
        <f>[1]D!AE9</f>
        <v>0</v>
      </c>
      <c r="AF9" s="39" t="s">
        <v>2</v>
      </c>
      <c r="AH9" s="20">
        <f t="shared" si="0"/>
        <v>0</v>
      </c>
      <c r="AI9" s="20">
        <f t="shared" si="1"/>
        <v>0</v>
      </c>
    </row>
    <row r="10" spans="1:35" ht="20.100000000000001" customHeight="1">
      <c r="A10" s="24" t="str">
        <f>ÖSSZES!$A$78</f>
        <v>Nagy István</v>
      </c>
      <c r="B10" s="39">
        <f>[1]D!B10</f>
        <v>0</v>
      </c>
      <c r="C10" s="39">
        <f>[1]D!C10</f>
        <v>0</v>
      </c>
      <c r="D10" s="39">
        <f>[1]D!D10</f>
        <v>0</v>
      </c>
      <c r="E10" s="39">
        <f>[1]D!E10</f>
        <v>0</v>
      </c>
      <c r="F10" s="39">
        <f>[1]D!F10</f>
        <v>0</v>
      </c>
      <c r="G10" s="39">
        <f>[1]D!G10</f>
        <v>0</v>
      </c>
      <c r="H10" s="39" t="str">
        <f>[1]D!H10</f>
        <v>X</v>
      </c>
      <c r="I10" s="39" t="str">
        <f>[1]D!I10</f>
        <v>X</v>
      </c>
      <c r="J10" s="39">
        <f>[1]D!J10</f>
        <v>0</v>
      </c>
      <c r="K10" s="39">
        <f>[1]D!K10</f>
        <v>0</v>
      </c>
      <c r="L10" s="39">
        <f>[1]D!L10</f>
        <v>0</v>
      </c>
      <c r="M10" s="39">
        <f>[1]D!M10</f>
        <v>0</v>
      </c>
      <c r="N10" s="39">
        <f>[1]D!N10</f>
        <v>0</v>
      </c>
      <c r="O10" s="39">
        <f>[1]D!O10</f>
        <v>0</v>
      </c>
      <c r="P10" s="39" t="str">
        <f>[1]D!P10</f>
        <v>X</v>
      </c>
      <c r="Q10" s="39" t="str">
        <f>[1]D!Q10</f>
        <v>X</v>
      </c>
      <c r="R10" s="39">
        <f>[1]D!R10</f>
        <v>0</v>
      </c>
      <c r="S10" s="39">
        <f>[1]D!S10</f>
        <v>0</v>
      </c>
      <c r="T10" s="39">
        <f>[1]D!T10</f>
        <v>0</v>
      </c>
      <c r="U10" s="39">
        <f>[1]D!U10</f>
        <v>0</v>
      </c>
      <c r="V10" s="39">
        <f>[1]D!V10</f>
        <v>0</v>
      </c>
      <c r="W10" s="39">
        <f>[1]D!W10</f>
        <v>0</v>
      </c>
      <c r="X10" s="39" t="str">
        <f>[1]D!X10</f>
        <v>X</v>
      </c>
      <c r="Y10" s="39" t="str">
        <f>[1]D!Y10</f>
        <v>X</v>
      </c>
      <c r="Z10" s="39">
        <f>[1]D!Z10</f>
        <v>0</v>
      </c>
      <c r="AA10" s="39">
        <f>[1]D!AA10</f>
        <v>0</v>
      </c>
      <c r="AB10" s="39">
        <f>[1]D!AB10</f>
        <v>0</v>
      </c>
      <c r="AC10" s="39">
        <f>[1]D!AC10</f>
        <v>0</v>
      </c>
      <c r="AD10" s="39">
        <f>[1]D!AD10</f>
        <v>0</v>
      </c>
      <c r="AE10" s="39">
        <f>[1]D!AE10</f>
        <v>0</v>
      </c>
      <c r="AF10" s="39" t="s">
        <v>2</v>
      </c>
      <c r="AH10" s="20">
        <f t="shared" si="0"/>
        <v>0</v>
      </c>
      <c r="AI10" s="20">
        <f t="shared" si="1"/>
        <v>0</v>
      </c>
    </row>
    <row r="11" spans="1:35" ht="20.100000000000001" hidden="1" customHeight="1">
      <c r="A11" s="24" t="str">
        <f>ÖSSZES!$A$79</f>
        <v>Név8</v>
      </c>
      <c r="B11" s="39"/>
      <c r="C11" s="39"/>
      <c r="D11" s="39"/>
      <c r="E11" s="39"/>
      <c r="F11" s="39"/>
      <c r="G11" s="39"/>
      <c r="H11" s="39" t="s">
        <v>2</v>
      </c>
      <c r="I11" s="39" t="s">
        <v>2</v>
      </c>
      <c r="J11" s="39"/>
      <c r="K11" s="39"/>
      <c r="L11" s="39"/>
      <c r="M11" s="39"/>
      <c r="N11" s="39"/>
      <c r="O11" s="39"/>
      <c r="P11" s="39" t="s">
        <v>2</v>
      </c>
      <c r="Q11" s="39" t="s">
        <v>2</v>
      </c>
      <c r="R11" s="39"/>
      <c r="S11" s="39"/>
      <c r="T11" s="39"/>
      <c r="U11" s="39"/>
      <c r="V11" s="39"/>
      <c r="W11" s="39"/>
      <c r="X11" s="39" t="s">
        <v>2</v>
      </c>
      <c r="Y11" s="39" t="s">
        <v>2</v>
      </c>
      <c r="Z11" s="39"/>
      <c r="AA11" s="39"/>
      <c r="AB11" s="39"/>
      <c r="AC11" s="39"/>
      <c r="AD11" s="39"/>
      <c r="AE11" s="39"/>
      <c r="AF11" s="39" t="s">
        <v>2</v>
      </c>
      <c r="AH11" s="20">
        <f t="shared" si="0"/>
        <v>0</v>
      </c>
      <c r="AI11" s="20">
        <f t="shared" si="1"/>
        <v>0</v>
      </c>
    </row>
    <row r="12" spans="1:35" ht="20.100000000000001" hidden="1" customHeight="1">
      <c r="A12" s="24" t="str">
        <f>ÖSSZES!$A$80</f>
        <v>Név9</v>
      </c>
      <c r="B12" s="39"/>
      <c r="C12" s="39"/>
      <c r="D12" s="39"/>
      <c r="E12" s="39"/>
      <c r="F12" s="39"/>
      <c r="G12" s="39"/>
      <c r="H12" s="39" t="s">
        <v>2</v>
      </c>
      <c r="I12" s="39" t="s">
        <v>2</v>
      </c>
      <c r="J12" s="39"/>
      <c r="K12" s="39"/>
      <c r="L12" s="39"/>
      <c r="M12" s="39"/>
      <c r="N12" s="39"/>
      <c r="O12" s="39"/>
      <c r="P12" s="39" t="s">
        <v>2</v>
      </c>
      <c r="Q12" s="39" t="s">
        <v>2</v>
      </c>
      <c r="R12" s="39"/>
      <c r="S12" s="39"/>
      <c r="T12" s="39"/>
      <c r="U12" s="39"/>
      <c r="V12" s="39"/>
      <c r="W12" s="39"/>
      <c r="X12" s="39" t="s">
        <v>2</v>
      </c>
      <c r="Y12" s="39" t="s">
        <v>2</v>
      </c>
      <c r="Z12" s="39"/>
      <c r="AA12" s="39"/>
      <c r="AB12" s="39"/>
      <c r="AC12" s="39"/>
      <c r="AD12" s="39"/>
      <c r="AE12" s="39"/>
      <c r="AF12" s="39" t="s">
        <v>2</v>
      </c>
      <c r="AH12" s="20">
        <f t="shared" si="0"/>
        <v>0</v>
      </c>
      <c r="AI12" s="20">
        <f t="shared" si="1"/>
        <v>0</v>
      </c>
    </row>
    <row r="13" spans="1:35" ht="20.100000000000001" hidden="1" customHeight="1">
      <c r="A13" s="24" t="str">
        <f>ÖSSZES!$A$81</f>
        <v>Név10</v>
      </c>
      <c r="B13" s="39"/>
      <c r="C13" s="39"/>
      <c r="D13" s="39"/>
      <c r="E13" s="39"/>
      <c r="F13" s="39"/>
      <c r="G13" s="39"/>
      <c r="H13" s="39" t="s">
        <v>2</v>
      </c>
      <c r="I13" s="39" t="s">
        <v>2</v>
      </c>
      <c r="J13" s="39"/>
      <c r="K13" s="39"/>
      <c r="L13" s="39"/>
      <c r="M13" s="39"/>
      <c r="N13" s="39"/>
      <c r="O13" s="39"/>
      <c r="P13" s="39" t="s">
        <v>2</v>
      </c>
      <c r="Q13" s="39" t="s">
        <v>2</v>
      </c>
      <c r="R13" s="39"/>
      <c r="S13" s="39"/>
      <c r="T13" s="39"/>
      <c r="U13" s="39"/>
      <c r="V13" s="39"/>
      <c r="W13" s="39"/>
      <c r="X13" s="39" t="s">
        <v>2</v>
      </c>
      <c r="Y13" s="39" t="s">
        <v>2</v>
      </c>
      <c r="Z13" s="39"/>
      <c r="AA13" s="39"/>
      <c r="AB13" s="39"/>
      <c r="AC13" s="39"/>
      <c r="AD13" s="39"/>
      <c r="AE13" s="39"/>
      <c r="AF13" s="39" t="s">
        <v>2</v>
      </c>
      <c r="AH13" s="20">
        <f t="shared" si="0"/>
        <v>0</v>
      </c>
      <c r="AI13" s="20">
        <f t="shared" si="1"/>
        <v>0</v>
      </c>
    </row>
    <row r="14" spans="1:35" ht="20.100000000000001" hidden="1" customHeight="1">
      <c r="A14" s="24" t="str">
        <f>ÖSSZES!$A$82</f>
        <v>Név11</v>
      </c>
      <c r="B14" s="39"/>
      <c r="C14" s="39"/>
      <c r="D14" s="39"/>
      <c r="E14" s="39"/>
      <c r="F14" s="39"/>
      <c r="G14" s="39"/>
      <c r="H14" s="39" t="s">
        <v>2</v>
      </c>
      <c r="I14" s="39" t="s">
        <v>2</v>
      </c>
      <c r="J14" s="39"/>
      <c r="K14" s="39"/>
      <c r="L14" s="39"/>
      <c r="M14" s="39"/>
      <c r="N14" s="39"/>
      <c r="O14" s="39"/>
      <c r="P14" s="39" t="s">
        <v>2</v>
      </c>
      <c r="Q14" s="39" t="s">
        <v>2</v>
      </c>
      <c r="R14" s="39"/>
      <c r="S14" s="39"/>
      <c r="T14" s="39"/>
      <c r="U14" s="39"/>
      <c r="V14" s="39"/>
      <c r="W14" s="39"/>
      <c r="X14" s="39" t="s">
        <v>2</v>
      </c>
      <c r="Y14" s="39" t="s">
        <v>2</v>
      </c>
      <c r="Z14" s="39"/>
      <c r="AA14" s="39"/>
      <c r="AB14" s="39"/>
      <c r="AC14" s="39"/>
      <c r="AD14" s="39"/>
      <c r="AE14" s="39"/>
      <c r="AF14" s="39" t="s">
        <v>2</v>
      </c>
      <c r="AH14" s="20">
        <f t="shared" si="0"/>
        <v>0</v>
      </c>
      <c r="AI14" s="20">
        <f t="shared" si="1"/>
        <v>0</v>
      </c>
    </row>
    <row r="15" spans="1:35" ht="20.100000000000001" hidden="1" customHeight="1">
      <c r="A15" s="24" t="str">
        <f>ÖSSZES!$A$83</f>
        <v>Név12</v>
      </c>
      <c r="B15" s="39"/>
      <c r="C15" s="39"/>
      <c r="D15" s="39"/>
      <c r="E15" s="39"/>
      <c r="F15" s="39"/>
      <c r="G15" s="39"/>
      <c r="H15" s="39" t="s">
        <v>2</v>
      </c>
      <c r="I15" s="39" t="s">
        <v>2</v>
      </c>
      <c r="J15" s="39"/>
      <c r="K15" s="39"/>
      <c r="L15" s="39"/>
      <c r="M15" s="39"/>
      <c r="N15" s="39"/>
      <c r="O15" s="39"/>
      <c r="P15" s="39" t="s">
        <v>2</v>
      </c>
      <c r="Q15" s="39" t="s">
        <v>2</v>
      </c>
      <c r="R15" s="39"/>
      <c r="S15" s="39"/>
      <c r="T15" s="39"/>
      <c r="U15" s="39"/>
      <c r="V15" s="39"/>
      <c r="W15" s="39"/>
      <c r="X15" s="39" t="s">
        <v>2</v>
      </c>
      <c r="Y15" s="39" t="s">
        <v>2</v>
      </c>
      <c r="Z15" s="39"/>
      <c r="AA15" s="39"/>
      <c r="AB15" s="39"/>
      <c r="AC15" s="39"/>
      <c r="AD15" s="39"/>
      <c r="AE15" s="39"/>
      <c r="AF15" s="39" t="s">
        <v>2</v>
      </c>
      <c r="AH15" s="20">
        <f t="shared" si="0"/>
        <v>0</v>
      </c>
      <c r="AI15" s="20">
        <f t="shared" si="1"/>
        <v>0</v>
      </c>
    </row>
    <row r="16" spans="1:35" ht="20.100000000000001" hidden="1" customHeight="1">
      <c r="A16" s="24" t="str">
        <f>ÖSSZES!$A$84</f>
        <v>Név13</v>
      </c>
      <c r="B16" s="39"/>
      <c r="C16" s="39"/>
      <c r="D16" s="39"/>
      <c r="E16" s="39"/>
      <c r="F16" s="39"/>
      <c r="G16" s="39"/>
      <c r="H16" s="39" t="s">
        <v>2</v>
      </c>
      <c r="I16" s="39" t="s">
        <v>2</v>
      </c>
      <c r="J16" s="39"/>
      <c r="K16" s="39"/>
      <c r="L16" s="39"/>
      <c r="M16" s="39"/>
      <c r="N16" s="39"/>
      <c r="O16" s="39"/>
      <c r="P16" s="39" t="s">
        <v>2</v>
      </c>
      <c r="Q16" s="39" t="s">
        <v>2</v>
      </c>
      <c r="R16" s="39"/>
      <c r="S16" s="39"/>
      <c r="T16" s="39"/>
      <c r="U16" s="39"/>
      <c r="V16" s="39"/>
      <c r="W16" s="39"/>
      <c r="X16" s="39" t="s">
        <v>2</v>
      </c>
      <c r="Y16" s="39" t="s">
        <v>2</v>
      </c>
      <c r="Z16" s="39"/>
      <c r="AA16" s="39"/>
      <c r="AB16" s="39"/>
      <c r="AC16" s="39"/>
      <c r="AD16" s="39"/>
      <c r="AE16" s="39"/>
      <c r="AF16" s="39" t="s">
        <v>2</v>
      </c>
      <c r="AH16" s="20">
        <f t="shared" si="0"/>
        <v>0</v>
      </c>
      <c r="AI16" s="20">
        <f t="shared" si="1"/>
        <v>0</v>
      </c>
    </row>
    <row r="17" spans="1:35" ht="20.100000000000001" hidden="1" customHeight="1">
      <c r="A17" s="24" t="str">
        <f>ÖSSZES!$A$85</f>
        <v>Név14</v>
      </c>
      <c r="B17" s="39"/>
      <c r="C17" s="39"/>
      <c r="D17" s="39"/>
      <c r="E17" s="39"/>
      <c r="F17" s="39"/>
      <c r="G17" s="39"/>
      <c r="H17" s="39" t="s">
        <v>2</v>
      </c>
      <c r="I17" s="39" t="s">
        <v>2</v>
      </c>
      <c r="J17" s="39"/>
      <c r="K17" s="39"/>
      <c r="L17" s="39"/>
      <c r="M17" s="39"/>
      <c r="N17" s="39"/>
      <c r="O17" s="39"/>
      <c r="P17" s="39" t="s">
        <v>2</v>
      </c>
      <c r="Q17" s="39" t="s">
        <v>2</v>
      </c>
      <c r="R17" s="39"/>
      <c r="S17" s="39"/>
      <c r="T17" s="39"/>
      <c r="U17" s="39"/>
      <c r="V17" s="39"/>
      <c r="W17" s="39"/>
      <c r="X17" s="39" t="s">
        <v>2</v>
      </c>
      <c r="Y17" s="39" t="s">
        <v>2</v>
      </c>
      <c r="Z17" s="39"/>
      <c r="AA17" s="39"/>
      <c r="AB17" s="39"/>
      <c r="AC17" s="39"/>
      <c r="AD17" s="39"/>
      <c r="AE17" s="39"/>
      <c r="AF17" s="39" t="s">
        <v>2</v>
      </c>
      <c r="AH17" s="20">
        <f t="shared" si="0"/>
        <v>0</v>
      </c>
      <c r="AI17" s="20">
        <f t="shared" si="1"/>
        <v>0</v>
      </c>
    </row>
    <row r="18" spans="1:35" ht="20.100000000000001" hidden="1" customHeight="1">
      <c r="A18" s="24" t="str">
        <f>ÖSSZES!$A$86</f>
        <v>Név15</v>
      </c>
      <c r="B18" s="39"/>
      <c r="C18" s="39"/>
      <c r="D18" s="39"/>
      <c r="E18" s="39"/>
      <c r="F18" s="39"/>
      <c r="G18" s="39"/>
      <c r="H18" s="39" t="s">
        <v>2</v>
      </c>
      <c r="I18" s="39" t="s">
        <v>2</v>
      </c>
      <c r="J18" s="39"/>
      <c r="K18" s="39"/>
      <c r="L18" s="39"/>
      <c r="M18" s="39"/>
      <c r="N18" s="39"/>
      <c r="O18" s="39"/>
      <c r="P18" s="39" t="s">
        <v>2</v>
      </c>
      <c r="Q18" s="39" t="s">
        <v>2</v>
      </c>
      <c r="R18" s="39"/>
      <c r="S18" s="39"/>
      <c r="T18" s="39"/>
      <c r="U18" s="39"/>
      <c r="V18" s="39"/>
      <c r="W18" s="39"/>
      <c r="X18" s="39" t="s">
        <v>2</v>
      </c>
      <c r="Y18" s="39" t="s">
        <v>2</v>
      </c>
      <c r="Z18" s="39"/>
      <c r="AA18" s="39"/>
      <c r="AB18" s="39"/>
      <c r="AC18" s="39"/>
      <c r="AD18" s="39"/>
      <c r="AE18" s="39"/>
      <c r="AF18" s="39" t="s">
        <v>2</v>
      </c>
      <c r="AH18" s="20">
        <f t="shared" si="0"/>
        <v>0</v>
      </c>
      <c r="AI18" s="20">
        <f t="shared" si="1"/>
        <v>0</v>
      </c>
    </row>
    <row r="19" spans="1:35" ht="20.100000000000001" hidden="1" customHeight="1">
      <c r="A19" s="24" t="str">
        <f>ÖSSZES!$A$87</f>
        <v>Név16</v>
      </c>
      <c r="B19" s="39"/>
      <c r="C19" s="39"/>
      <c r="D19" s="39"/>
      <c r="E19" s="39"/>
      <c r="F19" s="39"/>
      <c r="G19" s="39"/>
      <c r="H19" s="39" t="s">
        <v>2</v>
      </c>
      <c r="I19" s="39" t="s">
        <v>2</v>
      </c>
      <c r="J19" s="39"/>
      <c r="K19" s="39"/>
      <c r="L19" s="39"/>
      <c r="M19" s="39"/>
      <c r="N19" s="39"/>
      <c r="O19" s="39"/>
      <c r="P19" s="39" t="s">
        <v>2</v>
      </c>
      <c r="Q19" s="39" t="s">
        <v>2</v>
      </c>
      <c r="R19" s="39"/>
      <c r="S19" s="39"/>
      <c r="T19" s="39"/>
      <c r="U19" s="39"/>
      <c r="V19" s="39"/>
      <c r="W19" s="39"/>
      <c r="X19" s="39" t="s">
        <v>2</v>
      </c>
      <c r="Y19" s="39" t="s">
        <v>2</v>
      </c>
      <c r="Z19" s="39"/>
      <c r="AA19" s="39"/>
      <c r="AB19" s="39"/>
      <c r="AC19" s="39"/>
      <c r="AD19" s="39"/>
      <c r="AE19" s="39"/>
      <c r="AF19" s="39" t="s">
        <v>2</v>
      </c>
      <c r="AH19" s="20">
        <f t="shared" si="0"/>
        <v>0</v>
      </c>
      <c r="AI19" s="20">
        <f t="shared" si="1"/>
        <v>0</v>
      </c>
    </row>
    <row r="20" spans="1:35" ht="20.100000000000001" hidden="1" customHeight="1">
      <c r="A20" s="24" t="str">
        <f>ÖSSZES!$A$88</f>
        <v>Név17</v>
      </c>
      <c r="B20" s="39"/>
      <c r="C20" s="39"/>
      <c r="D20" s="39"/>
      <c r="E20" s="39"/>
      <c r="F20" s="39"/>
      <c r="G20" s="39"/>
      <c r="H20" s="39" t="s">
        <v>2</v>
      </c>
      <c r="I20" s="39" t="s">
        <v>2</v>
      </c>
      <c r="J20" s="39"/>
      <c r="K20" s="39"/>
      <c r="L20" s="39"/>
      <c r="M20" s="39"/>
      <c r="N20" s="39"/>
      <c r="O20" s="39"/>
      <c r="P20" s="39" t="s">
        <v>2</v>
      </c>
      <c r="Q20" s="39" t="s">
        <v>2</v>
      </c>
      <c r="R20" s="39"/>
      <c r="S20" s="39"/>
      <c r="T20" s="39"/>
      <c r="U20" s="39"/>
      <c r="V20" s="39"/>
      <c r="W20" s="39"/>
      <c r="X20" s="39" t="s">
        <v>2</v>
      </c>
      <c r="Y20" s="39" t="s">
        <v>2</v>
      </c>
      <c r="Z20" s="39"/>
      <c r="AA20" s="39"/>
      <c r="AB20" s="39"/>
      <c r="AC20" s="39"/>
      <c r="AD20" s="39"/>
      <c r="AE20" s="39"/>
      <c r="AF20" s="39" t="s">
        <v>2</v>
      </c>
      <c r="AH20" s="20">
        <f t="shared" si="0"/>
        <v>0</v>
      </c>
      <c r="AI20" s="20">
        <f t="shared" si="1"/>
        <v>0</v>
      </c>
    </row>
    <row r="21" spans="1:35" ht="20.100000000000001" hidden="1" customHeight="1">
      <c r="A21" s="24" t="str">
        <f>ÖSSZES!$A$89</f>
        <v>Név18</v>
      </c>
      <c r="B21" s="39"/>
      <c r="C21" s="39"/>
      <c r="D21" s="39"/>
      <c r="E21" s="39"/>
      <c r="F21" s="39"/>
      <c r="G21" s="39"/>
      <c r="H21" s="39" t="s">
        <v>2</v>
      </c>
      <c r="I21" s="39" t="s">
        <v>2</v>
      </c>
      <c r="J21" s="39"/>
      <c r="K21" s="39"/>
      <c r="L21" s="39"/>
      <c r="M21" s="39"/>
      <c r="N21" s="39"/>
      <c r="O21" s="39"/>
      <c r="P21" s="39" t="s">
        <v>2</v>
      </c>
      <c r="Q21" s="39" t="s">
        <v>2</v>
      </c>
      <c r="R21" s="39"/>
      <c r="S21" s="39"/>
      <c r="T21" s="39"/>
      <c r="U21" s="39"/>
      <c r="V21" s="39"/>
      <c r="W21" s="39"/>
      <c r="X21" s="39" t="s">
        <v>2</v>
      </c>
      <c r="Y21" s="39" t="s">
        <v>2</v>
      </c>
      <c r="Z21" s="39"/>
      <c r="AA21" s="39"/>
      <c r="AB21" s="39"/>
      <c r="AC21" s="39"/>
      <c r="AD21" s="39"/>
      <c r="AE21" s="39"/>
      <c r="AF21" s="39" t="s">
        <v>2</v>
      </c>
      <c r="AH21" s="20">
        <f t="shared" si="0"/>
        <v>0</v>
      </c>
      <c r="AI21" s="20">
        <f t="shared" si="1"/>
        <v>0</v>
      </c>
    </row>
    <row r="22" spans="1:35" ht="20.100000000000001" hidden="1" customHeight="1">
      <c r="A22" s="24" t="str">
        <f>ÖSSZES!$A$90</f>
        <v>Név19</v>
      </c>
      <c r="B22" s="39"/>
      <c r="C22" s="39"/>
      <c r="D22" s="39"/>
      <c r="E22" s="39"/>
      <c r="F22" s="39"/>
      <c r="G22" s="39"/>
      <c r="H22" s="39" t="s">
        <v>2</v>
      </c>
      <c r="I22" s="39" t="s">
        <v>2</v>
      </c>
      <c r="J22" s="39"/>
      <c r="K22" s="39"/>
      <c r="L22" s="39"/>
      <c r="M22" s="39"/>
      <c r="N22" s="39"/>
      <c r="O22" s="39"/>
      <c r="P22" s="39" t="s">
        <v>2</v>
      </c>
      <c r="Q22" s="39" t="s">
        <v>2</v>
      </c>
      <c r="R22" s="39"/>
      <c r="S22" s="39"/>
      <c r="T22" s="39"/>
      <c r="U22" s="39"/>
      <c r="V22" s="39"/>
      <c r="W22" s="39"/>
      <c r="X22" s="39" t="s">
        <v>2</v>
      </c>
      <c r="Y22" s="39" t="s">
        <v>2</v>
      </c>
      <c r="Z22" s="39"/>
      <c r="AA22" s="39"/>
      <c r="AB22" s="39"/>
      <c r="AC22" s="39"/>
      <c r="AD22" s="39"/>
      <c r="AE22" s="39"/>
      <c r="AF22" s="39" t="s">
        <v>2</v>
      </c>
      <c r="AH22" s="20">
        <f t="shared" si="0"/>
        <v>0</v>
      </c>
      <c r="AI22" s="20">
        <f t="shared" si="1"/>
        <v>0</v>
      </c>
    </row>
    <row r="23" spans="1:35" ht="20.100000000000001" hidden="1" customHeight="1">
      <c r="A23" s="24" t="str">
        <f>ÖSSZES!$A$91</f>
        <v>Név20</v>
      </c>
      <c r="B23" s="39"/>
      <c r="C23" s="39"/>
      <c r="D23" s="39"/>
      <c r="E23" s="39"/>
      <c r="F23" s="39"/>
      <c r="G23" s="39"/>
      <c r="H23" s="39" t="s">
        <v>2</v>
      </c>
      <c r="I23" s="39" t="s">
        <v>2</v>
      </c>
      <c r="J23" s="39"/>
      <c r="K23" s="39"/>
      <c r="L23" s="39"/>
      <c r="M23" s="39"/>
      <c r="N23" s="39"/>
      <c r="O23" s="39"/>
      <c r="P23" s="39" t="s">
        <v>2</v>
      </c>
      <c r="Q23" s="39" t="s">
        <v>2</v>
      </c>
      <c r="R23" s="39"/>
      <c r="S23" s="39"/>
      <c r="T23" s="39"/>
      <c r="U23" s="39"/>
      <c r="V23" s="39"/>
      <c r="W23" s="39"/>
      <c r="X23" s="39" t="s">
        <v>2</v>
      </c>
      <c r="Y23" s="39" t="s">
        <v>2</v>
      </c>
      <c r="Z23" s="39"/>
      <c r="AA23" s="39"/>
      <c r="AB23" s="39"/>
      <c r="AC23" s="39"/>
      <c r="AD23" s="39"/>
      <c r="AE23" s="39"/>
      <c r="AF23" s="39" t="s">
        <v>2</v>
      </c>
      <c r="AH23" s="20">
        <f t="shared" si="0"/>
        <v>0</v>
      </c>
      <c r="AI23" s="20">
        <f t="shared" si="1"/>
        <v>0</v>
      </c>
    </row>
    <row r="24" spans="1:35" ht="20.100000000000001" customHeight="1"/>
    <row r="25" spans="1:35" s="11" customFormat="1" ht="20.100000000000001" customHeight="1">
      <c r="A25" s="57" t="s">
        <v>6</v>
      </c>
      <c r="B25" s="23">
        <v>1</v>
      </c>
      <c r="C25" s="23">
        <v>2</v>
      </c>
      <c r="D25" s="23">
        <v>3</v>
      </c>
      <c r="E25" s="23">
        <v>4</v>
      </c>
      <c r="F25" s="23">
        <v>5</v>
      </c>
      <c r="G25" s="23">
        <v>6</v>
      </c>
      <c r="H25" s="23">
        <v>7</v>
      </c>
      <c r="I25" s="23">
        <v>8</v>
      </c>
      <c r="J25" s="23">
        <v>9</v>
      </c>
      <c r="K25" s="23">
        <v>10</v>
      </c>
      <c r="L25" s="23">
        <v>11</v>
      </c>
      <c r="M25" s="23">
        <v>12</v>
      </c>
      <c r="N25" s="23">
        <v>13</v>
      </c>
      <c r="O25" s="23">
        <v>14</v>
      </c>
      <c r="P25" s="23">
        <v>15</v>
      </c>
      <c r="Q25" s="23">
        <v>16</v>
      </c>
      <c r="R25" s="23">
        <v>17</v>
      </c>
      <c r="S25" s="23">
        <v>18</v>
      </c>
      <c r="T25" s="23">
        <v>19</v>
      </c>
      <c r="U25" s="23">
        <v>20</v>
      </c>
      <c r="V25" s="23">
        <v>21</v>
      </c>
      <c r="W25" s="23">
        <v>22</v>
      </c>
      <c r="X25" s="23">
        <v>23</v>
      </c>
      <c r="Y25" s="23">
        <v>24</v>
      </c>
      <c r="Z25" s="23">
        <v>25</v>
      </c>
      <c r="AA25" s="23">
        <v>26</v>
      </c>
      <c r="AB25" s="23">
        <v>27</v>
      </c>
      <c r="AC25" s="23">
        <v>28</v>
      </c>
      <c r="AH25" s="59" t="s">
        <v>18</v>
      </c>
      <c r="AI25" s="59" t="s">
        <v>19</v>
      </c>
    </row>
    <row r="26" spans="1:35" ht="20.100000000000001" customHeight="1">
      <c r="A26" s="61"/>
      <c r="B26" s="15" t="str">
        <f>'2021'!B12</f>
        <v>H</v>
      </c>
      <c r="C26" s="15" t="str">
        <f>'2021'!C12</f>
        <v>K</v>
      </c>
      <c r="D26" s="15" t="str">
        <f>'2021'!D12</f>
        <v>Sze</v>
      </c>
      <c r="E26" s="15" t="str">
        <f>'2021'!E12</f>
        <v>Cs</v>
      </c>
      <c r="F26" s="15" t="str">
        <f>'2021'!F12</f>
        <v>P</v>
      </c>
      <c r="G26" s="15" t="str">
        <f>'2021'!G12</f>
        <v>Szo</v>
      </c>
      <c r="H26" s="15" t="str">
        <f>'2021'!H12</f>
        <v>V</v>
      </c>
      <c r="I26" s="15" t="str">
        <f>'2021'!I12</f>
        <v>H</v>
      </c>
      <c r="J26" s="15" t="str">
        <f>'2021'!J12</f>
        <v>K</v>
      </c>
      <c r="K26" s="15" t="str">
        <f>'2021'!K12</f>
        <v>Sze</v>
      </c>
      <c r="L26" s="15" t="str">
        <f>'2021'!L12</f>
        <v>Cs</v>
      </c>
      <c r="M26" s="15" t="str">
        <f>'2021'!M12</f>
        <v>P</v>
      </c>
      <c r="N26" s="15" t="str">
        <f>'2021'!N12</f>
        <v>Szo</v>
      </c>
      <c r="O26" s="15" t="str">
        <f>'2021'!O12</f>
        <v>V</v>
      </c>
      <c r="P26" s="15" t="str">
        <f>'2021'!P12</f>
        <v>H</v>
      </c>
      <c r="Q26" s="15" t="str">
        <f>'2021'!Q12</f>
        <v>K</v>
      </c>
      <c r="R26" s="15" t="str">
        <f>'2021'!R12</f>
        <v>Sze</v>
      </c>
      <c r="S26" s="15" t="str">
        <f>'2021'!S12</f>
        <v>Cs</v>
      </c>
      <c r="T26" s="15" t="str">
        <f>'2021'!T12</f>
        <v>P</v>
      </c>
      <c r="U26" s="15" t="str">
        <f>'2021'!U12</f>
        <v>Szo</v>
      </c>
      <c r="V26" s="15" t="str">
        <f>'2021'!V12</f>
        <v>V</v>
      </c>
      <c r="W26" s="15" t="str">
        <f>'2021'!W12</f>
        <v>H</v>
      </c>
      <c r="X26" s="15" t="str">
        <f>'2021'!X12</f>
        <v>K</v>
      </c>
      <c r="Y26" s="15" t="str">
        <f>'2021'!Y12</f>
        <v>Sze</v>
      </c>
      <c r="Z26" s="15" t="str">
        <f>'2021'!Z12</f>
        <v>Cs</v>
      </c>
      <c r="AA26" s="15" t="str">
        <f>'2021'!AA12</f>
        <v>P</v>
      </c>
      <c r="AB26" s="15" t="str">
        <f>'2021'!AB12</f>
        <v>Szo</v>
      </c>
      <c r="AC26" s="15" t="str">
        <f>'2021'!AC12</f>
        <v>V</v>
      </c>
      <c r="AD26" s="6"/>
      <c r="AE26" s="6"/>
      <c r="AF26" s="6"/>
      <c r="AH26" s="60"/>
      <c r="AI26" s="60"/>
    </row>
    <row r="27" spans="1:35" ht="20.100000000000001" customHeight="1">
      <c r="A27" s="61"/>
      <c r="B27" s="15" t="str">
        <f>'2021'!B16</f>
        <v>X</v>
      </c>
      <c r="C27" s="15">
        <f>'2021'!C16</f>
        <v>3</v>
      </c>
      <c r="D27" s="15">
        <f>'2021'!D16</f>
        <v>3</v>
      </c>
      <c r="E27" s="15">
        <f>'2021'!E16</f>
        <v>3</v>
      </c>
      <c r="F27" s="15">
        <f>'2021'!F16</f>
        <v>3</v>
      </c>
      <c r="G27" s="15">
        <f>'2021'!G16</f>
        <v>3</v>
      </c>
      <c r="H27" s="15">
        <f>'2021'!H16</f>
        <v>3</v>
      </c>
      <c r="I27" s="15" t="str">
        <f>'2021'!I16</f>
        <v>X</v>
      </c>
      <c r="J27" s="15" t="str">
        <f>'2021'!J16</f>
        <v>X</v>
      </c>
      <c r="K27" s="15">
        <f>'2021'!K16</f>
        <v>2</v>
      </c>
      <c r="L27" s="15">
        <f>'2021'!L16</f>
        <v>2</v>
      </c>
      <c r="M27" s="15">
        <f>'2021'!M16</f>
        <v>2</v>
      </c>
      <c r="N27" s="15">
        <f>'2021'!N16</f>
        <v>2</v>
      </c>
      <c r="O27" s="15">
        <f>'2021'!O16</f>
        <v>2</v>
      </c>
      <c r="P27" s="15">
        <f>'2021'!P16</f>
        <v>2</v>
      </c>
      <c r="Q27" s="15" t="str">
        <f>'2021'!Q16</f>
        <v>X</v>
      </c>
      <c r="R27" s="15" t="str">
        <f>'2021'!R16</f>
        <v>X</v>
      </c>
      <c r="S27" s="15">
        <f>'2021'!S16</f>
        <v>1</v>
      </c>
      <c r="T27" s="15">
        <f>'2021'!T16</f>
        <v>1</v>
      </c>
      <c r="U27" s="15">
        <f>'2021'!U16</f>
        <v>1</v>
      </c>
      <c r="V27" s="15">
        <f>'2021'!V16</f>
        <v>1</v>
      </c>
      <c r="W27" s="15">
        <f>'2021'!W16</f>
        <v>1</v>
      </c>
      <c r="X27" s="15">
        <f>'2021'!X16</f>
        <v>1</v>
      </c>
      <c r="Y27" s="15" t="str">
        <f>'2021'!Y16</f>
        <v>X</v>
      </c>
      <c r="Z27" s="15" t="str">
        <f>'2021'!Z16</f>
        <v>X</v>
      </c>
      <c r="AA27" s="15">
        <f>'2021'!AA16</f>
        <v>3</v>
      </c>
      <c r="AB27" s="15">
        <f>'2021'!AB16</f>
        <v>3</v>
      </c>
      <c r="AC27" s="15">
        <f>'2021'!AC16</f>
        <v>3</v>
      </c>
      <c r="AD27" s="6"/>
      <c r="AE27" s="6"/>
      <c r="AF27" s="6"/>
      <c r="AH27" s="60"/>
      <c r="AI27" s="60"/>
    </row>
    <row r="28" spans="1:35" ht="20.100000000000001" customHeight="1">
      <c r="A28" s="24" t="str">
        <f>ÖSSZES!$A$72</f>
        <v>Daku Gábor</v>
      </c>
      <c r="B28" s="39" t="s">
        <v>2</v>
      </c>
      <c r="C28" s="39">
        <f>[1]D!C15</f>
        <v>0</v>
      </c>
      <c r="D28" s="39">
        <f>[1]D!D15</f>
        <v>0</v>
      </c>
      <c r="E28" s="39">
        <f>[1]D!E15</f>
        <v>0</v>
      </c>
      <c r="F28" s="39">
        <f>[1]D!F15</f>
        <v>0</v>
      </c>
      <c r="G28" s="39">
        <f>[1]D!G15</f>
        <v>0</v>
      </c>
      <c r="H28" s="39">
        <f>[1]D!H15</f>
        <v>0</v>
      </c>
      <c r="I28" s="39" t="str">
        <f>[1]D!I15</f>
        <v>X</v>
      </c>
      <c r="J28" s="39" t="str">
        <f>[1]D!J15</f>
        <v>X</v>
      </c>
      <c r="K28" s="39">
        <f>[1]D!K15</f>
        <v>0</v>
      </c>
      <c r="L28" s="39">
        <f>[1]D!L15</f>
        <v>0</v>
      </c>
      <c r="M28" s="39">
        <f>[1]D!M15</f>
        <v>0</v>
      </c>
      <c r="N28" s="39">
        <f>[1]D!N15</f>
        <v>0</v>
      </c>
      <c r="O28" s="39">
        <f>[1]D!O15</f>
        <v>0</v>
      </c>
      <c r="P28" s="39">
        <f>[1]D!P15</f>
        <v>0</v>
      </c>
      <c r="Q28" s="39" t="str">
        <f>[1]D!Q15</f>
        <v>X</v>
      </c>
      <c r="R28" s="39" t="str">
        <f>[1]D!R15</f>
        <v>X</v>
      </c>
      <c r="S28" s="39">
        <f>[1]D!S15</f>
        <v>0</v>
      </c>
      <c r="T28" s="39">
        <f>[1]D!T15</f>
        <v>0</v>
      </c>
      <c r="U28" s="39">
        <f>[1]D!U15</f>
        <v>0</v>
      </c>
      <c r="V28" s="39">
        <f>[1]D!V15</f>
        <v>0</v>
      </c>
      <c r="W28" s="39">
        <f>[1]D!W15</f>
        <v>0</v>
      </c>
      <c r="X28" s="39">
        <f>[1]D!X15</f>
        <v>0</v>
      </c>
      <c r="Y28" s="39" t="str">
        <f>[1]D!Y15</f>
        <v>X</v>
      </c>
      <c r="Z28" s="39" t="str">
        <f>[1]D!Z15</f>
        <v>X</v>
      </c>
      <c r="AA28" s="39">
        <f>[1]D!AA15</f>
        <v>0</v>
      </c>
      <c r="AB28" s="39">
        <f>[1]D!AB15</f>
        <v>0</v>
      </c>
      <c r="AC28" s="39">
        <f>[1]D!AC15</f>
        <v>0</v>
      </c>
      <c r="AD28" s="6"/>
      <c r="AE28" s="6"/>
      <c r="AF28" s="6"/>
      <c r="AH28" s="20">
        <f>1*COUNTIF(A28:AF28,"+")</f>
        <v>0</v>
      </c>
      <c r="AI28" s="20">
        <f t="shared" ref="AI28" si="2">1*COUNTIF(B28:AF28,"szf")</f>
        <v>0</v>
      </c>
    </row>
    <row r="29" spans="1:35" ht="20.100000000000001" customHeight="1">
      <c r="A29" s="24" t="str">
        <f>ÖSSZES!$A$73</f>
        <v>Borbély Csaba</v>
      </c>
      <c r="B29" s="39" t="s">
        <v>2</v>
      </c>
      <c r="C29" s="39">
        <f>[1]D!C16</f>
        <v>0</v>
      </c>
      <c r="D29" s="39">
        <f>[1]D!D16</f>
        <v>0</v>
      </c>
      <c r="E29" s="39">
        <f>[1]D!E16</f>
        <v>0</v>
      </c>
      <c r="F29" s="39">
        <f>[1]D!F16</f>
        <v>0</v>
      </c>
      <c r="G29" s="39">
        <f>[1]D!G16</f>
        <v>0</v>
      </c>
      <c r="H29" s="39">
        <f>[1]D!H16</f>
        <v>0</v>
      </c>
      <c r="I29" s="39" t="str">
        <f>[1]D!I16</f>
        <v>X</v>
      </c>
      <c r="J29" s="39" t="str">
        <f>[1]D!J16</f>
        <v>X</v>
      </c>
      <c r="K29" s="39">
        <f>[1]D!K16</f>
        <v>0</v>
      </c>
      <c r="L29" s="39">
        <f>[1]D!L16</f>
        <v>0</v>
      </c>
      <c r="M29" s="39">
        <f>[1]D!M16</f>
        <v>0</v>
      </c>
      <c r="N29" s="39">
        <f>[1]D!N16</f>
        <v>0</v>
      </c>
      <c r="O29" s="39">
        <f>[1]D!O16</f>
        <v>0</v>
      </c>
      <c r="P29" s="39">
        <f>[1]D!P16</f>
        <v>0</v>
      </c>
      <c r="Q29" s="39" t="str">
        <f>[1]D!Q16</f>
        <v>X</v>
      </c>
      <c r="R29" s="39" t="str">
        <f>[1]D!R16</f>
        <v>X</v>
      </c>
      <c r="S29" s="39">
        <f>[1]D!S16</f>
        <v>0</v>
      </c>
      <c r="T29" s="39">
        <f>[1]D!T16</f>
        <v>0</v>
      </c>
      <c r="U29" s="39">
        <f>[1]D!U16</f>
        <v>0</v>
      </c>
      <c r="V29" s="39">
        <f>[1]D!V16</f>
        <v>0</v>
      </c>
      <c r="W29" s="39">
        <f>[1]D!W16</f>
        <v>0</v>
      </c>
      <c r="X29" s="39">
        <f>[1]D!X16</f>
        <v>0</v>
      </c>
      <c r="Y29" s="39" t="str">
        <f>[1]D!Y16</f>
        <v>X</v>
      </c>
      <c r="Z29" s="39" t="str">
        <f>[1]D!Z16</f>
        <v>X</v>
      </c>
      <c r="AA29" s="39">
        <f>[1]D!AA16</f>
        <v>0</v>
      </c>
      <c r="AB29" s="39">
        <f>[1]D!AB16</f>
        <v>0</v>
      </c>
      <c r="AC29" s="39">
        <f>[1]D!AC16</f>
        <v>0</v>
      </c>
      <c r="AD29" s="6"/>
      <c r="AE29" s="6"/>
      <c r="AF29" s="6"/>
      <c r="AH29" s="20">
        <f t="shared" ref="AH29:AH47" si="3">1*COUNTIF(A29:AF29,"+")</f>
        <v>0</v>
      </c>
      <c r="AI29" s="20">
        <f t="shared" ref="AI29:AI47" si="4">1*COUNTIF(B29:AF29,"szf")</f>
        <v>0</v>
      </c>
    </row>
    <row r="30" spans="1:35" ht="20.100000000000001" customHeight="1">
      <c r="A30" s="24" t="str">
        <f>ÖSSZES!$A$74</f>
        <v>Erdei Bálint</v>
      </c>
      <c r="B30" s="39" t="s">
        <v>2</v>
      </c>
      <c r="C30" s="39">
        <f>[1]D!C17</f>
        <v>0</v>
      </c>
      <c r="D30" s="39">
        <f>[1]D!D17</f>
        <v>0</v>
      </c>
      <c r="E30" s="39">
        <f>[1]D!E17</f>
        <v>0</v>
      </c>
      <c r="F30" s="39">
        <f>[1]D!F17</f>
        <v>0</v>
      </c>
      <c r="G30" s="39">
        <f>[1]D!G17</f>
        <v>0</v>
      </c>
      <c r="H30" s="39">
        <f>[1]D!H17</f>
        <v>0</v>
      </c>
      <c r="I30" s="39" t="str">
        <f>[1]D!I17</f>
        <v>X</v>
      </c>
      <c r="J30" s="39" t="str">
        <f>[1]D!J17</f>
        <v>X</v>
      </c>
      <c r="K30" s="39">
        <f>[1]D!K17</f>
        <v>0</v>
      </c>
      <c r="L30" s="39">
        <f>[1]D!L17</f>
        <v>0</v>
      </c>
      <c r="M30" s="39">
        <f>[1]D!M17</f>
        <v>0</v>
      </c>
      <c r="N30" s="39">
        <f>[1]D!N17</f>
        <v>0</v>
      </c>
      <c r="O30" s="39">
        <f>[1]D!O17</f>
        <v>0</v>
      </c>
      <c r="P30" s="39">
        <f>[1]D!P17</f>
        <v>0</v>
      </c>
      <c r="Q30" s="39" t="str">
        <f>[1]D!Q17</f>
        <v>X</v>
      </c>
      <c r="R30" s="39" t="str">
        <f>[1]D!R17</f>
        <v>X</v>
      </c>
      <c r="S30" s="39">
        <f>[1]D!S17</f>
        <v>0</v>
      </c>
      <c r="T30" s="39">
        <f>[1]D!T17</f>
        <v>0</v>
      </c>
      <c r="U30" s="39">
        <f>[1]D!U17</f>
        <v>0</v>
      </c>
      <c r="V30" s="39">
        <f>[1]D!V17</f>
        <v>0</v>
      </c>
      <c r="W30" s="39">
        <f>[1]D!W17</f>
        <v>0</v>
      </c>
      <c r="X30" s="39">
        <f>[1]D!X17</f>
        <v>0</v>
      </c>
      <c r="Y30" s="39" t="str">
        <f>[1]D!Y17</f>
        <v>X</v>
      </c>
      <c r="Z30" s="39" t="str">
        <f>[1]D!Z17</f>
        <v>X</v>
      </c>
      <c r="AA30" s="39">
        <f>[1]D!AA17</f>
        <v>0</v>
      </c>
      <c r="AB30" s="39">
        <f>[1]D!AB17</f>
        <v>0</v>
      </c>
      <c r="AC30" s="39">
        <f>[1]D!AC17</f>
        <v>0</v>
      </c>
      <c r="AD30" s="6"/>
      <c r="AE30" s="6"/>
      <c r="AF30" s="6"/>
      <c r="AH30" s="20">
        <f t="shared" si="3"/>
        <v>0</v>
      </c>
      <c r="AI30" s="20">
        <f t="shared" si="4"/>
        <v>0</v>
      </c>
    </row>
    <row r="31" spans="1:35" ht="20.100000000000001" customHeight="1">
      <c r="A31" s="24" t="str">
        <f>ÖSSZES!$A$75</f>
        <v>Fábián Gábor</v>
      </c>
      <c r="B31" s="39" t="s">
        <v>2</v>
      </c>
      <c r="C31" s="39">
        <f>[1]D!C18</f>
        <v>0</v>
      </c>
      <c r="D31" s="39">
        <f>[1]D!D18</f>
        <v>0</v>
      </c>
      <c r="E31" s="39">
        <f>[1]D!E18</f>
        <v>0</v>
      </c>
      <c r="F31" s="39">
        <f>[1]D!F18</f>
        <v>0</v>
      </c>
      <c r="G31" s="39">
        <f>[1]D!G18</f>
        <v>0</v>
      </c>
      <c r="H31" s="39">
        <f>[1]D!H18</f>
        <v>0</v>
      </c>
      <c r="I31" s="39" t="str">
        <f>[1]D!I18</f>
        <v>X</v>
      </c>
      <c r="J31" s="39" t="str">
        <f>[1]D!J18</f>
        <v>X</v>
      </c>
      <c r="K31" s="39">
        <f>[1]D!K18</f>
        <v>0</v>
      </c>
      <c r="L31" s="39">
        <f>[1]D!L18</f>
        <v>0</v>
      </c>
      <c r="M31" s="39">
        <f>[1]D!M18</f>
        <v>0</v>
      </c>
      <c r="N31" s="39">
        <f>[1]D!N18</f>
        <v>0</v>
      </c>
      <c r="O31" s="39">
        <f>[1]D!O18</f>
        <v>0</v>
      </c>
      <c r="P31" s="39">
        <f>[1]D!P18</f>
        <v>0</v>
      </c>
      <c r="Q31" s="39" t="str">
        <f>[1]D!Q18</f>
        <v>X</v>
      </c>
      <c r="R31" s="39" t="str">
        <f>[1]D!R18</f>
        <v>X</v>
      </c>
      <c r="S31" s="39">
        <f>[1]D!S18</f>
        <v>0</v>
      </c>
      <c r="T31" s="39">
        <f>[1]D!T18</f>
        <v>0</v>
      </c>
      <c r="U31" s="39">
        <f>[1]D!U18</f>
        <v>0</v>
      </c>
      <c r="V31" s="39">
        <f>[1]D!V18</f>
        <v>0</v>
      </c>
      <c r="W31" s="39">
        <f>[1]D!W18</f>
        <v>0</v>
      </c>
      <c r="X31" s="39">
        <f>[1]D!X18</f>
        <v>0</v>
      </c>
      <c r="Y31" s="39" t="str">
        <f>[1]D!Y18</f>
        <v>X</v>
      </c>
      <c r="Z31" s="39" t="str">
        <f>[1]D!Z18</f>
        <v>X</v>
      </c>
      <c r="AA31" s="39">
        <f>[1]D!AA18</f>
        <v>0</v>
      </c>
      <c r="AB31" s="39">
        <f>[1]D!AB18</f>
        <v>0</v>
      </c>
      <c r="AC31" s="39">
        <f>[1]D!AC18</f>
        <v>0</v>
      </c>
      <c r="AD31" s="6"/>
      <c r="AE31" s="6"/>
      <c r="AF31" s="6"/>
      <c r="AH31" s="20">
        <f t="shared" si="3"/>
        <v>0</v>
      </c>
      <c r="AI31" s="20">
        <f t="shared" si="4"/>
        <v>0</v>
      </c>
    </row>
    <row r="32" spans="1:35" ht="20.100000000000001" customHeight="1">
      <c r="A32" s="24" t="str">
        <f>ÖSSZES!$A$76</f>
        <v>Gellei Zsolt</v>
      </c>
      <c r="B32" s="39" t="s">
        <v>2</v>
      </c>
      <c r="C32" s="39">
        <f>[1]D!C19</f>
        <v>0</v>
      </c>
      <c r="D32" s="39">
        <f>[1]D!D19</f>
        <v>0</v>
      </c>
      <c r="E32" s="39">
        <f>[1]D!E19</f>
        <v>0</v>
      </c>
      <c r="F32" s="39">
        <f>[1]D!F19</f>
        <v>0</v>
      </c>
      <c r="G32" s="39">
        <f>[1]D!G19</f>
        <v>0</v>
      </c>
      <c r="H32" s="39">
        <f>[1]D!H19</f>
        <v>0</v>
      </c>
      <c r="I32" s="39" t="str">
        <f>[1]D!I19</f>
        <v>X</v>
      </c>
      <c r="J32" s="39" t="str">
        <f>[1]D!J19</f>
        <v>X</v>
      </c>
      <c r="K32" s="39">
        <f>[1]D!K19</f>
        <v>0</v>
      </c>
      <c r="L32" s="39">
        <f>[1]D!L19</f>
        <v>0</v>
      </c>
      <c r="M32" s="39">
        <f>[1]D!M19</f>
        <v>0</v>
      </c>
      <c r="N32" s="39">
        <f>[1]D!N19</f>
        <v>0</v>
      </c>
      <c r="O32" s="39">
        <f>[1]D!O19</f>
        <v>0</v>
      </c>
      <c r="P32" s="39">
        <f>[1]D!P19</f>
        <v>0</v>
      </c>
      <c r="Q32" s="39" t="str">
        <f>[1]D!Q19</f>
        <v>X</v>
      </c>
      <c r="R32" s="39" t="str">
        <f>[1]D!R19</f>
        <v>X</v>
      </c>
      <c r="S32" s="39">
        <f>[1]D!S19</f>
        <v>0</v>
      </c>
      <c r="T32" s="39">
        <f>[1]D!T19</f>
        <v>0</v>
      </c>
      <c r="U32" s="39">
        <f>[1]D!U19</f>
        <v>0</v>
      </c>
      <c r="V32" s="39">
        <f>[1]D!V19</f>
        <v>0</v>
      </c>
      <c r="W32" s="39">
        <f>[1]D!W19</f>
        <v>0</v>
      </c>
      <c r="X32" s="39">
        <f>[1]D!X19</f>
        <v>0</v>
      </c>
      <c r="Y32" s="39" t="str">
        <f>[1]D!Y19</f>
        <v>X</v>
      </c>
      <c r="Z32" s="39" t="str">
        <f>[1]D!Z19</f>
        <v>X</v>
      </c>
      <c r="AA32" s="39">
        <f>[1]D!AA19</f>
        <v>0</v>
      </c>
      <c r="AB32" s="39">
        <f>[1]D!AB19</f>
        <v>0</v>
      </c>
      <c r="AC32" s="39">
        <f>[1]D!AC19</f>
        <v>0</v>
      </c>
      <c r="AD32" s="6"/>
      <c r="AE32" s="6"/>
      <c r="AF32" s="6"/>
      <c r="AH32" s="20">
        <f t="shared" si="3"/>
        <v>0</v>
      </c>
      <c r="AI32" s="20">
        <f t="shared" si="4"/>
        <v>0</v>
      </c>
    </row>
    <row r="33" spans="1:35" ht="20.100000000000001" customHeight="1">
      <c r="A33" s="24" t="str">
        <f>ÖSSZES!$A$77</f>
        <v>Kiss Gyula</v>
      </c>
      <c r="B33" s="39" t="s">
        <v>2</v>
      </c>
      <c r="C33" s="39">
        <f>[1]D!C20</f>
        <v>0</v>
      </c>
      <c r="D33" s="39">
        <f>[1]D!D20</f>
        <v>0</v>
      </c>
      <c r="E33" s="39">
        <f>[1]D!E20</f>
        <v>0</v>
      </c>
      <c r="F33" s="39">
        <f>[1]D!F20</f>
        <v>0</v>
      </c>
      <c r="G33" s="39">
        <f>[1]D!G20</f>
        <v>0</v>
      </c>
      <c r="H33" s="39">
        <f>[1]D!H20</f>
        <v>0</v>
      </c>
      <c r="I33" s="39" t="str">
        <f>[1]D!I20</f>
        <v>X</v>
      </c>
      <c r="J33" s="39" t="str">
        <f>[1]D!J20</f>
        <v>X</v>
      </c>
      <c r="K33" s="39">
        <f>[1]D!K20</f>
        <v>0</v>
      </c>
      <c r="L33" s="39">
        <f>[1]D!L20</f>
        <v>0</v>
      </c>
      <c r="M33" s="39">
        <f>[1]D!M20</f>
        <v>0</v>
      </c>
      <c r="N33" s="39">
        <f>[1]D!N20</f>
        <v>0</v>
      </c>
      <c r="O33" s="39">
        <f>[1]D!O20</f>
        <v>0</v>
      </c>
      <c r="P33" s="39">
        <f>[1]D!P20</f>
        <v>0</v>
      </c>
      <c r="Q33" s="39" t="str">
        <f>[1]D!Q20</f>
        <v>X</v>
      </c>
      <c r="R33" s="39" t="str">
        <f>[1]D!R20</f>
        <v>X</v>
      </c>
      <c r="S33" s="39">
        <f>[1]D!S20</f>
        <v>0</v>
      </c>
      <c r="T33" s="39">
        <f>[1]D!T20</f>
        <v>0</v>
      </c>
      <c r="U33" s="39">
        <f>[1]D!U20</f>
        <v>0</v>
      </c>
      <c r="V33" s="39">
        <f>[1]D!V20</f>
        <v>0</v>
      </c>
      <c r="W33" s="39">
        <f>[1]D!W20</f>
        <v>0</v>
      </c>
      <c r="X33" s="39">
        <f>[1]D!X20</f>
        <v>0</v>
      </c>
      <c r="Y33" s="39" t="str">
        <f>[1]D!Y20</f>
        <v>X</v>
      </c>
      <c r="Z33" s="39" t="str">
        <f>[1]D!Z20</f>
        <v>X</v>
      </c>
      <c r="AA33" s="39">
        <f>[1]D!AA20</f>
        <v>0</v>
      </c>
      <c r="AB33" s="39">
        <f>[1]D!AB20</f>
        <v>0</v>
      </c>
      <c r="AC33" s="39">
        <f>[1]D!AC20</f>
        <v>0</v>
      </c>
      <c r="AD33" s="6"/>
      <c r="AE33" s="6"/>
      <c r="AF33" s="6"/>
      <c r="AH33" s="20">
        <f t="shared" si="3"/>
        <v>0</v>
      </c>
      <c r="AI33" s="20">
        <f t="shared" si="4"/>
        <v>0</v>
      </c>
    </row>
    <row r="34" spans="1:35" ht="20.100000000000001" customHeight="1">
      <c r="A34" s="24" t="str">
        <f>ÖSSZES!$A$78</f>
        <v>Nagy István</v>
      </c>
      <c r="B34" s="39" t="s">
        <v>2</v>
      </c>
      <c r="C34" s="39">
        <f>[1]D!C21</f>
        <v>0</v>
      </c>
      <c r="D34" s="39">
        <f>[1]D!D21</f>
        <v>0</v>
      </c>
      <c r="E34" s="39">
        <f>[1]D!E21</f>
        <v>0</v>
      </c>
      <c r="F34" s="39">
        <f>[1]D!F21</f>
        <v>0</v>
      </c>
      <c r="G34" s="39">
        <f>[1]D!G21</f>
        <v>0</v>
      </c>
      <c r="H34" s="39">
        <f>[1]D!H21</f>
        <v>0</v>
      </c>
      <c r="I34" s="39" t="str">
        <f>[1]D!I21</f>
        <v>X</v>
      </c>
      <c r="J34" s="39" t="str">
        <f>[1]D!J21</f>
        <v>X</v>
      </c>
      <c r="K34" s="39">
        <f>[1]D!K21</f>
        <v>0</v>
      </c>
      <c r="L34" s="39">
        <f>[1]D!L21</f>
        <v>0</v>
      </c>
      <c r="M34" s="39">
        <f>[1]D!M21</f>
        <v>0</v>
      </c>
      <c r="N34" s="39">
        <f>[1]D!N21</f>
        <v>0</v>
      </c>
      <c r="O34" s="39">
        <f>[1]D!O21</f>
        <v>0</v>
      </c>
      <c r="P34" s="39">
        <f>[1]D!P21</f>
        <v>0</v>
      </c>
      <c r="Q34" s="39" t="str">
        <f>[1]D!Q21</f>
        <v>X</v>
      </c>
      <c r="R34" s="39" t="str">
        <f>[1]D!R21</f>
        <v>X</v>
      </c>
      <c r="S34" s="39">
        <f>[1]D!S21</f>
        <v>0</v>
      </c>
      <c r="T34" s="39">
        <f>[1]D!T21</f>
        <v>0</v>
      </c>
      <c r="U34" s="39">
        <f>[1]D!U21</f>
        <v>0</v>
      </c>
      <c r="V34" s="39">
        <f>[1]D!V21</f>
        <v>0</v>
      </c>
      <c r="W34" s="39">
        <f>[1]D!W21</f>
        <v>0</v>
      </c>
      <c r="X34" s="39">
        <f>[1]D!X21</f>
        <v>0</v>
      </c>
      <c r="Y34" s="39" t="str">
        <f>[1]D!Y21</f>
        <v>X</v>
      </c>
      <c r="Z34" s="39" t="str">
        <f>[1]D!Z21</f>
        <v>X</v>
      </c>
      <c r="AA34" s="39">
        <f>[1]D!AA21</f>
        <v>0</v>
      </c>
      <c r="AB34" s="39">
        <f>[1]D!AB21</f>
        <v>0</v>
      </c>
      <c r="AC34" s="39">
        <f>[1]D!AC21</f>
        <v>0</v>
      </c>
      <c r="AD34" s="6"/>
      <c r="AE34" s="6"/>
      <c r="AF34" s="6"/>
      <c r="AH34" s="20">
        <f t="shared" si="3"/>
        <v>0</v>
      </c>
      <c r="AI34" s="20">
        <f t="shared" si="4"/>
        <v>0</v>
      </c>
    </row>
    <row r="35" spans="1:35" ht="20.100000000000001" hidden="1" customHeight="1">
      <c r="A35" s="24" t="str">
        <f>ÖSSZES!$A$79</f>
        <v>Név8</v>
      </c>
      <c r="B35" s="39" t="s">
        <v>2</v>
      </c>
      <c r="C35" s="39"/>
      <c r="D35" s="39"/>
      <c r="E35" s="39"/>
      <c r="F35" s="39"/>
      <c r="G35" s="39"/>
      <c r="H35" s="39"/>
      <c r="I35" s="39" t="s">
        <v>2</v>
      </c>
      <c r="J35" s="39" t="s">
        <v>2</v>
      </c>
      <c r="K35" s="39"/>
      <c r="L35" s="39"/>
      <c r="M35" s="39"/>
      <c r="N35" s="39"/>
      <c r="O35" s="39"/>
      <c r="P35" s="39"/>
      <c r="Q35" s="39" t="s">
        <v>2</v>
      </c>
      <c r="R35" s="39" t="s">
        <v>2</v>
      </c>
      <c r="S35" s="39"/>
      <c r="T35" s="39"/>
      <c r="U35" s="39"/>
      <c r="V35" s="39"/>
      <c r="W35" s="39"/>
      <c r="X35" s="39"/>
      <c r="Y35" s="39" t="s">
        <v>2</v>
      </c>
      <c r="Z35" s="39" t="s">
        <v>2</v>
      </c>
      <c r="AA35" s="39"/>
      <c r="AB35" s="39"/>
      <c r="AC35" s="39"/>
      <c r="AD35" s="6"/>
      <c r="AE35" s="6"/>
      <c r="AF35" s="6"/>
      <c r="AH35" s="20">
        <f t="shared" si="3"/>
        <v>0</v>
      </c>
      <c r="AI35" s="20">
        <f t="shared" si="4"/>
        <v>0</v>
      </c>
    </row>
    <row r="36" spans="1:35" ht="20.100000000000001" hidden="1" customHeight="1">
      <c r="A36" s="24" t="str">
        <f>ÖSSZES!$A$80</f>
        <v>Név9</v>
      </c>
      <c r="B36" s="39" t="s">
        <v>2</v>
      </c>
      <c r="C36" s="39"/>
      <c r="D36" s="39"/>
      <c r="E36" s="39"/>
      <c r="F36" s="39"/>
      <c r="G36" s="39"/>
      <c r="H36" s="39"/>
      <c r="I36" s="39" t="s">
        <v>2</v>
      </c>
      <c r="J36" s="39" t="s">
        <v>2</v>
      </c>
      <c r="K36" s="39"/>
      <c r="L36" s="39"/>
      <c r="M36" s="39"/>
      <c r="N36" s="39"/>
      <c r="O36" s="39"/>
      <c r="P36" s="39"/>
      <c r="Q36" s="39" t="s">
        <v>2</v>
      </c>
      <c r="R36" s="39" t="s">
        <v>2</v>
      </c>
      <c r="S36" s="39"/>
      <c r="T36" s="39"/>
      <c r="U36" s="39"/>
      <c r="V36" s="39"/>
      <c r="W36" s="39"/>
      <c r="X36" s="39"/>
      <c r="Y36" s="39" t="s">
        <v>2</v>
      </c>
      <c r="Z36" s="39" t="s">
        <v>2</v>
      </c>
      <c r="AA36" s="39"/>
      <c r="AB36" s="39"/>
      <c r="AC36" s="39"/>
      <c r="AD36" s="6"/>
      <c r="AE36" s="6"/>
      <c r="AF36" s="6"/>
      <c r="AH36" s="20">
        <f t="shared" si="3"/>
        <v>0</v>
      </c>
      <c r="AI36" s="20">
        <f t="shared" si="4"/>
        <v>0</v>
      </c>
    </row>
    <row r="37" spans="1:35" ht="20.100000000000001" hidden="1" customHeight="1">
      <c r="A37" s="24" t="str">
        <f>ÖSSZES!$A$81</f>
        <v>Név10</v>
      </c>
      <c r="B37" s="39" t="s">
        <v>2</v>
      </c>
      <c r="C37" s="39"/>
      <c r="D37" s="39"/>
      <c r="E37" s="39"/>
      <c r="F37" s="39"/>
      <c r="G37" s="39"/>
      <c r="H37" s="39"/>
      <c r="I37" s="39" t="s">
        <v>2</v>
      </c>
      <c r="J37" s="39" t="s">
        <v>2</v>
      </c>
      <c r="K37" s="39"/>
      <c r="L37" s="39"/>
      <c r="M37" s="39"/>
      <c r="N37" s="39"/>
      <c r="O37" s="39"/>
      <c r="P37" s="39"/>
      <c r="Q37" s="39" t="s">
        <v>2</v>
      </c>
      <c r="R37" s="39" t="s">
        <v>2</v>
      </c>
      <c r="S37" s="39"/>
      <c r="T37" s="39"/>
      <c r="U37" s="39"/>
      <c r="V37" s="39"/>
      <c r="W37" s="39"/>
      <c r="X37" s="39"/>
      <c r="Y37" s="39" t="s">
        <v>2</v>
      </c>
      <c r="Z37" s="39" t="s">
        <v>2</v>
      </c>
      <c r="AA37" s="39"/>
      <c r="AB37" s="39"/>
      <c r="AC37" s="39"/>
      <c r="AD37" s="6"/>
      <c r="AE37" s="6"/>
      <c r="AF37" s="6"/>
      <c r="AH37" s="20">
        <f t="shared" si="3"/>
        <v>0</v>
      </c>
      <c r="AI37" s="20">
        <f t="shared" si="4"/>
        <v>0</v>
      </c>
    </row>
    <row r="38" spans="1:35" ht="20.100000000000001" hidden="1" customHeight="1">
      <c r="A38" s="24" t="str">
        <f>ÖSSZES!$A$82</f>
        <v>Név11</v>
      </c>
      <c r="B38" s="39" t="s">
        <v>2</v>
      </c>
      <c r="C38" s="39"/>
      <c r="D38" s="39"/>
      <c r="E38" s="39"/>
      <c r="F38" s="39"/>
      <c r="G38" s="39"/>
      <c r="H38" s="39"/>
      <c r="I38" s="39" t="s">
        <v>2</v>
      </c>
      <c r="J38" s="39" t="s">
        <v>2</v>
      </c>
      <c r="K38" s="39"/>
      <c r="L38" s="39"/>
      <c r="M38" s="39"/>
      <c r="N38" s="39"/>
      <c r="O38" s="39"/>
      <c r="P38" s="39"/>
      <c r="Q38" s="39" t="s">
        <v>2</v>
      </c>
      <c r="R38" s="39" t="s">
        <v>2</v>
      </c>
      <c r="S38" s="39"/>
      <c r="T38" s="39"/>
      <c r="U38" s="39"/>
      <c r="V38" s="39"/>
      <c r="W38" s="39"/>
      <c r="X38" s="39"/>
      <c r="Y38" s="39" t="s">
        <v>2</v>
      </c>
      <c r="Z38" s="39" t="s">
        <v>2</v>
      </c>
      <c r="AA38" s="39"/>
      <c r="AB38" s="39"/>
      <c r="AC38" s="39"/>
      <c r="AD38" s="6"/>
      <c r="AE38" s="6"/>
      <c r="AF38" s="6"/>
      <c r="AH38" s="20">
        <f t="shared" si="3"/>
        <v>0</v>
      </c>
      <c r="AI38" s="20">
        <f t="shared" si="4"/>
        <v>0</v>
      </c>
    </row>
    <row r="39" spans="1:35" ht="20.100000000000001" hidden="1" customHeight="1">
      <c r="A39" s="24" t="str">
        <f>ÖSSZES!$A$83</f>
        <v>Név12</v>
      </c>
      <c r="B39" s="39" t="s">
        <v>2</v>
      </c>
      <c r="C39" s="39"/>
      <c r="D39" s="39"/>
      <c r="E39" s="39"/>
      <c r="F39" s="39"/>
      <c r="G39" s="39"/>
      <c r="H39" s="39"/>
      <c r="I39" s="39" t="s">
        <v>2</v>
      </c>
      <c r="J39" s="39" t="s">
        <v>2</v>
      </c>
      <c r="K39" s="39"/>
      <c r="L39" s="39"/>
      <c r="M39" s="39"/>
      <c r="N39" s="39"/>
      <c r="O39" s="39"/>
      <c r="P39" s="39"/>
      <c r="Q39" s="39" t="s">
        <v>2</v>
      </c>
      <c r="R39" s="39" t="s">
        <v>2</v>
      </c>
      <c r="S39" s="39"/>
      <c r="T39" s="39"/>
      <c r="U39" s="39"/>
      <c r="V39" s="39"/>
      <c r="W39" s="39"/>
      <c r="X39" s="39"/>
      <c r="Y39" s="39" t="s">
        <v>2</v>
      </c>
      <c r="Z39" s="39" t="s">
        <v>2</v>
      </c>
      <c r="AA39" s="39"/>
      <c r="AB39" s="39"/>
      <c r="AC39" s="39"/>
      <c r="AD39" s="6"/>
      <c r="AE39" s="6"/>
      <c r="AF39" s="6"/>
      <c r="AH39" s="20">
        <f t="shared" si="3"/>
        <v>0</v>
      </c>
      <c r="AI39" s="20">
        <f t="shared" si="4"/>
        <v>0</v>
      </c>
    </row>
    <row r="40" spans="1:35" ht="20.100000000000001" hidden="1" customHeight="1">
      <c r="A40" s="24" t="str">
        <f>ÖSSZES!$A$84</f>
        <v>Név13</v>
      </c>
      <c r="B40" s="39" t="s">
        <v>2</v>
      </c>
      <c r="C40" s="39"/>
      <c r="D40" s="39"/>
      <c r="E40" s="39"/>
      <c r="F40" s="39"/>
      <c r="G40" s="39"/>
      <c r="H40" s="39"/>
      <c r="I40" s="39" t="s">
        <v>2</v>
      </c>
      <c r="J40" s="39" t="s">
        <v>2</v>
      </c>
      <c r="K40" s="39"/>
      <c r="L40" s="39"/>
      <c r="M40" s="39"/>
      <c r="N40" s="39"/>
      <c r="O40" s="39"/>
      <c r="P40" s="39"/>
      <c r="Q40" s="39" t="s">
        <v>2</v>
      </c>
      <c r="R40" s="39" t="s">
        <v>2</v>
      </c>
      <c r="S40" s="39"/>
      <c r="T40" s="39"/>
      <c r="U40" s="39"/>
      <c r="V40" s="39"/>
      <c r="W40" s="39"/>
      <c r="X40" s="39"/>
      <c r="Y40" s="39" t="s">
        <v>2</v>
      </c>
      <c r="Z40" s="39" t="s">
        <v>2</v>
      </c>
      <c r="AA40" s="39"/>
      <c r="AB40" s="39"/>
      <c r="AC40" s="39"/>
      <c r="AD40" s="6"/>
      <c r="AE40" s="6"/>
      <c r="AF40" s="6"/>
      <c r="AH40" s="20">
        <f t="shared" si="3"/>
        <v>0</v>
      </c>
      <c r="AI40" s="20">
        <f t="shared" si="4"/>
        <v>0</v>
      </c>
    </row>
    <row r="41" spans="1:35" ht="20.100000000000001" hidden="1" customHeight="1">
      <c r="A41" s="24" t="str">
        <f>ÖSSZES!$A$85</f>
        <v>Név14</v>
      </c>
      <c r="B41" s="39" t="s">
        <v>2</v>
      </c>
      <c r="C41" s="39"/>
      <c r="D41" s="39"/>
      <c r="E41" s="39"/>
      <c r="F41" s="39"/>
      <c r="G41" s="39"/>
      <c r="H41" s="39"/>
      <c r="I41" s="39" t="s">
        <v>2</v>
      </c>
      <c r="J41" s="39" t="s">
        <v>2</v>
      </c>
      <c r="K41" s="39"/>
      <c r="L41" s="39"/>
      <c r="M41" s="39"/>
      <c r="N41" s="39"/>
      <c r="O41" s="39"/>
      <c r="P41" s="39"/>
      <c r="Q41" s="39" t="s">
        <v>2</v>
      </c>
      <c r="R41" s="39" t="s">
        <v>2</v>
      </c>
      <c r="S41" s="39"/>
      <c r="T41" s="39"/>
      <c r="U41" s="39"/>
      <c r="V41" s="39"/>
      <c r="W41" s="39"/>
      <c r="X41" s="39"/>
      <c r="Y41" s="39" t="s">
        <v>2</v>
      </c>
      <c r="Z41" s="39" t="s">
        <v>2</v>
      </c>
      <c r="AA41" s="39"/>
      <c r="AB41" s="39"/>
      <c r="AC41" s="39"/>
      <c r="AD41" s="6"/>
      <c r="AE41" s="6"/>
      <c r="AF41" s="6"/>
      <c r="AH41" s="20">
        <f t="shared" si="3"/>
        <v>0</v>
      </c>
      <c r="AI41" s="20">
        <f t="shared" si="4"/>
        <v>0</v>
      </c>
    </row>
    <row r="42" spans="1:35" ht="20.100000000000001" hidden="1" customHeight="1">
      <c r="A42" s="24" t="str">
        <f>ÖSSZES!$A$86</f>
        <v>Név15</v>
      </c>
      <c r="B42" s="39" t="s">
        <v>2</v>
      </c>
      <c r="C42" s="39"/>
      <c r="D42" s="39"/>
      <c r="E42" s="39"/>
      <c r="F42" s="39"/>
      <c r="G42" s="39"/>
      <c r="H42" s="39"/>
      <c r="I42" s="39" t="s">
        <v>2</v>
      </c>
      <c r="J42" s="39" t="s">
        <v>2</v>
      </c>
      <c r="K42" s="39"/>
      <c r="L42" s="39"/>
      <c r="M42" s="39"/>
      <c r="N42" s="39"/>
      <c r="O42" s="39"/>
      <c r="P42" s="39"/>
      <c r="Q42" s="39" t="s">
        <v>2</v>
      </c>
      <c r="R42" s="39" t="s">
        <v>2</v>
      </c>
      <c r="S42" s="39"/>
      <c r="T42" s="39"/>
      <c r="U42" s="39"/>
      <c r="V42" s="39"/>
      <c r="W42" s="39"/>
      <c r="X42" s="39"/>
      <c r="Y42" s="39" t="s">
        <v>2</v>
      </c>
      <c r="Z42" s="39" t="s">
        <v>2</v>
      </c>
      <c r="AA42" s="39"/>
      <c r="AB42" s="39"/>
      <c r="AC42" s="39"/>
      <c r="AD42" s="6"/>
      <c r="AE42" s="6"/>
      <c r="AF42" s="6"/>
      <c r="AH42" s="20">
        <f t="shared" si="3"/>
        <v>0</v>
      </c>
      <c r="AI42" s="20">
        <f t="shared" si="4"/>
        <v>0</v>
      </c>
    </row>
    <row r="43" spans="1:35" ht="20.100000000000001" hidden="1" customHeight="1">
      <c r="A43" s="24" t="str">
        <f>ÖSSZES!$A$87</f>
        <v>Név16</v>
      </c>
      <c r="B43" s="39" t="s">
        <v>2</v>
      </c>
      <c r="C43" s="39"/>
      <c r="D43" s="39"/>
      <c r="E43" s="39"/>
      <c r="F43" s="39"/>
      <c r="G43" s="39"/>
      <c r="H43" s="39"/>
      <c r="I43" s="39" t="s">
        <v>2</v>
      </c>
      <c r="J43" s="39" t="s">
        <v>2</v>
      </c>
      <c r="K43" s="39"/>
      <c r="L43" s="39"/>
      <c r="M43" s="39"/>
      <c r="N43" s="39"/>
      <c r="O43" s="39"/>
      <c r="P43" s="39"/>
      <c r="Q43" s="39" t="s">
        <v>2</v>
      </c>
      <c r="R43" s="39" t="s">
        <v>2</v>
      </c>
      <c r="S43" s="39"/>
      <c r="T43" s="39"/>
      <c r="U43" s="39"/>
      <c r="V43" s="39"/>
      <c r="W43" s="39"/>
      <c r="X43" s="39"/>
      <c r="Y43" s="39" t="s">
        <v>2</v>
      </c>
      <c r="Z43" s="39" t="s">
        <v>2</v>
      </c>
      <c r="AA43" s="39"/>
      <c r="AB43" s="39"/>
      <c r="AC43" s="39"/>
      <c r="AD43" s="6"/>
      <c r="AE43" s="6"/>
      <c r="AF43" s="6"/>
      <c r="AH43" s="20">
        <f t="shared" si="3"/>
        <v>0</v>
      </c>
      <c r="AI43" s="20">
        <f t="shared" si="4"/>
        <v>0</v>
      </c>
    </row>
    <row r="44" spans="1:35" ht="20.100000000000001" hidden="1" customHeight="1">
      <c r="A44" s="24" t="str">
        <f>ÖSSZES!$A$88</f>
        <v>Név17</v>
      </c>
      <c r="B44" s="39" t="s">
        <v>2</v>
      </c>
      <c r="C44" s="39"/>
      <c r="D44" s="39"/>
      <c r="E44" s="39"/>
      <c r="F44" s="39"/>
      <c r="G44" s="39"/>
      <c r="H44" s="39"/>
      <c r="I44" s="39" t="s">
        <v>2</v>
      </c>
      <c r="J44" s="39" t="s">
        <v>2</v>
      </c>
      <c r="K44" s="39"/>
      <c r="L44" s="39"/>
      <c r="M44" s="39"/>
      <c r="N44" s="39"/>
      <c r="O44" s="39"/>
      <c r="P44" s="39"/>
      <c r="Q44" s="39" t="s">
        <v>2</v>
      </c>
      <c r="R44" s="39" t="s">
        <v>2</v>
      </c>
      <c r="S44" s="39"/>
      <c r="T44" s="39"/>
      <c r="U44" s="39"/>
      <c r="V44" s="39"/>
      <c r="W44" s="39"/>
      <c r="X44" s="39"/>
      <c r="Y44" s="39" t="s">
        <v>2</v>
      </c>
      <c r="Z44" s="39" t="s">
        <v>2</v>
      </c>
      <c r="AA44" s="39"/>
      <c r="AB44" s="39"/>
      <c r="AC44" s="39"/>
      <c r="AD44" s="6"/>
      <c r="AE44" s="6"/>
      <c r="AF44" s="6"/>
      <c r="AH44" s="20">
        <f t="shared" si="3"/>
        <v>0</v>
      </c>
      <c r="AI44" s="20">
        <f t="shared" si="4"/>
        <v>0</v>
      </c>
    </row>
    <row r="45" spans="1:35" ht="20.100000000000001" hidden="1" customHeight="1">
      <c r="A45" s="24" t="str">
        <f>ÖSSZES!$A$89</f>
        <v>Név18</v>
      </c>
      <c r="B45" s="39" t="s">
        <v>2</v>
      </c>
      <c r="C45" s="39"/>
      <c r="D45" s="39"/>
      <c r="E45" s="39"/>
      <c r="F45" s="39"/>
      <c r="G45" s="39"/>
      <c r="H45" s="39"/>
      <c r="I45" s="39" t="s">
        <v>2</v>
      </c>
      <c r="J45" s="39" t="s">
        <v>2</v>
      </c>
      <c r="K45" s="39"/>
      <c r="L45" s="39"/>
      <c r="M45" s="39"/>
      <c r="N45" s="39"/>
      <c r="O45" s="39"/>
      <c r="P45" s="39"/>
      <c r="Q45" s="39" t="s">
        <v>2</v>
      </c>
      <c r="R45" s="39" t="s">
        <v>2</v>
      </c>
      <c r="S45" s="39"/>
      <c r="T45" s="39"/>
      <c r="U45" s="39"/>
      <c r="V45" s="39"/>
      <c r="W45" s="39"/>
      <c r="X45" s="39"/>
      <c r="Y45" s="39" t="s">
        <v>2</v>
      </c>
      <c r="Z45" s="39" t="s">
        <v>2</v>
      </c>
      <c r="AA45" s="39"/>
      <c r="AB45" s="39"/>
      <c r="AC45" s="39"/>
      <c r="AD45" s="6"/>
      <c r="AE45" s="6"/>
      <c r="AF45" s="6"/>
      <c r="AH45" s="20">
        <f t="shared" si="3"/>
        <v>0</v>
      </c>
      <c r="AI45" s="20">
        <f t="shared" si="4"/>
        <v>0</v>
      </c>
    </row>
    <row r="46" spans="1:35" ht="20.100000000000001" hidden="1" customHeight="1">
      <c r="A46" s="24" t="str">
        <f>ÖSSZES!$A$90</f>
        <v>Név19</v>
      </c>
      <c r="B46" s="39" t="s">
        <v>2</v>
      </c>
      <c r="C46" s="39"/>
      <c r="D46" s="39"/>
      <c r="E46" s="39"/>
      <c r="F46" s="39"/>
      <c r="G46" s="39"/>
      <c r="H46" s="39"/>
      <c r="I46" s="39" t="s">
        <v>2</v>
      </c>
      <c r="J46" s="39" t="s">
        <v>2</v>
      </c>
      <c r="K46" s="39"/>
      <c r="L46" s="39"/>
      <c r="M46" s="39"/>
      <c r="N46" s="39"/>
      <c r="O46" s="39"/>
      <c r="P46" s="39"/>
      <c r="Q46" s="39" t="s">
        <v>2</v>
      </c>
      <c r="R46" s="39" t="s">
        <v>2</v>
      </c>
      <c r="S46" s="39"/>
      <c r="T46" s="39"/>
      <c r="U46" s="39"/>
      <c r="V46" s="39"/>
      <c r="W46" s="39"/>
      <c r="X46" s="39"/>
      <c r="Y46" s="39" t="s">
        <v>2</v>
      </c>
      <c r="Z46" s="39" t="s">
        <v>2</v>
      </c>
      <c r="AA46" s="39"/>
      <c r="AB46" s="39"/>
      <c r="AC46" s="39"/>
      <c r="AD46" s="6"/>
      <c r="AE46" s="6"/>
      <c r="AF46" s="6"/>
      <c r="AH46" s="20">
        <f t="shared" si="3"/>
        <v>0</v>
      </c>
      <c r="AI46" s="20">
        <f t="shared" si="4"/>
        <v>0</v>
      </c>
    </row>
    <row r="47" spans="1:35" ht="20.100000000000001" hidden="1" customHeight="1">
      <c r="A47" s="24" t="str">
        <f>ÖSSZES!$A$91</f>
        <v>Név20</v>
      </c>
      <c r="B47" s="39" t="s">
        <v>2</v>
      </c>
      <c r="C47" s="39"/>
      <c r="D47" s="39"/>
      <c r="E47" s="39"/>
      <c r="F47" s="39"/>
      <c r="G47" s="39"/>
      <c r="H47" s="39"/>
      <c r="I47" s="39" t="s">
        <v>2</v>
      </c>
      <c r="J47" s="39" t="s">
        <v>2</v>
      </c>
      <c r="K47" s="39"/>
      <c r="L47" s="39"/>
      <c r="M47" s="39"/>
      <c r="N47" s="39"/>
      <c r="O47" s="39"/>
      <c r="P47" s="39"/>
      <c r="Q47" s="39" t="s">
        <v>2</v>
      </c>
      <c r="R47" s="39" t="s">
        <v>2</v>
      </c>
      <c r="S47" s="39"/>
      <c r="T47" s="39"/>
      <c r="U47" s="39"/>
      <c r="V47" s="39"/>
      <c r="W47" s="39"/>
      <c r="X47" s="39"/>
      <c r="Y47" s="39" t="s">
        <v>2</v>
      </c>
      <c r="Z47" s="39" t="s">
        <v>2</v>
      </c>
      <c r="AA47" s="39"/>
      <c r="AB47" s="39"/>
      <c r="AC47" s="39"/>
      <c r="AD47" s="6"/>
      <c r="AE47" s="6"/>
      <c r="AF47" s="6"/>
      <c r="AH47" s="20">
        <f t="shared" si="3"/>
        <v>0</v>
      </c>
      <c r="AI47" s="20">
        <f t="shared" si="4"/>
        <v>0</v>
      </c>
    </row>
    <row r="48" spans="1:35" ht="20.100000000000001" customHeight="1"/>
    <row r="49" spans="1:35" s="11" customFormat="1" ht="20.100000000000001" customHeight="1">
      <c r="A49" s="57" t="s">
        <v>7</v>
      </c>
      <c r="B49" s="23">
        <v>1</v>
      </c>
      <c r="C49" s="23">
        <v>2</v>
      </c>
      <c r="D49" s="23">
        <v>3</v>
      </c>
      <c r="E49" s="23">
        <v>4</v>
      </c>
      <c r="F49" s="23">
        <v>5</v>
      </c>
      <c r="G49" s="23">
        <v>6</v>
      </c>
      <c r="H49" s="23">
        <v>7</v>
      </c>
      <c r="I49" s="23">
        <v>8</v>
      </c>
      <c r="J49" s="23">
        <v>9</v>
      </c>
      <c r="K49" s="23">
        <v>10</v>
      </c>
      <c r="L49" s="23">
        <v>11</v>
      </c>
      <c r="M49" s="23">
        <v>12</v>
      </c>
      <c r="N49" s="23">
        <v>13</v>
      </c>
      <c r="O49" s="23">
        <v>14</v>
      </c>
      <c r="P49" s="38">
        <v>15</v>
      </c>
      <c r="Q49" s="23">
        <v>16</v>
      </c>
      <c r="R49" s="23">
        <v>17</v>
      </c>
      <c r="S49" s="23">
        <v>18</v>
      </c>
      <c r="T49" s="23">
        <v>19</v>
      </c>
      <c r="U49" s="23">
        <v>20</v>
      </c>
      <c r="V49" s="23">
        <v>21</v>
      </c>
      <c r="W49" s="23">
        <v>22</v>
      </c>
      <c r="X49" s="23">
        <v>23</v>
      </c>
      <c r="Y49" s="23">
        <v>24</v>
      </c>
      <c r="Z49" s="23">
        <v>25</v>
      </c>
      <c r="AA49" s="23">
        <v>26</v>
      </c>
      <c r="AB49" s="23">
        <v>27</v>
      </c>
      <c r="AC49" s="23">
        <v>28</v>
      </c>
      <c r="AD49" s="23">
        <v>29</v>
      </c>
      <c r="AE49" s="23">
        <v>30</v>
      </c>
      <c r="AF49" s="23">
        <v>31</v>
      </c>
      <c r="AH49" s="59" t="s">
        <v>18</v>
      </c>
      <c r="AI49" s="59" t="s">
        <v>19</v>
      </c>
    </row>
    <row r="50" spans="1:35" ht="20.100000000000001" customHeight="1">
      <c r="A50" s="61"/>
      <c r="B50" s="15" t="str">
        <f>'2021'!B20</f>
        <v>H</v>
      </c>
      <c r="C50" s="15" t="str">
        <f>'2021'!C20</f>
        <v>K</v>
      </c>
      <c r="D50" s="15" t="str">
        <f>'2021'!D20</f>
        <v>Sze</v>
      </c>
      <c r="E50" s="15" t="str">
        <f>'2021'!E20</f>
        <v>Cs</v>
      </c>
      <c r="F50" s="15" t="str">
        <f>'2021'!F20</f>
        <v>P</v>
      </c>
      <c r="G50" s="15" t="str">
        <f>'2021'!G20</f>
        <v>Szo</v>
      </c>
      <c r="H50" s="15" t="str">
        <f>'2021'!H20</f>
        <v>V</v>
      </c>
      <c r="I50" s="15" t="str">
        <f>'2021'!I20</f>
        <v>H</v>
      </c>
      <c r="J50" s="15" t="str">
        <f>'2021'!J20</f>
        <v>K</v>
      </c>
      <c r="K50" s="15" t="str">
        <f>'2021'!K20</f>
        <v>Sze</v>
      </c>
      <c r="L50" s="15" t="str">
        <f>'2021'!L20</f>
        <v>Cs</v>
      </c>
      <c r="M50" s="15" t="str">
        <f>'2021'!M20</f>
        <v>P</v>
      </c>
      <c r="N50" s="15" t="str">
        <f>'2021'!N20</f>
        <v>Szo</v>
      </c>
      <c r="O50" s="15" t="str">
        <f>'2021'!O20</f>
        <v>V</v>
      </c>
      <c r="P50" s="15" t="str">
        <f>'2021'!P20</f>
        <v>H</v>
      </c>
      <c r="Q50" s="15" t="str">
        <f>'2021'!Q20</f>
        <v>K</v>
      </c>
      <c r="R50" s="15" t="str">
        <f>'2021'!R20</f>
        <v>Sze</v>
      </c>
      <c r="S50" s="15" t="str">
        <f>'2021'!S20</f>
        <v>Cs</v>
      </c>
      <c r="T50" s="15" t="str">
        <f>'2021'!T20</f>
        <v>P</v>
      </c>
      <c r="U50" s="15" t="str">
        <f>'2021'!U20</f>
        <v>Szo</v>
      </c>
      <c r="V50" s="15" t="str">
        <f>'2021'!V20</f>
        <v>V</v>
      </c>
      <c r="W50" s="15" t="str">
        <f>'2021'!W20</f>
        <v>H</v>
      </c>
      <c r="X50" s="15" t="str">
        <f>'2021'!X20</f>
        <v>K</v>
      </c>
      <c r="Y50" s="15" t="str">
        <f>'2021'!Y20</f>
        <v>Sze</v>
      </c>
      <c r="Z50" s="15" t="str">
        <f>'2021'!Z20</f>
        <v>Cs</v>
      </c>
      <c r="AA50" s="15" t="str">
        <f>'2021'!AA20</f>
        <v>P</v>
      </c>
      <c r="AB50" s="15" t="str">
        <f>'2021'!AB20</f>
        <v>Szo</v>
      </c>
      <c r="AC50" s="15" t="str">
        <f>'2021'!AC20</f>
        <v>V</v>
      </c>
      <c r="AD50" s="15" t="str">
        <f>'2021'!AD20</f>
        <v>H</v>
      </c>
      <c r="AE50" s="15" t="str">
        <f>'2021'!AE20</f>
        <v>K</v>
      </c>
      <c r="AF50" s="15" t="str">
        <f>'2021'!AF20</f>
        <v>Sze</v>
      </c>
      <c r="AH50" s="60"/>
      <c r="AI50" s="60"/>
    </row>
    <row r="51" spans="1:35" ht="20.100000000000001" customHeight="1">
      <c r="A51" s="61"/>
      <c r="B51" s="15">
        <f>'2021'!B24</f>
        <v>3</v>
      </c>
      <c r="C51" s="15">
        <f>'2021'!C24</f>
        <v>3</v>
      </c>
      <c r="D51" s="15">
        <f>'2021'!D24</f>
        <v>3</v>
      </c>
      <c r="E51" s="15" t="str">
        <f>'2021'!E24</f>
        <v>X</v>
      </c>
      <c r="F51" s="15" t="str">
        <f>'2021'!F24</f>
        <v>X</v>
      </c>
      <c r="G51" s="15">
        <f>'2021'!G24</f>
        <v>2</v>
      </c>
      <c r="H51" s="15">
        <f>'2021'!H24</f>
        <v>2</v>
      </c>
      <c r="I51" s="15">
        <f>'2021'!I24</f>
        <v>2</v>
      </c>
      <c r="J51" s="15">
        <f>'2021'!J24</f>
        <v>2</v>
      </c>
      <c r="K51" s="15">
        <f>'2021'!K24</f>
        <v>2</v>
      </c>
      <c r="L51" s="15">
        <f>'2021'!L24</f>
        <v>2</v>
      </c>
      <c r="M51" s="15" t="str">
        <f>'2021'!M24</f>
        <v>X</v>
      </c>
      <c r="N51" s="15" t="str">
        <f>'2021'!N24</f>
        <v>X</v>
      </c>
      <c r="O51" s="15">
        <f>'2021'!O24</f>
        <v>1</v>
      </c>
      <c r="P51" s="15">
        <f>'2021'!P24</f>
        <v>1</v>
      </c>
      <c r="Q51" s="15">
        <f>'2021'!Q24</f>
        <v>1</v>
      </c>
      <c r="R51" s="15">
        <f>'2021'!R24</f>
        <v>1</v>
      </c>
      <c r="S51" s="15">
        <f>'2021'!S24</f>
        <v>1</v>
      </c>
      <c r="T51" s="15">
        <f>'2021'!T24</f>
        <v>1</v>
      </c>
      <c r="U51" s="15" t="str">
        <f>'2021'!U24</f>
        <v>X</v>
      </c>
      <c r="V51" s="15" t="str">
        <f>'2021'!V24</f>
        <v>X</v>
      </c>
      <c r="W51" s="15">
        <f>'2021'!W24</f>
        <v>3</v>
      </c>
      <c r="X51" s="15">
        <f>'2021'!X24</f>
        <v>3</v>
      </c>
      <c r="Y51" s="15">
        <f>'2021'!Y24</f>
        <v>3</v>
      </c>
      <c r="Z51" s="15">
        <f>'2021'!Z24</f>
        <v>3</v>
      </c>
      <c r="AA51" s="15">
        <f>'2021'!AA24</f>
        <v>3</v>
      </c>
      <c r="AB51" s="15">
        <f>'2021'!AB24</f>
        <v>3</v>
      </c>
      <c r="AC51" s="15" t="str">
        <f>'2021'!AC24</f>
        <v>X</v>
      </c>
      <c r="AD51" s="15" t="str">
        <f>'2021'!AD24</f>
        <v>X</v>
      </c>
      <c r="AE51" s="15">
        <f>'2021'!AE24</f>
        <v>2</v>
      </c>
      <c r="AF51" s="15">
        <f>'2021'!AF24</f>
        <v>2</v>
      </c>
      <c r="AH51" s="60"/>
      <c r="AI51" s="60"/>
    </row>
    <row r="52" spans="1:35" ht="20.100000000000001" customHeight="1">
      <c r="A52" s="24" t="str">
        <f>ÖSSZES!$A$72</f>
        <v>Daku Gábor</v>
      </c>
      <c r="B52" s="39">
        <f>[1]D!B26</f>
        <v>0</v>
      </c>
      <c r="C52" s="39">
        <f>[1]D!C26</f>
        <v>0</v>
      </c>
      <c r="D52" s="39">
        <f>[1]D!D26</f>
        <v>0</v>
      </c>
      <c r="E52" s="39" t="str">
        <f>[1]D!E26</f>
        <v>X</v>
      </c>
      <c r="F52" s="39" t="str">
        <f>[1]D!F26</f>
        <v>X</v>
      </c>
      <c r="G52" s="39">
        <f>[1]D!G26</f>
        <v>0</v>
      </c>
      <c r="H52" s="39">
        <f>[1]D!H26</f>
        <v>0</v>
      </c>
      <c r="I52" s="39">
        <f>[1]D!I26</f>
        <v>0</v>
      </c>
      <c r="J52" s="39">
        <f>[1]D!J26</f>
        <v>0</v>
      </c>
      <c r="K52" s="39">
        <f>[1]D!K26</f>
        <v>0</v>
      </c>
      <c r="L52" s="39">
        <f>[1]D!L26</f>
        <v>0</v>
      </c>
      <c r="M52" s="39" t="str">
        <f>[1]D!M26</f>
        <v>X</v>
      </c>
      <c r="N52" s="39" t="str">
        <f>[1]D!N26</f>
        <v>X</v>
      </c>
      <c r="O52" s="39">
        <f>[1]D!O26</f>
        <v>0</v>
      </c>
      <c r="P52" s="39">
        <f>[1]D!P26</f>
        <v>0</v>
      </c>
      <c r="Q52" s="39">
        <f>[1]D!Q26</f>
        <v>0</v>
      </c>
      <c r="R52" s="39">
        <f>[1]D!R26</f>
        <v>0</v>
      </c>
      <c r="S52" s="39">
        <f>[1]D!S26</f>
        <v>0</v>
      </c>
      <c r="T52" s="39">
        <f>[1]D!T26</f>
        <v>0</v>
      </c>
      <c r="U52" s="39" t="str">
        <f>[1]D!U26</f>
        <v>X</v>
      </c>
      <c r="V52" s="39" t="str">
        <f>[1]D!V26</f>
        <v>X</v>
      </c>
      <c r="W52" s="39">
        <f>[1]D!W26</f>
        <v>0</v>
      </c>
      <c r="X52" s="39">
        <f>[1]D!X26</f>
        <v>0</v>
      </c>
      <c r="Y52" s="39">
        <f>[1]D!Y26</f>
        <v>0</v>
      </c>
      <c r="Z52" s="39">
        <f>[1]D!Z26</f>
        <v>0</v>
      </c>
      <c r="AA52" s="39">
        <f>[1]D!AA26</f>
        <v>0</v>
      </c>
      <c r="AB52" s="39">
        <f>[1]D!AB26</f>
        <v>0</v>
      </c>
      <c r="AC52" s="39" t="str">
        <f>[1]D!AC26</f>
        <v>X</v>
      </c>
      <c r="AD52" s="39" t="str">
        <f>[1]D!AD26</f>
        <v>X</v>
      </c>
      <c r="AE52" s="39">
        <f>[1]D!AE26</f>
        <v>0</v>
      </c>
      <c r="AF52" s="39">
        <f>[1]D!AF26</f>
        <v>0</v>
      </c>
      <c r="AH52" s="20">
        <f>1*COUNTIF(A52:AF52,"+")</f>
        <v>0</v>
      </c>
      <c r="AI52" s="20">
        <f t="shared" ref="AI52" si="5">1*COUNTIF(B52:AF52,"szf")</f>
        <v>0</v>
      </c>
    </row>
    <row r="53" spans="1:35" ht="20.100000000000001" customHeight="1">
      <c r="A53" s="24" t="str">
        <f>ÖSSZES!$A$73</f>
        <v>Borbély Csaba</v>
      </c>
      <c r="B53" s="39">
        <f>[1]D!B27</f>
        <v>0</v>
      </c>
      <c r="C53" s="39">
        <f>[1]D!C27</f>
        <v>0</v>
      </c>
      <c r="D53" s="39">
        <f>[1]D!D27</f>
        <v>0</v>
      </c>
      <c r="E53" s="39" t="str">
        <f>[1]D!E27</f>
        <v>X</v>
      </c>
      <c r="F53" s="39" t="str">
        <f>[1]D!F27</f>
        <v>X</v>
      </c>
      <c r="G53" s="39">
        <f>[1]D!G27</f>
        <v>0</v>
      </c>
      <c r="H53" s="39">
        <f>[1]D!H27</f>
        <v>0</v>
      </c>
      <c r="I53" s="39">
        <f>[1]D!I27</f>
        <v>0</v>
      </c>
      <c r="J53" s="39">
        <f>[1]D!J27</f>
        <v>0</v>
      </c>
      <c r="K53" s="39">
        <f>[1]D!K27</f>
        <v>0</v>
      </c>
      <c r="L53" s="39">
        <f>[1]D!L27</f>
        <v>0</v>
      </c>
      <c r="M53" s="39" t="str">
        <f>[1]D!M27</f>
        <v>X</v>
      </c>
      <c r="N53" s="39" t="str">
        <f>[1]D!N27</f>
        <v>X</v>
      </c>
      <c r="O53" s="39">
        <f>[1]D!O27</f>
        <v>0</v>
      </c>
      <c r="P53" s="39">
        <f>[1]D!P27</f>
        <v>0</v>
      </c>
      <c r="Q53" s="39">
        <f>[1]D!Q27</f>
        <v>0</v>
      </c>
      <c r="R53" s="39">
        <f>[1]D!R27</f>
        <v>0</v>
      </c>
      <c r="S53" s="39">
        <f>[1]D!S27</f>
        <v>0</v>
      </c>
      <c r="T53" s="39">
        <f>[1]D!T27</f>
        <v>0</v>
      </c>
      <c r="U53" s="39" t="str">
        <f>[1]D!U27</f>
        <v>X</v>
      </c>
      <c r="V53" s="39" t="str">
        <f>[1]D!V27</f>
        <v>X</v>
      </c>
      <c r="W53" s="39">
        <f>[1]D!W27</f>
        <v>0</v>
      </c>
      <c r="X53" s="39">
        <f>[1]D!X27</f>
        <v>0</v>
      </c>
      <c r="Y53" s="39">
        <f>[1]D!Y27</f>
        <v>0</v>
      </c>
      <c r="Z53" s="39">
        <f>[1]D!Z27</f>
        <v>0</v>
      </c>
      <c r="AA53" s="39">
        <f>[1]D!AA27</f>
        <v>0</v>
      </c>
      <c r="AB53" s="39">
        <f>[1]D!AB27</f>
        <v>0</v>
      </c>
      <c r="AC53" s="39" t="str">
        <f>[1]D!AC27</f>
        <v>X</v>
      </c>
      <c r="AD53" s="39" t="str">
        <f>[1]D!AD27</f>
        <v>X</v>
      </c>
      <c r="AE53" s="39">
        <f>[1]D!AE27</f>
        <v>0</v>
      </c>
      <c r="AF53" s="39">
        <f>[1]D!AF27</f>
        <v>0</v>
      </c>
      <c r="AH53" s="20">
        <f t="shared" ref="AH53:AH71" si="6">1*COUNTIF(A53:AF53,"+")</f>
        <v>0</v>
      </c>
      <c r="AI53" s="20">
        <f t="shared" ref="AI53:AI71" si="7">1*COUNTIF(B53:AF53,"szf")</f>
        <v>0</v>
      </c>
    </row>
    <row r="54" spans="1:35" ht="20.100000000000001" customHeight="1">
      <c r="A54" s="24" t="str">
        <f>ÖSSZES!$A$74</f>
        <v>Erdei Bálint</v>
      </c>
      <c r="B54" s="39">
        <f>[1]D!B28</f>
        <v>0</v>
      </c>
      <c r="C54" s="39">
        <f>[1]D!C28</f>
        <v>0</v>
      </c>
      <c r="D54" s="39">
        <f>[1]D!D28</f>
        <v>0</v>
      </c>
      <c r="E54" s="39" t="str">
        <f>[1]D!E28</f>
        <v>X</v>
      </c>
      <c r="F54" s="39" t="str">
        <f>[1]D!F28</f>
        <v>X</v>
      </c>
      <c r="G54" s="39">
        <f>[1]D!G28</f>
        <v>0</v>
      </c>
      <c r="H54" s="39">
        <f>[1]D!H28</f>
        <v>0</v>
      </c>
      <c r="I54" s="39">
        <f>[1]D!I28</f>
        <v>0</v>
      </c>
      <c r="J54" s="39">
        <f>[1]D!J28</f>
        <v>0</v>
      </c>
      <c r="K54" s="39">
        <f>[1]D!K28</f>
        <v>0</v>
      </c>
      <c r="L54" s="39">
        <f>[1]D!L28</f>
        <v>0</v>
      </c>
      <c r="M54" s="39" t="str">
        <f>[1]D!M28</f>
        <v>X</v>
      </c>
      <c r="N54" s="39" t="str">
        <f>[1]D!N28</f>
        <v>X</v>
      </c>
      <c r="O54" s="39">
        <f>[1]D!O28</f>
        <v>0</v>
      </c>
      <c r="P54" s="39">
        <f>[1]D!P28</f>
        <v>0</v>
      </c>
      <c r="Q54" s="39">
        <f>[1]D!Q28</f>
        <v>0</v>
      </c>
      <c r="R54" s="39">
        <f>[1]D!R28</f>
        <v>0</v>
      </c>
      <c r="S54" s="39">
        <f>[1]D!S28</f>
        <v>0</v>
      </c>
      <c r="T54" s="39">
        <f>[1]D!T28</f>
        <v>0</v>
      </c>
      <c r="U54" s="39" t="str">
        <f>[1]D!U28</f>
        <v>X</v>
      </c>
      <c r="V54" s="39" t="str">
        <f>[1]D!V28</f>
        <v>X</v>
      </c>
      <c r="W54" s="39">
        <f>[1]D!W28</f>
        <v>0</v>
      </c>
      <c r="X54" s="39">
        <f>[1]D!X28</f>
        <v>0</v>
      </c>
      <c r="Y54" s="39">
        <f>[1]D!Y28</f>
        <v>0</v>
      </c>
      <c r="Z54" s="39">
        <f>[1]D!Z28</f>
        <v>0</v>
      </c>
      <c r="AA54" s="39">
        <f>[1]D!AA28</f>
        <v>0</v>
      </c>
      <c r="AB54" s="39">
        <f>[1]D!AB28</f>
        <v>0</v>
      </c>
      <c r="AC54" s="39" t="str">
        <f>[1]D!AC28</f>
        <v>X</v>
      </c>
      <c r="AD54" s="39" t="str">
        <f>[1]D!AD28</f>
        <v>X</v>
      </c>
      <c r="AE54" s="39">
        <f>[1]D!AE28</f>
        <v>0</v>
      </c>
      <c r="AF54" s="39">
        <f>[1]D!AF28</f>
        <v>0</v>
      </c>
      <c r="AH54" s="20">
        <f t="shared" si="6"/>
        <v>0</v>
      </c>
      <c r="AI54" s="20">
        <f t="shared" si="7"/>
        <v>0</v>
      </c>
    </row>
    <row r="55" spans="1:35" ht="20.100000000000001" customHeight="1">
      <c r="A55" s="24" t="str">
        <f>ÖSSZES!$A$75</f>
        <v>Fábián Gábor</v>
      </c>
      <c r="B55" s="39">
        <f>[1]D!B29</f>
        <v>0</v>
      </c>
      <c r="C55" s="39">
        <f>[1]D!C29</f>
        <v>0</v>
      </c>
      <c r="D55" s="39">
        <f>[1]D!D29</f>
        <v>0</v>
      </c>
      <c r="E55" s="39" t="str">
        <f>[1]D!E29</f>
        <v>X</v>
      </c>
      <c r="F55" s="39" t="str">
        <f>[1]D!F29</f>
        <v>X</v>
      </c>
      <c r="G55" s="39">
        <f>[1]D!G29</f>
        <v>0</v>
      </c>
      <c r="H55" s="39">
        <f>[1]D!H29</f>
        <v>0</v>
      </c>
      <c r="I55" s="39">
        <f>[1]D!I29</f>
        <v>0</v>
      </c>
      <c r="J55" s="39">
        <f>[1]D!J29</f>
        <v>0</v>
      </c>
      <c r="K55" s="39">
        <f>[1]D!K29</f>
        <v>0</v>
      </c>
      <c r="L55" s="39">
        <f>[1]D!L29</f>
        <v>0</v>
      </c>
      <c r="M55" s="39" t="str">
        <f>[1]D!M29</f>
        <v>X</v>
      </c>
      <c r="N55" s="39" t="str">
        <f>[1]D!N29</f>
        <v>X</v>
      </c>
      <c r="O55" s="39">
        <f>[1]D!O29</f>
        <v>0</v>
      </c>
      <c r="P55" s="39">
        <f>[1]D!P29</f>
        <v>0</v>
      </c>
      <c r="Q55" s="39">
        <f>[1]D!Q29</f>
        <v>0</v>
      </c>
      <c r="R55" s="39">
        <f>[1]D!R29</f>
        <v>0</v>
      </c>
      <c r="S55" s="39">
        <f>[1]D!S29</f>
        <v>0</v>
      </c>
      <c r="T55" s="39">
        <f>[1]D!T29</f>
        <v>0</v>
      </c>
      <c r="U55" s="39" t="str">
        <f>[1]D!U29</f>
        <v>X</v>
      </c>
      <c r="V55" s="39" t="str">
        <f>[1]D!V29</f>
        <v>X</v>
      </c>
      <c r="W55" s="39">
        <f>[1]D!W29</f>
        <v>0</v>
      </c>
      <c r="X55" s="39">
        <f>[1]D!X29</f>
        <v>0</v>
      </c>
      <c r="Y55" s="39">
        <f>[1]D!Y29</f>
        <v>0</v>
      </c>
      <c r="Z55" s="39">
        <f>[1]D!Z29</f>
        <v>0</v>
      </c>
      <c r="AA55" s="39">
        <f>[1]D!AA29</f>
        <v>0</v>
      </c>
      <c r="AB55" s="39">
        <f>[1]D!AB29</f>
        <v>0</v>
      </c>
      <c r="AC55" s="39" t="str">
        <f>[1]D!AC29</f>
        <v>X</v>
      </c>
      <c r="AD55" s="39" t="str">
        <f>[1]D!AD29</f>
        <v>X</v>
      </c>
      <c r="AE55" s="39">
        <f>[1]D!AE29</f>
        <v>0</v>
      </c>
      <c r="AF55" s="39">
        <f>[1]D!AF29</f>
        <v>0</v>
      </c>
      <c r="AH55" s="20">
        <f t="shared" si="6"/>
        <v>0</v>
      </c>
      <c r="AI55" s="20">
        <f t="shared" si="7"/>
        <v>0</v>
      </c>
    </row>
    <row r="56" spans="1:35" ht="20.100000000000001" customHeight="1">
      <c r="A56" s="24" t="str">
        <f>ÖSSZES!$A$76</f>
        <v>Gellei Zsolt</v>
      </c>
      <c r="B56" s="39">
        <f>[1]D!B30</f>
        <v>0</v>
      </c>
      <c r="C56" s="39">
        <f>[1]D!C30</f>
        <v>0</v>
      </c>
      <c r="D56" s="39">
        <f>[1]D!D30</f>
        <v>0</v>
      </c>
      <c r="E56" s="39" t="str">
        <f>[1]D!E30</f>
        <v>X</v>
      </c>
      <c r="F56" s="39" t="str">
        <f>[1]D!F30</f>
        <v>X</v>
      </c>
      <c r="G56" s="39">
        <f>[1]D!G30</f>
        <v>0</v>
      </c>
      <c r="H56" s="39">
        <f>[1]D!H30</f>
        <v>0</v>
      </c>
      <c r="I56" s="39">
        <f>[1]D!I30</f>
        <v>0</v>
      </c>
      <c r="J56" s="39">
        <f>[1]D!J30</f>
        <v>0</v>
      </c>
      <c r="K56" s="39">
        <f>[1]D!K30</f>
        <v>0</v>
      </c>
      <c r="L56" s="39">
        <f>[1]D!L30</f>
        <v>0</v>
      </c>
      <c r="M56" s="39" t="str">
        <f>[1]D!M30</f>
        <v>X</v>
      </c>
      <c r="N56" s="39" t="str">
        <f>[1]D!N30</f>
        <v>X</v>
      </c>
      <c r="O56" s="39">
        <f>[1]D!O30</f>
        <v>0</v>
      </c>
      <c r="P56" s="39">
        <f>[1]D!P30</f>
        <v>0</v>
      </c>
      <c r="Q56" s="39">
        <f>[1]D!Q30</f>
        <v>0</v>
      </c>
      <c r="R56" s="39">
        <f>[1]D!R30</f>
        <v>0</v>
      </c>
      <c r="S56" s="39">
        <f>[1]D!S30</f>
        <v>0</v>
      </c>
      <c r="T56" s="39">
        <f>[1]D!T30</f>
        <v>0</v>
      </c>
      <c r="U56" s="39" t="str">
        <f>[1]D!U30</f>
        <v>X</v>
      </c>
      <c r="V56" s="39" t="str">
        <f>[1]D!V30</f>
        <v>X</v>
      </c>
      <c r="W56" s="39">
        <f>[1]D!W30</f>
        <v>0</v>
      </c>
      <c r="X56" s="39">
        <f>[1]D!X30</f>
        <v>0</v>
      </c>
      <c r="Y56" s="39">
        <f>[1]D!Y30</f>
        <v>0</v>
      </c>
      <c r="Z56" s="39">
        <f>[1]D!Z30</f>
        <v>0</v>
      </c>
      <c r="AA56" s="39">
        <f>[1]D!AA30</f>
        <v>0</v>
      </c>
      <c r="AB56" s="39">
        <f>[1]D!AB30</f>
        <v>0</v>
      </c>
      <c r="AC56" s="39" t="str">
        <f>[1]D!AC30</f>
        <v>X</v>
      </c>
      <c r="AD56" s="39" t="str">
        <f>[1]D!AD30</f>
        <v>X</v>
      </c>
      <c r="AE56" s="39">
        <f>[1]D!AE30</f>
        <v>0</v>
      </c>
      <c r="AF56" s="39">
        <f>[1]D!AF30</f>
        <v>0</v>
      </c>
      <c r="AH56" s="20">
        <f t="shared" si="6"/>
        <v>0</v>
      </c>
      <c r="AI56" s="20">
        <f t="shared" si="7"/>
        <v>0</v>
      </c>
    </row>
    <row r="57" spans="1:35" ht="20.100000000000001" customHeight="1">
      <c r="A57" s="24" t="str">
        <f>ÖSSZES!$A$77</f>
        <v>Kiss Gyula</v>
      </c>
      <c r="B57" s="39">
        <f>[1]D!B31</f>
        <v>0</v>
      </c>
      <c r="C57" s="39">
        <f>[1]D!C31</f>
        <v>0</v>
      </c>
      <c r="D57" s="39">
        <f>[1]D!D31</f>
        <v>0</v>
      </c>
      <c r="E57" s="39" t="str">
        <f>[1]D!E31</f>
        <v>X</v>
      </c>
      <c r="F57" s="39" t="str">
        <f>[1]D!F31</f>
        <v>X</v>
      </c>
      <c r="G57" s="39">
        <f>[1]D!G31</f>
        <v>0</v>
      </c>
      <c r="H57" s="39">
        <f>[1]D!H31</f>
        <v>0</v>
      </c>
      <c r="I57" s="39">
        <f>[1]D!I31</f>
        <v>0</v>
      </c>
      <c r="J57" s="39">
        <f>[1]D!J31</f>
        <v>0</v>
      </c>
      <c r="K57" s="39">
        <f>[1]D!K31</f>
        <v>0</v>
      </c>
      <c r="L57" s="39">
        <f>[1]D!L31</f>
        <v>0</v>
      </c>
      <c r="M57" s="39" t="str">
        <f>[1]D!M31</f>
        <v>X</v>
      </c>
      <c r="N57" s="39" t="str">
        <f>[1]D!N31</f>
        <v>X</v>
      </c>
      <c r="O57" s="39">
        <f>[1]D!O31</f>
        <v>0</v>
      </c>
      <c r="P57" s="39">
        <f>[1]D!P31</f>
        <v>0</v>
      </c>
      <c r="Q57" s="39">
        <f>[1]D!Q31</f>
        <v>0</v>
      </c>
      <c r="R57" s="39">
        <f>[1]D!R31</f>
        <v>0</v>
      </c>
      <c r="S57" s="39">
        <f>[1]D!S31</f>
        <v>0</v>
      </c>
      <c r="T57" s="39">
        <f>[1]D!T31</f>
        <v>0</v>
      </c>
      <c r="U57" s="39" t="str">
        <f>[1]D!U31</f>
        <v>X</v>
      </c>
      <c r="V57" s="39" t="str">
        <f>[1]D!V31</f>
        <v>X</v>
      </c>
      <c r="W57" s="39">
        <f>[1]D!W31</f>
        <v>0</v>
      </c>
      <c r="X57" s="39">
        <f>[1]D!X31</f>
        <v>0</v>
      </c>
      <c r="Y57" s="39">
        <f>[1]D!Y31</f>
        <v>0</v>
      </c>
      <c r="Z57" s="39">
        <f>[1]D!Z31</f>
        <v>0</v>
      </c>
      <c r="AA57" s="39">
        <f>[1]D!AA31</f>
        <v>0</v>
      </c>
      <c r="AB57" s="39">
        <f>[1]D!AB31</f>
        <v>0</v>
      </c>
      <c r="AC57" s="39" t="str">
        <f>[1]D!AC31</f>
        <v>X</v>
      </c>
      <c r="AD57" s="39" t="str">
        <f>[1]D!AD31</f>
        <v>X</v>
      </c>
      <c r="AE57" s="39">
        <f>[1]D!AE31</f>
        <v>0</v>
      </c>
      <c r="AF57" s="39">
        <f>[1]D!AF31</f>
        <v>0</v>
      </c>
      <c r="AH57" s="20">
        <f t="shared" si="6"/>
        <v>0</v>
      </c>
      <c r="AI57" s="20">
        <f t="shared" si="7"/>
        <v>0</v>
      </c>
    </row>
    <row r="58" spans="1:35" ht="20.100000000000001" customHeight="1">
      <c r="A58" s="24" t="str">
        <f>ÖSSZES!$A$78</f>
        <v>Nagy István</v>
      </c>
      <c r="B58" s="39">
        <f>[1]D!B32</f>
        <v>0</v>
      </c>
      <c r="C58" s="39">
        <f>[1]D!C32</f>
        <v>0</v>
      </c>
      <c r="D58" s="39">
        <f>[1]D!D32</f>
        <v>0</v>
      </c>
      <c r="E58" s="39" t="str">
        <f>[1]D!E32</f>
        <v>X</v>
      </c>
      <c r="F58" s="39" t="str">
        <f>[1]D!F32</f>
        <v>X</v>
      </c>
      <c r="G58" s="39">
        <f>[1]D!G32</f>
        <v>0</v>
      </c>
      <c r="H58" s="39">
        <f>[1]D!H32</f>
        <v>0</v>
      </c>
      <c r="I58" s="39">
        <f>[1]D!I32</f>
        <v>0</v>
      </c>
      <c r="J58" s="39">
        <f>[1]D!J32</f>
        <v>0</v>
      </c>
      <c r="K58" s="39">
        <f>[1]D!K32</f>
        <v>0</v>
      </c>
      <c r="L58" s="39">
        <f>[1]D!L32</f>
        <v>0</v>
      </c>
      <c r="M58" s="39" t="str">
        <f>[1]D!M32</f>
        <v>X</v>
      </c>
      <c r="N58" s="39" t="str">
        <f>[1]D!N32</f>
        <v>X</v>
      </c>
      <c r="O58" s="39">
        <f>[1]D!O32</f>
        <v>0</v>
      </c>
      <c r="P58" s="39">
        <f>[1]D!P32</f>
        <v>0</v>
      </c>
      <c r="Q58" s="39">
        <f>[1]D!Q32</f>
        <v>0</v>
      </c>
      <c r="R58" s="39">
        <f>[1]D!R32</f>
        <v>0</v>
      </c>
      <c r="S58" s="39">
        <f>[1]D!S32</f>
        <v>0</v>
      </c>
      <c r="T58" s="39">
        <f>[1]D!T32</f>
        <v>0</v>
      </c>
      <c r="U58" s="39" t="str">
        <f>[1]D!U32</f>
        <v>X</v>
      </c>
      <c r="V58" s="39" t="str">
        <f>[1]D!V32</f>
        <v>X</v>
      </c>
      <c r="W58" s="39">
        <f>[1]D!W32</f>
        <v>0</v>
      </c>
      <c r="X58" s="39">
        <f>[1]D!X32</f>
        <v>0</v>
      </c>
      <c r="Y58" s="39">
        <f>[1]D!Y32</f>
        <v>0</v>
      </c>
      <c r="Z58" s="39">
        <f>[1]D!Z32</f>
        <v>0</v>
      </c>
      <c r="AA58" s="39">
        <f>[1]D!AA32</f>
        <v>0</v>
      </c>
      <c r="AB58" s="39">
        <f>[1]D!AB32</f>
        <v>0</v>
      </c>
      <c r="AC58" s="39" t="str">
        <f>[1]D!AC32</f>
        <v>X</v>
      </c>
      <c r="AD58" s="39" t="str">
        <f>[1]D!AD32</f>
        <v>X</v>
      </c>
      <c r="AE58" s="39">
        <f>[1]D!AE32</f>
        <v>0</v>
      </c>
      <c r="AF58" s="39">
        <f>[1]D!AF32</f>
        <v>0</v>
      </c>
      <c r="AH58" s="20">
        <f t="shared" si="6"/>
        <v>0</v>
      </c>
      <c r="AI58" s="20">
        <f t="shared" si="7"/>
        <v>0</v>
      </c>
    </row>
    <row r="59" spans="1:35" ht="20.100000000000001" hidden="1" customHeight="1">
      <c r="A59" s="24" t="str">
        <f>ÖSSZES!$A$79</f>
        <v>Név8</v>
      </c>
      <c r="B59" s="39"/>
      <c r="C59" s="39"/>
      <c r="D59" s="39"/>
      <c r="E59" s="39" t="s">
        <v>2</v>
      </c>
      <c r="F59" s="39" t="s">
        <v>2</v>
      </c>
      <c r="G59" s="39"/>
      <c r="H59" s="39"/>
      <c r="I59" s="39"/>
      <c r="J59" s="39"/>
      <c r="K59" s="39"/>
      <c r="L59" s="39"/>
      <c r="M59" s="39" t="s">
        <v>2</v>
      </c>
      <c r="N59" s="39" t="s">
        <v>2</v>
      </c>
      <c r="O59" s="39"/>
      <c r="P59" s="39"/>
      <c r="Q59" s="39"/>
      <c r="R59" s="39"/>
      <c r="S59" s="39"/>
      <c r="T59" s="39"/>
      <c r="U59" s="39" t="s">
        <v>2</v>
      </c>
      <c r="V59" s="39" t="s">
        <v>2</v>
      </c>
      <c r="W59" s="39"/>
      <c r="X59" s="39"/>
      <c r="Y59" s="39"/>
      <c r="Z59" s="39"/>
      <c r="AA59" s="39"/>
      <c r="AB59" s="39"/>
      <c r="AC59" s="39" t="s">
        <v>2</v>
      </c>
      <c r="AD59" s="39" t="s">
        <v>2</v>
      </c>
      <c r="AE59" s="39"/>
      <c r="AF59" s="39"/>
      <c r="AH59" s="20">
        <f t="shared" si="6"/>
        <v>0</v>
      </c>
      <c r="AI59" s="20">
        <f t="shared" si="7"/>
        <v>0</v>
      </c>
    </row>
    <row r="60" spans="1:35" ht="20.100000000000001" hidden="1" customHeight="1">
      <c r="A60" s="24" t="str">
        <f>ÖSSZES!$A$80</f>
        <v>Név9</v>
      </c>
      <c r="B60" s="39"/>
      <c r="C60" s="39"/>
      <c r="D60" s="39"/>
      <c r="E60" s="39" t="s">
        <v>2</v>
      </c>
      <c r="F60" s="39" t="s">
        <v>2</v>
      </c>
      <c r="G60" s="39"/>
      <c r="H60" s="39"/>
      <c r="I60" s="39"/>
      <c r="J60" s="39"/>
      <c r="K60" s="39"/>
      <c r="L60" s="39"/>
      <c r="M60" s="39" t="s">
        <v>2</v>
      </c>
      <c r="N60" s="39" t="s">
        <v>2</v>
      </c>
      <c r="O60" s="39"/>
      <c r="P60" s="39"/>
      <c r="Q60" s="39"/>
      <c r="R60" s="39"/>
      <c r="S60" s="39"/>
      <c r="T60" s="39"/>
      <c r="U60" s="39" t="s">
        <v>2</v>
      </c>
      <c r="V60" s="39" t="s">
        <v>2</v>
      </c>
      <c r="W60" s="39"/>
      <c r="X60" s="39"/>
      <c r="Y60" s="39"/>
      <c r="Z60" s="39"/>
      <c r="AA60" s="39"/>
      <c r="AB60" s="39"/>
      <c r="AC60" s="39" t="s">
        <v>2</v>
      </c>
      <c r="AD60" s="39" t="s">
        <v>2</v>
      </c>
      <c r="AE60" s="39"/>
      <c r="AF60" s="39"/>
      <c r="AH60" s="20">
        <f t="shared" si="6"/>
        <v>0</v>
      </c>
      <c r="AI60" s="20">
        <f t="shared" si="7"/>
        <v>0</v>
      </c>
    </row>
    <row r="61" spans="1:35" ht="20.100000000000001" hidden="1" customHeight="1">
      <c r="A61" s="24" t="str">
        <f>ÖSSZES!$A$81</f>
        <v>Név10</v>
      </c>
      <c r="B61" s="39"/>
      <c r="C61" s="39"/>
      <c r="D61" s="39"/>
      <c r="E61" s="39" t="s">
        <v>2</v>
      </c>
      <c r="F61" s="39" t="s">
        <v>2</v>
      </c>
      <c r="G61" s="39"/>
      <c r="H61" s="39"/>
      <c r="I61" s="39"/>
      <c r="J61" s="39"/>
      <c r="K61" s="39"/>
      <c r="L61" s="39"/>
      <c r="M61" s="39" t="s">
        <v>2</v>
      </c>
      <c r="N61" s="39" t="s">
        <v>2</v>
      </c>
      <c r="O61" s="39"/>
      <c r="P61" s="39"/>
      <c r="Q61" s="39"/>
      <c r="R61" s="39"/>
      <c r="S61" s="39"/>
      <c r="T61" s="39"/>
      <c r="U61" s="39" t="s">
        <v>2</v>
      </c>
      <c r="V61" s="39" t="s">
        <v>2</v>
      </c>
      <c r="W61" s="39"/>
      <c r="X61" s="39"/>
      <c r="Y61" s="39"/>
      <c r="Z61" s="39"/>
      <c r="AA61" s="39"/>
      <c r="AB61" s="39"/>
      <c r="AC61" s="39" t="s">
        <v>2</v>
      </c>
      <c r="AD61" s="39" t="s">
        <v>2</v>
      </c>
      <c r="AE61" s="39"/>
      <c r="AF61" s="39"/>
      <c r="AH61" s="20">
        <f t="shared" si="6"/>
        <v>0</v>
      </c>
      <c r="AI61" s="20">
        <f t="shared" si="7"/>
        <v>0</v>
      </c>
    </row>
    <row r="62" spans="1:35" ht="20.100000000000001" hidden="1" customHeight="1">
      <c r="A62" s="24" t="str">
        <f>ÖSSZES!$A$82</f>
        <v>Név11</v>
      </c>
      <c r="B62" s="39"/>
      <c r="C62" s="39"/>
      <c r="D62" s="39"/>
      <c r="E62" s="39" t="s">
        <v>2</v>
      </c>
      <c r="F62" s="39" t="s">
        <v>2</v>
      </c>
      <c r="G62" s="39"/>
      <c r="H62" s="39"/>
      <c r="I62" s="39"/>
      <c r="J62" s="39"/>
      <c r="K62" s="39"/>
      <c r="L62" s="39"/>
      <c r="M62" s="39" t="s">
        <v>2</v>
      </c>
      <c r="N62" s="39" t="s">
        <v>2</v>
      </c>
      <c r="O62" s="39"/>
      <c r="P62" s="39"/>
      <c r="Q62" s="39"/>
      <c r="R62" s="39"/>
      <c r="S62" s="39"/>
      <c r="T62" s="39"/>
      <c r="U62" s="39" t="s">
        <v>2</v>
      </c>
      <c r="V62" s="39" t="s">
        <v>2</v>
      </c>
      <c r="W62" s="39"/>
      <c r="X62" s="39"/>
      <c r="Y62" s="39"/>
      <c r="Z62" s="39"/>
      <c r="AA62" s="39"/>
      <c r="AB62" s="39"/>
      <c r="AC62" s="39" t="s">
        <v>2</v>
      </c>
      <c r="AD62" s="39" t="s">
        <v>2</v>
      </c>
      <c r="AE62" s="39"/>
      <c r="AF62" s="39"/>
      <c r="AH62" s="20">
        <f t="shared" si="6"/>
        <v>0</v>
      </c>
      <c r="AI62" s="20">
        <f t="shared" si="7"/>
        <v>0</v>
      </c>
    </row>
    <row r="63" spans="1:35" ht="20.100000000000001" hidden="1" customHeight="1">
      <c r="A63" s="24" t="str">
        <f>ÖSSZES!$A$83</f>
        <v>Név12</v>
      </c>
      <c r="B63" s="39"/>
      <c r="C63" s="39"/>
      <c r="D63" s="39"/>
      <c r="E63" s="39" t="s">
        <v>2</v>
      </c>
      <c r="F63" s="39" t="s">
        <v>2</v>
      </c>
      <c r="G63" s="39"/>
      <c r="H63" s="39"/>
      <c r="I63" s="39"/>
      <c r="J63" s="39"/>
      <c r="K63" s="39"/>
      <c r="L63" s="39"/>
      <c r="M63" s="39" t="s">
        <v>2</v>
      </c>
      <c r="N63" s="39" t="s">
        <v>2</v>
      </c>
      <c r="O63" s="39"/>
      <c r="P63" s="39"/>
      <c r="Q63" s="39"/>
      <c r="R63" s="39"/>
      <c r="S63" s="39"/>
      <c r="T63" s="39"/>
      <c r="U63" s="39" t="s">
        <v>2</v>
      </c>
      <c r="V63" s="39" t="s">
        <v>2</v>
      </c>
      <c r="W63" s="39"/>
      <c r="X63" s="39"/>
      <c r="Y63" s="39"/>
      <c r="Z63" s="39"/>
      <c r="AA63" s="39"/>
      <c r="AB63" s="39"/>
      <c r="AC63" s="39" t="s">
        <v>2</v>
      </c>
      <c r="AD63" s="39" t="s">
        <v>2</v>
      </c>
      <c r="AE63" s="39"/>
      <c r="AF63" s="39"/>
      <c r="AH63" s="20">
        <f t="shared" si="6"/>
        <v>0</v>
      </c>
      <c r="AI63" s="20">
        <f t="shared" si="7"/>
        <v>0</v>
      </c>
    </row>
    <row r="64" spans="1:35" ht="20.100000000000001" hidden="1" customHeight="1">
      <c r="A64" s="24" t="str">
        <f>ÖSSZES!$A$84</f>
        <v>Név13</v>
      </c>
      <c r="B64" s="39"/>
      <c r="C64" s="39"/>
      <c r="D64" s="39"/>
      <c r="E64" s="39" t="s">
        <v>2</v>
      </c>
      <c r="F64" s="39" t="s">
        <v>2</v>
      </c>
      <c r="G64" s="39"/>
      <c r="H64" s="39"/>
      <c r="I64" s="39"/>
      <c r="J64" s="39"/>
      <c r="K64" s="39"/>
      <c r="L64" s="39"/>
      <c r="M64" s="39" t="s">
        <v>2</v>
      </c>
      <c r="N64" s="39" t="s">
        <v>2</v>
      </c>
      <c r="O64" s="39"/>
      <c r="P64" s="39"/>
      <c r="Q64" s="39"/>
      <c r="R64" s="39"/>
      <c r="S64" s="39"/>
      <c r="T64" s="39"/>
      <c r="U64" s="39" t="s">
        <v>2</v>
      </c>
      <c r="V64" s="39" t="s">
        <v>2</v>
      </c>
      <c r="W64" s="39"/>
      <c r="X64" s="39"/>
      <c r="Y64" s="39"/>
      <c r="Z64" s="39"/>
      <c r="AA64" s="39"/>
      <c r="AB64" s="39"/>
      <c r="AC64" s="39" t="s">
        <v>2</v>
      </c>
      <c r="AD64" s="39" t="s">
        <v>2</v>
      </c>
      <c r="AE64" s="39"/>
      <c r="AF64" s="39"/>
      <c r="AH64" s="20">
        <f t="shared" si="6"/>
        <v>0</v>
      </c>
      <c r="AI64" s="20">
        <f t="shared" si="7"/>
        <v>0</v>
      </c>
    </row>
    <row r="65" spans="1:35" ht="20.100000000000001" hidden="1" customHeight="1">
      <c r="A65" s="24" t="str">
        <f>ÖSSZES!$A$85</f>
        <v>Név14</v>
      </c>
      <c r="B65" s="39"/>
      <c r="C65" s="39"/>
      <c r="D65" s="39"/>
      <c r="E65" s="39" t="s">
        <v>2</v>
      </c>
      <c r="F65" s="39" t="s">
        <v>2</v>
      </c>
      <c r="G65" s="39"/>
      <c r="H65" s="39"/>
      <c r="I65" s="39"/>
      <c r="J65" s="39"/>
      <c r="K65" s="39"/>
      <c r="L65" s="39"/>
      <c r="M65" s="39" t="s">
        <v>2</v>
      </c>
      <c r="N65" s="39" t="s">
        <v>2</v>
      </c>
      <c r="O65" s="39"/>
      <c r="P65" s="39"/>
      <c r="Q65" s="39"/>
      <c r="R65" s="39"/>
      <c r="S65" s="39"/>
      <c r="T65" s="39"/>
      <c r="U65" s="39" t="s">
        <v>2</v>
      </c>
      <c r="V65" s="39" t="s">
        <v>2</v>
      </c>
      <c r="W65" s="39"/>
      <c r="X65" s="39"/>
      <c r="Y65" s="39"/>
      <c r="Z65" s="39"/>
      <c r="AA65" s="39"/>
      <c r="AB65" s="39"/>
      <c r="AC65" s="39" t="s">
        <v>2</v>
      </c>
      <c r="AD65" s="39" t="s">
        <v>2</v>
      </c>
      <c r="AE65" s="39"/>
      <c r="AF65" s="39"/>
      <c r="AH65" s="20">
        <f t="shared" si="6"/>
        <v>0</v>
      </c>
      <c r="AI65" s="20">
        <f t="shared" si="7"/>
        <v>0</v>
      </c>
    </row>
    <row r="66" spans="1:35" ht="20.100000000000001" hidden="1" customHeight="1">
      <c r="A66" s="24" t="str">
        <f>ÖSSZES!$A$86</f>
        <v>Név15</v>
      </c>
      <c r="B66" s="39"/>
      <c r="C66" s="39"/>
      <c r="D66" s="39"/>
      <c r="E66" s="39" t="s">
        <v>2</v>
      </c>
      <c r="F66" s="39" t="s">
        <v>2</v>
      </c>
      <c r="G66" s="39"/>
      <c r="H66" s="39"/>
      <c r="I66" s="39"/>
      <c r="J66" s="39"/>
      <c r="K66" s="39"/>
      <c r="L66" s="39"/>
      <c r="M66" s="39" t="s">
        <v>2</v>
      </c>
      <c r="N66" s="39" t="s">
        <v>2</v>
      </c>
      <c r="O66" s="39"/>
      <c r="P66" s="39"/>
      <c r="Q66" s="39"/>
      <c r="R66" s="39"/>
      <c r="S66" s="39"/>
      <c r="T66" s="39"/>
      <c r="U66" s="39" t="s">
        <v>2</v>
      </c>
      <c r="V66" s="39" t="s">
        <v>2</v>
      </c>
      <c r="W66" s="39"/>
      <c r="X66" s="39"/>
      <c r="Y66" s="39"/>
      <c r="Z66" s="39"/>
      <c r="AA66" s="39"/>
      <c r="AB66" s="39"/>
      <c r="AC66" s="39" t="s">
        <v>2</v>
      </c>
      <c r="AD66" s="39" t="s">
        <v>2</v>
      </c>
      <c r="AE66" s="39"/>
      <c r="AF66" s="39"/>
      <c r="AH66" s="20">
        <f t="shared" si="6"/>
        <v>0</v>
      </c>
      <c r="AI66" s="20">
        <f t="shared" si="7"/>
        <v>0</v>
      </c>
    </row>
    <row r="67" spans="1:35" ht="20.100000000000001" hidden="1" customHeight="1">
      <c r="A67" s="24" t="str">
        <f>ÖSSZES!$A$87</f>
        <v>Név16</v>
      </c>
      <c r="B67" s="39"/>
      <c r="C67" s="39"/>
      <c r="D67" s="39"/>
      <c r="E67" s="39" t="s">
        <v>2</v>
      </c>
      <c r="F67" s="39" t="s">
        <v>2</v>
      </c>
      <c r="G67" s="39"/>
      <c r="H67" s="39"/>
      <c r="I67" s="39"/>
      <c r="J67" s="39"/>
      <c r="K67" s="39"/>
      <c r="L67" s="39"/>
      <c r="M67" s="39" t="s">
        <v>2</v>
      </c>
      <c r="N67" s="39" t="s">
        <v>2</v>
      </c>
      <c r="O67" s="39"/>
      <c r="P67" s="39"/>
      <c r="Q67" s="39"/>
      <c r="R67" s="39"/>
      <c r="S67" s="39"/>
      <c r="T67" s="39"/>
      <c r="U67" s="39" t="s">
        <v>2</v>
      </c>
      <c r="V67" s="39" t="s">
        <v>2</v>
      </c>
      <c r="W67" s="39"/>
      <c r="X67" s="39"/>
      <c r="Y67" s="39"/>
      <c r="Z67" s="39"/>
      <c r="AA67" s="39"/>
      <c r="AB67" s="39"/>
      <c r="AC67" s="39" t="s">
        <v>2</v>
      </c>
      <c r="AD67" s="39" t="s">
        <v>2</v>
      </c>
      <c r="AE67" s="39"/>
      <c r="AF67" s="39"/>
      <c r="AH67" s="20">
        <f t="shared" si="6"/>
        <v>0</v>
      </c>
      <c r="AI67" s="20">
        <f t="shared" si="7"/>
        <v>0</v>
      </c>
    </row>
    <row r="68" spans="1:35" ht="20.100000000000001" hidden="1" customHeight="1">
      <c r="A68" s="24" t="str">
        <f>ÖSSZES!$A$88</f>
        <v>Név17</v>
      </c>
      <c r="B68" s="39"/>
      <c r="C68" s="39"/>
      <c r="D68" s="39"/>
      <c r="E68" s="39" t="s">
        <v>2</v>
      </c>
      <c r="F68" s="39" t="s">
        <v>2</v>
      </c>
      <c r="G68" s="39"/>
      <c r="H68" s="39"/>
      <c r="I68" s="39"/>
      <c r="J68" s="39"/>
      <c r="K68" s="39"/>
      <c r="L68" s="39"/>
      <c r="M68" s="39" t="s">
        <v>2</v>
      </c>
      <c r="N68" s="39" t="s">
        <v>2</v>
      </c>
      <c r="O68" s="39"/>
      <c r="P68" s="39"/>
      <c r="Q68" s="39"/>
      <c r="R68" s="39"/>
      <c r="S68" s="39"/>
      <c r="T68" s="39"/>
      <c r="U68" s="39" t="s">
        <v>2</v>
      </c>
      <c r="V68" s="39" t="s">
        <v>2</v>
      </c>
      <c r="W68" s="39"/>
      <c r="X68" s="39"/>
      <c r="Y68" s="39"/>
      <c r="Z68" s="39"/>
      <c r="AA68" s="39"/>
      <c r="AB68" s="39"/>
      <c r="AC68" s="39" t="s">
        <v>2</v>
      </c>
      <c r="AD68" s="39" t="s">
        <v>2</v>
      </c>
      <c r="AE68" s="39"/>
      <c r="AF68" s="39"/>
      <c r="AH68" s="20">
        <f t="shared" si="6"/>
        <v>0</v>
      </c>
      <c r="AI68" s="20">
        <f t="shared" si="7"/>
        <v>0</v>
      </c>
    </row>
    <row r="69" spans="1:35" ht="20.100000000000001" hidden="1" customHeight="1">
      <c r="A69" s="24" t="str">
        <f>ÖSSZES!$A$89</f>
        <v>Név18</v>
      </c>
      <c r="B69" s="39"/>
      <c r="C69" s="39"/>
      <c r="D69" s="39"/>
      <c r="E69" s="39" t="s">
        <v>2</v>
      </c>
      <c r="F69" s="39" t="s">
        <v>2</v>
      </c>
      <c r="G69" s="39"/>
      <c r="H69" s="39"/>
      <c r="I69" s="39"/>
      <c r="J69" s="39"/>
      <c r="K69" s="39"/>
      <c r="L69" s="39"/>
      <c r="M69" s="39" t="s">
        <v>2</v>
      </c>
      <c r="N69" s="39" t="s">
        <v>2</v>
      </c>
      <c r="O69" s="39"/>
      <c r="P69" s="39"/>
      <c r="Q69" s="39"/>
      <c r="R69" s="39"/>
      <c r="S69" s="39"/>
      <c r="T69" s="39"/>
      <c r="U69" s="39" t="s">
        <v>2</v>
      </c>
      <c r="V69" s="39" t="s">
        <v>2</v>
      </c>
      <c r="W69" s="39"/>
      <c r="X69" s="39"/>
      <c r="Y69" s="39"/>
      <c r="Z69" s="39"/>
      <c r="AA69" s="39"/>
      <c r="AB69" s="39"/>
      <c r="AC69" s="39" t="s">
        <v>2</v>
      </c>
      <c r="AD69" s="39" t="s">
        <v>2</v>
      </c>
      <c r="AE69" s="39"/>
      <c r="AF69" s="39"/>
      <c r="AH69" s="20">
        <f t="shared" si="6"/>
        <v>0</v>
      </c>
      <c r="AI69" s="20">
        <f t="shared" si="7"/>
        <v>0</v>
      </c>
    </row>
    <row r="70" spans="1:35" ht="20.100000000000001" hidden="1" customHeight="1">
      <c r="A70" s="24" t="str">
        <f>ÖSSZES!$A$90</f>
        <v>Név19</v>
      </c>
      <c r="B70" s="39"/>
      <c r="C70" s="39"/>
      <c r="D70" s="39"/>
      <c r="E70" s="39" t="s">
        <v>2</v>
      </c>
      <c r="F70" s="39" t="s">
        <v>2</v>
      </c>
      <c r="G70" s="39"/>
      <c r="H70" s="39"/>
      <c r="I70" s="39"/>
      <c r="J70" s="39"/>
      <c r="K70" s="39"/>
      <c r="L70" s="39"/>
      <c r="M70" s="39" t="s">
        <v>2</v>
      </c>
      <c r="N70" s="39" t="s">
        <v>2</v>
      </c>
      <c r="O70" s="39"/>
      <c r="P70" s="39"/>
      <c r="Q70" s="39"/>
      <c r="R70" s="39"/>
      <c r="S70" s="39"/>
      <c r="T70" s="39"/>
      <c r="U70" s="39" t="s">
        <v>2</v>
      </c>
      <c r="V70" s="39" t="s">
        <v>2</v>
      </c>
      <c r="W70" s="39"/>
      <c r="X70" s="39"/>
      <c r="Y70" s="39"/>
      <c r="Z70" s="39"/>
      <c r="AA70" s="39"/>
      <c r="AB70" s="39"/>
      <c r="AC70" s="39" t="s">
        <v>2</v>
      </c>
      <c r="AD70" s="39" t="s">
        <v>2</v>
      </c>
      <c r="AE70" s="39"/>
      <c r="AF70" s="39"/>
      <c r="AH70" s="20">
        <f t="shared" si="6"/>
        <v>0</v>
      </c>
      <c r="AI70" s="20">
        <f t="shared" si="7"/>
        <v>0</v>
      </c>
    </row>
    <row r="71" spans="1:35" ht="20.100000000000001" hidden="1" customHeight="1">
      <c r="A71" s="24" t="str">
        <f>ÖSSZES!$A$91</f>
        <v>Név20</v>
      </c>
      <c r="B71" s="39"/>
      <c r="C71" s="39"/>
      <c r="D71" s="39"/>
      <c r="E71" s="39" t="s">
        <v>2</v>
      </c>
      <c r="F71" s="39" t="s">
        <v>2</v>
      </c>
      <c r="G71" s="39"/>
      <c r="H71" s="39"/>
      <c r="I71" s="39"/>
      <c r="J71" s="39"/>
      <c r="K71" s="39"/>
      <c r="L71" s="39"/>
      <c r="M71" s="39" t="s">
        <v>2</v>
      </c>
      <c r="N71" s="39" t="s">
        <v>2</v>
      </c>
      <c r="O71" s="39"/>
      <c r="P71" s="39"/>
      <c r="Q71" s="39"/>
      <c r="R71" s="39"/>
      <c r="S71" s="39"/>
      <c r="T71" s="39"/>
      <c r="U71" s="39" t="s">
        <v>2</v>
      </c>
      <c r="V71" s="39" t="s">
        <v>2</v>
      </c>
      <c r="W71" s="39"/>
      <c r="X71" s="39"/>
      <c r="Y71" s="39"/>
      <c r="Z71" s="39"/>
      <c r="AA71" s="39"/>
      <c r="AB71" s="39"/>
      <c r="AC71" s="39" t="s">
        <v>2</v>
      </c>
      <c r="AD71" s="39" t="s">
        <v>2</v>
      </c>
      <c r="AE71" s="39"/>
      <c r="AF71" s="39"/>
      <c r="AH71" s="20">
        <f t="shared" si="6"/>
        <v>0</v>
      </c>
      <c r="AI71" s="20">
        <f t="shared" si="7"/>
        <v>0</v>
      </c>
    </row>
    <row r="72" spans="1:35" ht="20.100000000000001" customHeight="1"/>
    <row r="73" spans="1:35" s="11" customFormat="1" ht="20.100000000000001" customHeight="1">
      <c r="A73" s="54" t="s">
        <v>17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23">
        <v>7</v>
      </c>
      <c r="I73" s="23">
        <v>8</v>
      </c>
      <c r="J73" s="23">
        <v>9</v>
      </c>
      <c r="K73" s="23">
        <v>10</v>
      </c>
      <c r="L73" s="23">
        <v>11</v>
      </c>
      <c r="M73" s="23">
        <v>12</v>
      </c>
      <c r="N73" s="23">
        <v>13</v>
      </c>
      <c r="O73" s="23">
        <v>14</v>
      </c>
      <c r="P73" s="23">
        <v>15</v>
      </c>
      <c r="Q73" s="23">
        <v>16</v>
      </c>
      <c r="R73" s="23">
        <v>17</v>
      </c>
      <c r="S73" s="23">
        <v>18</v>
      </c>
      <c r="T73" s="23">
        <v>19</v>
      </c>
      <c r="U73" s="23">
        <v>20</v>
      </c>
      <c r="V73" s="23">
        <v>21</v>
      </c>
      <c r="W73" s="23">
        <v>22</v>
      </c>
      <c r="X73" s="23">
        <v>23</v>
      </c>
      <c r="Y73" s="23">
        <v>24</v>
      </c>
      <c r="Z73" s="23">
        <v>25</v>
      </c>
      <c r="AA73" s="23">
        <v>26</v>
      </c>
      <c r="AB73" s="23">
        <v>27</v>
      </c>
      <c r="AC73" s="23">
        <v>28</v>
      </c>
      <c r="AD73" s="23">
        <v>29</v>
      </c>
      <c r="AE73" s="23">
        <v>30</v>
      </c>
      <c r="AH73" s="59" t="s">
        <v>18</v>
      </c>
      <c r="AI73" s="59" t="s">
        <v>19</v>
      </c>
    </row>
    <row r="74" spans="1:35" ht="20.100000000000001" customHeight="1">
      <c r="A74" s="62"/>
      <c r="B74" s="15" t="str">
        <f>'2021'!B28</f>
        <v>Cs</v>
      </c>
      <c r="C74" s="15" t="str">
        <f>'2021'!C28</f>
        <v>P</v>
      </c>
      <c r="D74" s="15" t="str">
        <f>'2021'!D28</f>
        <v>Szo</v>
      </c>
      <c r="E74" s="15" t="str">
        <f>'2021'!E28</f>
        <v>V</v>
      </c>
      <c r="F74" s="15" t="str">
        <f>'2021'!F28</f>
        <v>H</v>
      </c>
      <c r="G74" s="15" t="str">
        <f>'2021'!G28</f>
        <v>K</v>
      </c>
      <c r="H74" s="15" t="str">
        <f>'2021'!H28</f>
        <v>Sze</v>
      </c>
      <c r="I74" s="15" t="str">
        <f>'2021'!I28</f>
        <v>Cs</v>
      </c>
      <c r="J74" s="15" t="str">
        <f>'2021'!J28</f>
        <v>P</v>
      </c>
      <c r="K74" s="15" t="str">
        <f>'2021'!K28</f>
        <v>Szo</v>
      </c>
      <c r="L74" s="15" t="str">
        <f>'2021'!L28</f>
        <v>V</v>
      </c>
      <c r="M74" s="15" t="str">
        <f>'2021'!M28</f>
        <v>H</v>
      </c>
      <c r="N74" s="15" t="str">
        <f>'2021'!N28</f>
        <v>K</v>
      </c>
      <c r="O74" s="15" t="str">
        <f>'2021'!O28</f>
        <v>Sze</v>
      </c>
      <c r="P74" s="15" t="str">
        <f>'2021'!P28</f>
        <v>Cs</v>
      </c>
      <c r="Q74" s="15" t="str">
        <f>'2021'!Q28</f>
        <v>P</v>
      </c>
      <c r="R74" s="15" t="str">
        <f>'2021'!R28</f>
        <v>Szo</v>
      </c>
      <c r="S74" s="15" t="str">
        <f>'2021'!S28</f>
        <v>V</v>
      </c>
      <c r="T74" s="15" t="str">
        <f>'2021'!T28</f>
        <v>H</v>
      </c>
      <c r="U74" s="15" t="str">
        <f>'2021'!U28</f>
        <v>K</v>
      </c>
      <c r="V74" s="15" t="str">
        <f>'2021'!V28</f>
        <v>Sze</v>
      </c>
      <c r="W74" s="15" t="str">
        <f>'2021'!W28</f>
        <v>Cs</v>
      </c>
      <c r="X74" s="15" t="str">
        <f>'2021'!X28</f>
        <v>P</v>
      </c>
      <c r="Y74" s="15" t="str">
        <f>'2021'!Y28</f>
        <v>Szo</v>
      </c>
      <c r="Z74" s="15" t="str">
        <f>'2021'!Z28</f>
        <v>V</v>
      </c>
      <c r="AA74" s="15" t="str">
        <f>'2021'!AA28</f>
        <v>H</v>
      </c>
      <c r="AB74" s="15" t="str">
        <f>'2021'!AB28</f>
        <v>K</v>
      </c>
      <c r="AC74" s="15" t="str">
        <f>'2021'!AC28</f>
        <v>Sze</v>
      </c>
      <c r="AD74" s="15" t="str">
        <f>'2021'!AD28</f>
        <v>Cs</v>
      </c>
      <c r="AE74" s="15" t="str">
        <f>'2021'!AE28</f>
        <v>P</v>
      </c>
      <c r="AF74" s="6"/>
      <c r="AH74" s="60"/>
      <c r="AI74" s="60"/>
    </row>
    <row r="75" spans="1:35" ht="20.100000000000001" customHeight="1">
      <c r="A75" s="62"/>
      <c r="B75" s="15">
        <f>'2021'!B32</f>
        <v>2</v>
      </c>
      <c r="C75" s="15">
        <f>'2021'!C32</f>
        <v>2</v>
      </c>
      <c r="D75" s="15">
        <f>'2021'!D32</f>
        <v>2</v>
      </c>
      <c r="E75" s="15">
        <f>'2021'!E32</f>
        <v>2</v>
      </c>
      <c r="F75" s="15" t="str">
        <f>'2021'!F32</f>
        <v>X</v>
      </c>
      <c r="G75" s="15" t="str">
        <f>'2021'!G32</f>
        <v>X</v>
      </c>
      <c r="H75" s="15">
        <f>'2021'!H32</f>
        <v>1</v>
      </c>
      <c r="I75" s="15">
        <f>'2021'!I32</f>
        <v>1</v>
      </c>
      <c r="J75" s="15">
        <f>'2021'!J32</f>
        <v>1</v>
      </c>
      <c r="K75" s="15">
        <f>'2021'!K32</f>
        <v>1</v>
      </c>
      <c r="L75" s="15">
        <f>'2021'!L32</f>
        <v>1</v>
      </c>
      <c r="M75" s="15">
        <f>'2021'!M32</f>
        <v>1</v>
      </c>
      <c r="N75" s="15" t="str">
        <f>'2021'!N32</f>
        <v>X</v>
      </c>
      <c r="O75" s="15" t="str">
        <f>'2021'!O32</f>
        <v>X</v>
      </c>
      <c r="P75" s="15">
        <f>'2021'!P32</f>
        <v>3</v>
      </c>
      <c r="Q75" s="15">
        <f>'2021'!Q32</f>
        <v>3</v>
      </c>
      <c r="R75" s="15">
        <f>'2021'!R32</f>
        <v>3</v>
      </c>
      <c r="S75" s="15">
        <f>'2021'!S32</f>
        <v>3</v>
      </c>
      <c r="T75" s="15">
        <f>'2021'!T32</f>
        <v>3</v>
      </c>
      <c r="U75" s="15">
        <f>'2021'!U32</f>
        <v>3</v>
      </c>
      <c r="V75" s="15" t="str">
        <f>'2021'!V32</f>
        <v>X</v>
      </c>
      <c r="W75" s="15" t="str">
        <f>'2021'!W32</f>
        <v>X</v>
      </c>
      <c r="X75" s="15">
        <f>'2021'!X32</f>
        <v>2</v>
      </c>
      <c r="Y75" s="15">
        <f>'2021'!Y32</f>
        <v>2</v>
      </c>
      <c r="Z75" s="15">
        <f>'2021'!Z32</f>
        <v>2</v>
      </c>
      <c r="AA75" s="15">
        <f>'2021'!AA32</f>
        <v>2</v>
      </c>
      <c r="AB75" s="15">
        <f>'2021'!AB32</f>
        <v>2</v>
      </c>
      <c r="AC75" s="15">
        <f>'2021'!AC32</f>
        <v>2</v>
      </c>
      <c r="AD75" s="15" t="str">
        <f>'2021'!AD32</f>
        <v>X</v>
      </c>
      <c r="AE75" s="15" t="str">
        <f>'2021'!AE32</f>
        <v>X</v>
      </c>
      <c r="AF75" s="6"/>
      <c r="AH75" s="60"/>
      <c r="AI75" s="60"/>
    </row>
    <row r="76" spans="1:35" ht="20.100000000000001" customHeight="1">
      <c r="A76" s="24" t="str">
        <f>ÖSSZES!$A$72</f>
        <v>Daku Gábor</v>
      </c>
      <c r="B76" s="39">
        <f>[1]D!B37</f>
        <v>0</v>
      </c>
      <c r="C76" s="39">
        <f>[1]D!C37</f>
        <v>0</v>
      </c>
      <c r="D76" s="39">
        <f>[1]D!D37</f>
        <v>0</v>
      </c>
      <c r="E76" s="39">
        <f>[1]D!E37</f>
        <v>0</v>
      </c>
      <c r="F76" s="39" t="str">
        <f>[1]D!F37</f>
        <v>X</v>
      </c>
      <c r="G76" s="39" t="str">
        <f>[1]D!G37</f>
        <v>X</v>
      </c>
      <c r="H76" s="39">
        <f>[1]D!H37</f>
        <v>0</v>
      </c>
      <c r="I76" s="39">
        <f>[1]D!I37</f>
        <v>0</v>
      </c>
      <c r="J76" s="39">
        <f>[1]D!J37</f>
        <v>0</v>
      </c>
      <c r="K76" s="39">
        <f>[1]D!K37</f>
        <v>0</v>
      </c>
      <c r="L76" s="39">
        <f>[1]D!L37</f>
        <v>0</v>
      </c>
      <c r="M76" s="39">
        <f>[1]D!M37</f>
        <v>0</v>
      </c>
      <c r="N76" s="39" t="str">
        <f>[1]D!N37</f>
        <v>X</v>
      </c>
      <c r="O76" s="39" t="str">
        <f>[1]D!O37</f>
        <v>X</v>
      </c>
      <c r="P76" s="39">
        <f>[1]D!P37</f>
        <v>0</v>
      </c>
      <c r="Q76" s="39">
        <f>[1]D!Q37</f>
        <v>0</v>
      </c>
      <c r="R76" s="39">
        <f>[1]D!R37</f>
        <v>0</v>
      </c>
      <c r="S76" s="39">
        <f>[1]D!S37</f>
        <v>0</v>
      </c>
      <c r="T76" s="39">
        <f>[1]D!T37</f>
        <v>0</v>
      </c>
      <c r="U76" s="39">
        <f>[1]D!U37</f>
        <v>0</v>
      </c>
      <c r="V76" s="39" t="str">
        <f>[1]D!V37</f>
        <v>X</v>
      </c>
      <c r="W76" s="39" t="str">
        <f>[1]D!W37</f>
        <v>X</v>
      </c>
      <c r="X76" s="39">
        <f>[1]D!X37</f>
        <v>0</v>
      </c>
      <c r="Y76" s="39">
        <f>[1]D!Y37</f>
        <v>0</v>
      </c>
      <c r="Z76" s="39">
        <f>[1]D!Z37</f>
        <v>0</v>
      </c>
      <c r="AA76" s="39">
        <f>[1]D!AA37</f>
        <v>0</v>
      </c>
      <c r="AB76" s="39">
        <f>[1]D!AB37</f>
        <v>0</v>
      </c>
      <c r="AC76" s="39">
        <f>[1]D!AC37</f>
        <v>0</v>
      </c>
      <c r="AD76" s="39" t="s">
        <v>2</v>
      </c>
      <c r="AE76" s="39" t="s">
        <v>2</v>
      </c>
      <c r="AF76" s="6"/>
      <c r="AH76" s="20">
        <f>1*COUNTIF(A76:AF76,"+")</f>
        <v>0</v>
      </c>
      <c r="AI76" s="20">
        <f t="shared" ref="AI76" si="8">1*COUNTIF(B76:AF76,"szf")</f>
        <v>0</v>
      </c>
    </row>
    <row r="77" spans="1:35" ht="20.100000000000001" customHeight="1">
      <c r="A77" s="24" t="str">
        <f>ÖSSZES!$A$73</f>
        <v>Borbély Csaba</v>
      </c>
      <c r="B77" s="39">
        <f>[1]D!B38</f>
        <v>0</v>
      </c>
      <c r="C77" s="39">
        <f>[1]D!C38</f>
        <v>0</v>
      </c>
      <c r="D77" s="39">
        <f>[1]D!D38</f>
        <v>0</v>
      </c>
      <c r="E77" s="39">
        <f>[1]D!E38</f>
        <v>0</v>
      </c>
      <c r="F77" s="39" t="str">
        <f>[1]D!F38</f>
        <v>X</v>
      </c>
      <c r="G77" s="39" t="str">
        <f>[1]D!G38</f>
        <v>X</v>
      </c>
      <c r="H77" s="39">
        <f>[1]D!H38</f>
        <v>0</v>
      </c>
      <c r="I77" s="39">
        <f>[1]D!I38</f>
        <v>0</v>
      </c>
      <c r="J77" s="39">
        <f>[1]D!J38</f>
        <v>0</v>
      </c>
      <c r="K77" s="39">
        <f>[1]D!K38</f>
        <v>0</v>
      </c>
      <c r="L77" s="39">
        <f>[1]D!L38</f>
        <v>0</v>
      </c>
      <c r="M77" s="39">
        <f>[1]D!M38</f>
        <v>0</v>
      </c>
      <c r="N77" s="39" t="str">
        <f>[1]D!N38</f>
        <v>X</v>
      </c>
      <c r="O77" s="39" t="str">
        <f>[1]D!O38</f>
        <v>X</v>
      </c>
      <c r="P77" s="39">
        <f>[1]D!P38</f>
        <v>0</v>
      </c>
      <c r="Q77" s="39">
        <f>[1]D!Q38</f>
        <v>0</v>
      </c>
      <c r="R77" s="39">
        <f>[1]D!R38</f>
        <v>0</v>
      </c>
      <c r="S77" s="39">
        <f>[1]D!S38</f>
        <v>0</v>
      </c>
      <c r="T77" s="39">
        <f>[1]D!T38</f>
        <v>0</v>
      </c>
      <c r="U77" s="39">
        <f>[1]D!U38</f>
        <v>0</v>
      </c>
      <c r="V77" s="39" t="str">
        <f>[1]D!V38</f>
        <v>X</v>
      </c>
      <c r="W77" s="39" t="str">
        <f>[1]D!W38</f>
        <v>X</v>
      </c>
      <c r="X77" s="39">
        <f>[1]D!X38</f>
        <v>0</v>
      </c>
      <c r="Y77" s="39">
        <f>[1]D!Y38</f>
        <v>0</v>
      </c>
      <c r="Z77" s="39">
        <f>[1]D!Z38</f>
        <v>0</v>
      </c>
      <c r="AA77" s="39">
        <f>[1]D!AA38</f>
        <v>0</v>
      </c>
      <c r="AB77" s="39">
        <f>[1]D!AB38</f>
        <v>0</v>
      </c>
      <c r="AC77" s="39">
        <f>[1]D!AC38</f>
        <v>0</v>
      </c>
      <c r="AD77" s="39" t="s">
        <v>2</v>
      </c>
      <c r="AE77" s="39" t="s">
        <v>2</v>
      </c>
      <c r="AF77" s="6"/>
      <c r="AH77" s="20">
        <f t="shared" ref="AH77:AH95" si="9">1*COUNTIF(A77:AF77,"+")</f>
        <v>0</v>
      </c>
      <c r="AI77" s="20">
        <f t="shared" ref="AI77:AI95" si="10">1*COUNTIF(B77:AF77,"szf")</f>
        <v>0</v>
      </c>
    </row>
    <row r="78" spans="1:35" ht="20.100000000000001" customHeight="1">
      <c r="A78" s="24" t="str">
        <f>ÖSSZES!$A$74</f>
        <v>Erdei Bálint</v>
      </c>
      <c r="B78" s="39">
        <f>[1]D!B39</f>
        <v>0</v>
      </c>
      <c r="C78" s="39">
        <f>[1]D!C39</f>
        <v>0</v>
      </c>
      <c r="D78" s="39">
        <f>[1]D!D39</f>
        <v>0</v>
      </c>
      <c r="E78" s="39">
        <f>[1]D!E39</f>
        <v>0</v>
      </c>
      <c r="F78" s="39" t="str">
        <f>[1]D!F39</f>
        <v>X</v>
      </c>
      <c r="G78" s="39" t="str">
        <f>[1]D!G39</f>
        <v>X</v>
      </c>
      <c r="H78" s="39">
        <f>[1]D!H39</f>
        <v>0</v>
      </c>
      <c r="I78" s="39">
        <f>[1]D!I39</f>
        <v>0</v>
      </c>
      <c r="J78" s="39">
        <f>[1]D!J39</f>
        <v>0</v>
      </c>
      <c r="K78" s="39">
        <f>[1]D!K39</f>
        <v>0</v>
      </c>
      <c r="L78" s="39">
        <f>[1]D!L39</f>
        <v>0</v>
      </c>
      <c r="M78" s="39">
        <f>[1]D!M39</f>
        <v>0</v>
      </c>
      <c r="N78" s="39" t="str">
        <f>[1]D!N39</f>
        <v>X</v>
      </c>
      <c r="O78" s="39" t="str">
        <f>[1]D!O39</f>
        <v>X</v>
      </c>
      <c r="P78" s="39">
        <f>[1]D!P39</f>
        <v>0</v>
      </c>
      <c r="Q78" s="39">
        <f>[1]D!Q39</f>
        <v>0</v>
      </c>
      <c r="R78" s="39">
        <f>[1]D!R39</f>
        <v>0</v>
      </c>
      <c r="S78" s="39">
        <f>[1]D!S39</f>
        <v>0</v>
      </c>
      <c r="T78" s="39">
        <f>[1]D!T39</f>
        <v>0</v>
      </c>
      <c r="U78" s="39">
        <f>[1]D!U39</f>
        <v>0</v>
      </c>
      <c r="V78" s="39" t="str">
        <f>[1]D!V39</f>
        <v>X</v>
      </c>
      <c r="W78" s="39" t="str">
        <f>[1]D!W39</f>
        <v>X</v>
      </c>
      <c r="X78" s="39">
        <f>[1]D!X39</f>
        <v>0</v>
      </c>
      <c r="Y78" s="39">
        <f>[1]D!Y39</f>
        <v>0</v>
      </c>
      <c r="Z78" s="39">
        <f>[1]D!Z39</f>
        <v>0</v>
      </c>
      <c r="AA78" s="39">
        <f>[1]D!AA39</f>
        <v>0</v>
      </c>
      <c r="AB78" s="39">
        <f>[1]D!AB39</f>
        <v>0</v>
      </c>
      <c r="AC78" s="39">
        <f>[1]D!AC39</f>
        <v>0</v>
      </c>
      <c r="AD78" s="39" t="s">
        <v>2</v>
      </c>
      <c r="AE78" s="39" t="s">
        <v>2</v>
      </c>
      <c r="AF78" s="6"/>
      <c r="AH78" s="20">
        <f t="shared" si="9"/>
        <v>0</v>
      </c>
      <c r="AI78" s="20">
        <f t="shared" si="10"/>
        <v>0</v>
      </c>
    </row>
    <row r="79" spans="1:35" ht="20.100000000000001" customHeight="1">
      <c r="A79" s="24" t="str">
        <f>ÖSSZES!$A$75</f>
        <v>Fábián Gábor</v>
      </c>
      <c r="B79" s="39">
        <f>[1]D!B40</f>
        <v>0</v>
      </c>
      <c r="C79" s="39">
        <f>[1]D!C40</f>
        <v>0</v>
      </c>
      <c r="D79" s="39">
        <f>[1]D!D40</f>
        <v>0</v>
      </c>
      <c r="E79" s="39">
        <f>[1]D!E40</f>
        <v>0</v>
      </c>
      <c r="F79" s="39" t="str">
        <f>[1]D!F40</f>
        <v>X</v>
      </c>
      <c r="G79" s="39" t="str">
        <f>[1]D!G40</f>
        <v>X</v>
      </c>
      <c r="H79" s="39">
        <f>[1]D!H40</f>
        <v>0</v>
      </c>
      <c r="I79" s="39">
        <f>[1]D!I40</f>
        <v>0</v>
      </c>
      <c r="J79" s="39">
        <f>[1]D!J40</f>
        <v>0</v>
      </c>
      <c r="K79" s="39">
        <f>[1]D!K40</f>
        <v>0</v>
      </c>
      <c r="L79" s="39">
        <f>[1]D!L40</f>
        <v>0</v>
      </c>
      <c r="M79" s="39">
        <f>[1]D!M40</f>
        <v>0</v>
      </c>
      <c r="N79" s="39" t="str">
        <f>[1]D!N40</f>
        <v>X</v>
      </c>
      <c r="O79" s="39" t="str">
        <f>[1]D!O40</f>
        <v>X</v>
      </c>
      <c r="P79" s="39">
        <f>[1]D!P40</f>
        <v>0</v>
      </c>
      <c r="Q79" s="39">
        <f>[1]D!Q40</f>
        <v>0</v>
      </c>
      <c r="R79" s="39">
        <f>[1]D!R40</f>
        <v>0</v>
      </c>
      <c r="S79" s="39">
        <f>[1]D!S40</f>
        <v>0</v>
      </c>
      <c r="T79" s="39">
        <f>[1]D!T40</f>
        <v>0</v>
      </c>
      <c r="U79" s="39">
        <f>[1]D!U40</f>
        <v>0</v>
      </c>
      <c r="V79" s="39" t="str">
        <f>[1]D!V40</f>
        <v>X</v>
      </c>
      <c r="W79" s="39" t="str">
        <f>[1]D!W40</f>
        <v>X</v>
      </c>
      <c r="X79" s="39">
        <f>[1]D!X40</f>
        <v>0</v>
      </c>
      <c r="Y79" s="39">
        <f>[1]D!Y40</f>
        <v>0</v>
      </c>
      <c r="Z79" s="39">
        <f>[1]D!Z40</f>
        <v>0</v>
      </c>
      <c r="AA79" s="39">
        <f>[1]D!AA40</f>
        <v>0</v>
      </c>
      <c r="AB79" s="39">
        <f>[1]D!AB40</f>
        <v>0</v>
      </c>
      <c r="AC79" s="39">
        <f>[1]D!AC40</f>
        <v>0</v>
      </c>
      <c r="AD79" s="39" t="s">
        <v>2</v>
      </c>
      <c r="AE79" s="39" t="s">
        <v>2</v>
      </c>
      <c r="AF79" s="6"/>
      <c r="AH79" s="20">
        <f t="shared" si="9"/>
        <v>0</v>
      </c>
      <c r="AI79" s="20">
        <f t="shared" si="10"/>
        <v>0</v>
      </c>
    </row>
    <row r="80" spans="1:35" ht="20.100000000000001" customHeight="1">
      <c r="A80" s="24" t="str">
        <f>ÖSSZES!$A$76</f>
        <v>Gellei Zsolt</v>
      </c>
      <c r="B80" s="39">
        <f>[1]D!B41</f>
        <v>0</v>
      </c>
      <c r="C80" s="39">
        <f>[1]D!C41</f>
        <v>0</v>
      </c>
      <c r="D80" s="39">
        <f>[1]D!D41</f>
        <v>0</v>
      </c>
      <c r="E80" s="39">
        <f>[1]D!E41</f>
        <v>0</v>
      </c>
      <c r="F80" s="39" t="str">
        <f>[1]D!F41</f>
        <v>X</v>
      </c>
      <c r="G80" s="39" t="str">
        <f>[1]D!G41</f>
        <v>X</v>
      </c>
      <c r="H80" s="39">
        <f>[1]D!H41</f>
        <v>0</v>
      </c>
      <c r="I80" s="39">
        <f>[1]D!I41</f>
        <v>0</v>
      </c>
      <c r="J80" s="39">
        <f>[1]D!J41</f>
        <v>0</v>
      </c>
      <c r="K80" s="39">
        <f>[1]D!K41</f>
        <v>0</v>
      </c>
      <c r="L80" s="39">
        <f>[1]D!L41</f>
        <v>0</v>
      </c>
      <c r="M80" s="39">
        <f>[1]D!M41</f>
        <v>0</v>
      </c>
      <c r="N80" s="39" t="str">
        <f>[1]D!N41</f>
        <v>X</v>
      </c>
      <c r="O80" s="39" t="str">
        <f>[1]D!O41</f>
        <v>X</v>
      </c>
      <c r="P80" s="39">
        <f>[1]D!P41</f>
        <v>0</v>
      </c>
      <c r="Q80" s="39">
        <f>[1]D!Q41</f>
        <v>0</v>
      </c>
      <c r="R80" s="39">
        <f>[1]D!R41</f>
        <v>0</v>
      </c>
      <c r="S80" s="39">
        <f>[1]D!S41</f>
        <v>0</v>
      </c>
      <c r="T80" s="39">
        <f>[1]D!T41</f>
        <v>0</v>
      </c>
      <c r="U80" s="39">
        <f>[1]D!U41</f>
        <v>0</v>
      </c>
      <c r="V80" s="39" t="str">
        <f>[1]D!V41</f>
        <v>X</v>
      </c>
      <c r="W80" s="39" t="str">
        <f>[1]D!W41</f>
        <v>X</v>
      </c>
      <c r="X80" s="39">
        <f>[1]D!X41</f>
        <v>0</v>
      </c>
      <c r="Y80" s="39">
        <f>[1]D!Y41</f>
        <v>0</v>
      </c>
      <c r="Z80" s="39">
        <f>[1]D!Z41</f>
        <v>0</v>
      </c>
      <c r="AA80" s="39">
        <f>[1]D!AA41</f>
        <v>0</v>
      </c>
      <c r="AB80" s="39">
        <f>[1]D!AB41</f>
        <v>0</v>
      </c>
      <c r="AC80" s="39">
        <f>[1]D!AC41</f>
        <v>0</v>
      </c>
      <c r="AD80" s="39" t="s">
        <v>2</v>
      </c>
      <c r="AE80" s="39" t="s">
        <v>2</v>
      </c>
      <c r="AF80" s="6"/>
      <c r="AH80" s="20">
        <f t="shared" si="9"/>
        <v>0</v>
      </c>
      <c r="AI80" s="20">
        <f t="shared" si="10"/>
        <v>0</v>
      </c>
    </row>
    <row r="81" spans="1:35" ht="20.100000000000001" customHeight="1">
      <c r="A81" s="24" t="str">
        <f>ÖSSZES!$A$77</f>
        <v>Kiss Gyula</v>
      </c>
      <c r="B81" s="39">
        <f>[1]D!B42</f>
        <v>0</v>
      </c>
      <c r="C81" s="39">
        <f>[1]D!C42</f>
        <v>0</v>
      </c>
      <c r="D81" s="39">
        <f>[1]D!D42</f>
        <v>0</v>
      </c>
      <c r="E81" s="39">
        <f>[1]D!E42</f>
        <v>0</v>
      </c>
      <c r="F81" s="39" t="str">
        <f>[1]D!F42</f>
        <v>X</v>
      </c>
      <c r="G81" s="39" t="str">
        <f>[1]D!G42</f>
        <v>X</v>
      </c>
      <c r="H81" s="39">
        <f>[1]D!H42</f>
        <v>0</v>
      </c>
      <c r="I81" s="39">
        <f>[1]D!I42</f>
        <v>0</v>
      </c>
      <c r="J81" s="39">
        <f>[1]D!J42</f>
        <v>0</v>
      </c>
      <c r="K81" s="39">
        <f>[1]D!K42</f>
        <v>0</v>
      </c>
      <c r="L81" s="39">
        <f>[1]D!L42</f>
        <v>0</v>
      </c>
      <c r="M81" s="39">
        <f>[1]D!M42</f>
        <v>0</v>
      </c>
      <c r="N81" s="39" t="str">
        <f>[1]D!N42</f>
        <v>X</v>
      </c>
      <c r="O81" s="39" t="str">
        <f>[1]D!O42</f>
        <v>X</v>
      </c>
      <c r="P81" s="39">
        <f>[1]D!P42</f>
        <v>0</v>
      </c>
      <c r="Q81" s="39">
        <f>[1]D!Q42</f>
        <v>0</v>
      </c>
      <c r="R81" s="39">
        <f>[1]D!R42</f>
        <v>0</v>
      </c>
      <c r="S81" s="39">
        <f>[1]D!S42</f>
        <v>0</v>
      </c>
      <c r="T81" s="39">
        <f>[1]D!T42</f>
        <v>0</v>
      </c>
      <c r="U81" s="39">
        <f>[1]D!U42</f>
        <v>0</v>
      </c>
      <c r="V81" s="39" t="str">
        <f>[1]D!V42</f>
        <v>X</v>
      </c>
      <c r="W81" s="39" t="str">
        <f>[1]D!W42</f>
        <v>X</v>
      </c>
      <c r="X81" s="39">
        <f>[1]D!X42</f>
        <v>0</v>
      </c>
      <c r="Y81" s="39">
        <f>[1]D!Y42</f>
        <v>0</v>
      </c>
      <c r="Z81" s="39">
        <f>[1]D!Z42</f>
        <v>0</v>
      </c>
      <c r="AA81" s="39">
        <f>[1]D!AA42</f>
        <v>0</v>
      </c>
      <c r="AB81" s="39">
        <f>[1]D!AB42</f>
        <v>0</v>
      </c>
      <c r="AC81" s="39">
        <f>[1]D!AC42</f>
        <v>0</v>
      </c>
      <c r="AD81" s="39" t="s">
        <v>2</v>
      </c>
      <c r="AE81" s="39" t="s">
        <v>2</v>
      </c>
      <c r="AF81" s="6"/>
      <c r="AH81" s="20">
        <f t="shared" si="9"/>
        <v>0</v>
      </c>
      <c r="AI81" s="20">
        <f t="shared" si="10"/>
        <v>0</v>
      </c>
    </row>
    <row r="82" spans="1:35" ht="20.100000000000001" customHeight="1">
      <c r="A82" s="24" t="str">
        <f>ÖSSZES!$A$78</f>
        <v>Nagy István</v>
      </c>
      <c r="B82" s="39">
        <f>[1]D!B43</f>
        <v>0</v>
      </c>
      <c r="C82" s="39">
        <f>[1]D!C43</f>
        <v>0</v>
      </c>
      <c r="D82" s="39">
        <f>[1]D!D43</f>
        <v>0</v>
      </c>
      <c r="E82" s="39">
        <f>[1]D!E43</f>
        <v>0</v>
      </c>
      <c r="F82" s="39" t="str">
        <f>[1]D!F43</f>
        <v>X</v>
      </c>
      <c r="G82" s="39" t="str">
        <f>[1]D!G43</f>
        <v>X</v>
      </c>
      <c r="H82" s="39">
        <f>[1]D!H43</f>
        <v>0</v>
      </c>
      <c r="I82" s="39">
        <f>[1]D!I43</f>
        <v>0</v>
      </c>
      <c r="J82" s="39">
        <f>[1]D!J43</f>
        <v>0</v>
      </c>
      <c r="K82" s="39">
        <f>[1]D!K43</f>
        <v>0</v>
      </c>
      <c r="L82" s="39">
        <f>[1]D!L43</f>
        <v>0</v>
      </c>
      <c r="M82" s="39">
        <f>[1]D!M43</f>
        <v>0</v>
      </c>
      <c r="N82" s="39" t="str">
        <f>[1]D!N43</f>
        <v>X</v>
      </c>
      <c r="O82" s="39" t="str">
        <f>[1]D!O43</f>
        <v>X</v>
      </c>
      <c r="P82" s="39">
        <f>[1]D!P43</f>
        <v>0</v>
      </c>
      <c r="Q82" s="39">
        <f>[1]D!Q43</f>
        <v>0</v>
      </c>
      <c r="R82" s="39">
        <f>[1]D!R43</f>
        <v>0</v>
      </c>
      <c r="S82" s="39">
        <f>[1]D!S43</f>
        <v>0</v>
      </c>
      <c r="T82" s="39">
        <f>[1]D!T43</f>
        <v>0</v>
      </c>
      <c r="U82" s="39">
        <f>[1]D!U43</f>
        <v>0</v>
      </c>
      <c r="V82" s="39" t="str">
        <f>[1]D!V43</f>
        <v>X</v>
      </c>
      <c r="W82" s="39" t="str">
        <f>[1]D!W43</f>
        <v>X</v>
      </c>
      <c r="X82" s="39">
        <f>[1]D!X43</f>
        <v>0</v>
      </c>
      <c r="Y82" s="39">
        <f>[1]D!Y43</f>
        <v>0</v>
      </c>
      <c r="Z82" s="39">
        <f>[1]D!Z43</f>
        <v>0</v>
      </c>
      <c r="AA82" s="39">
        <f>[1]D!AA43</f>
        <v>0</v>
      </c>
      <c r="AB82" s="39">
        <f>[1]D!AB43</f>
        <v>0</v>
      </c>
      <c r="AC82" s="39">
        <f>[1]D!AC43</f>
        <v>0</v>
      </c>
      <c r="AD82" s="39" t="s">
        <v>2</v>
      </c>
      <c r="AE82" s="39" t="s">
        <v>2</v>
      </c>
      <c r="AF82" s="6"/>
      <c r="AH82" s="20">
        <f t="shared" si="9"/>
        <v>0</v>
      </c>
      <c r="AI82" s="20">
        <f t="shared" si="10"/>
        <v>0</v>
      </c>
    </row>
    <row r="83" spans="1:35" ht="20.100000000000001" hidden="1" customHeight="1">
      <c r="A83" s="24" t="str">
        <f>ÖSSZES!$A$79</f>
        <v>Név8</v>
      </c>
      <c r="B83" s="39"/>
      <c r="C83" s="39"/>
      <c r="D83" s="39"/>
      <c r="E83" s="39"/>
      <c r="F83" s="39" t="s">
        <v>2</v>
      </c>
      <c r="G83" s="39" t="s">
        <v>2</v>
      </c>
      <c r="H83" s="39"/>
      <c r="I83" s="39"/>
      <c r="J83" s="39"/>
      <c r="K83" s="39"/>
      <c r="L83" s="39"/>
      <c r="M83" s="39"/>
      <c r="N83" s="39" t="s">
        <v>2</v>
      </c>
      <c r="O83" s="39" t="s">
        <v>2</v>
      </c>
      <c r="P83" s="39"/>
      <c r="Q83" s="39"/>
      <c r="R83" s="39"/>
      <c r="S83" s="39"/>
      <c r="T83" s="39"/>
      <c r="U83" s="39"/>
      <c r="V83" s="39" t="s">
        <v>2</v>
      </c>
      <c r="W83" s="39" t="s">
        <v>2</v>
      </c>
      <c r="X83" s="39"/>
      <c r="Y83" s="39"/>
      <c r="Z83" s="39"/>
      <c r="AA83" s="39"/>
      <c r="AB83" s="39"/>
      <c r="AC83" s="39"/>
      <c r="AD83" s="39" t="s">
        <v>2</v>
      </c>
      <c r="AE83" s="39" t="s">
        <v>2</v>
      </c>
      <c r="AF83" s="6"/>
      <c r="AH83" s="20">
        <f t="shared" si="9"/>
        <v>0</v>
      </c>
      <c r="AI83" s="20">
        <f t="shared" si="10"/>
        <v>0</v>
      </c>
    </row>
    <row r="84" spans="1:35" ht="20.100000000000001" hidden="1" customHeight="1">
      <c r="A84" s="24" t="str">
        <f>ÖSSZES!$A$80</f>
        <v>Név9</v>
      </c>
      <c r="B84" s="39"/>
      <c r="C84" s="39"/>
      <c r="D84" s="39"/>
      <c r="E84" s="39"/>
      <c r="F84" s="39" t="s">
        <v>2</v>
      </c>
      <c r="G84" s="39" t="s">
        <v>2</v>
      </c>
      <c r="H84" s="39"/>
      <c r="I84" s="39"/>
      <c r="J84" s="39"/>
      <c r="K84" s="39"/>
      <c r="L84" s="39"/>
      <c r="M84" s="39"/>
      <c r="N84" s="39" t="s">
        <v>2</v>
      </c>
      <c r="O84" s="39" t="s">
        <v>2</v>
      </c>
      <c r="P84" s="39"/>
      <c r="Q84" s="39"/>
      <c r="R84" s="39"/>
      <c r="S84" s="39"/>
      <c r="T84" s="39"/>
      <c r="U84" s="39"/>
      <c r="V84" s="39" t="s">
        <v>2</v>
      </c>
      <c r="W84" s="39" t="s">
        <v>2</v>
      </c>
      <c r="X84" s="39"/>
      <c r="Y84" s="39"/>
      <c r="Z84" s="39"/>
      <c r="AA84" s="39"/>
      <c r="AB84" s="39"/>
      <c r="AC84" s="39"/>
      <c r="AD84" s="39" t="s">
        <v>2</v>
      </c>
      <c r="AE84" s="39" t="s">
        <v>2</v>
      </c>
      <c r="AF84" s="6"/>
      <c r="AH84" s="20">
        <f t="shared" si="9"/>
        <v>0</v>
      </c>
      <c r="AI84" s="20">
        <f t="shared" si="10"/>
        <v>0</v>
      </c>
    </row>
    <row r="85" spans="1:35" ht="20.100000000000001" hidden="1" customHeight="1">
      <c r="A85" s="24" t="str">
        <f>ÖSSZES!$A$81</f>
        <v>Név10</v>
      </c>
      <c r="B85" s="39"/>
      <c r="C85" s="39"/>
      <c r="D85" s="39"/>
      <c r="E85" s="39"/>
      <c r="F85" s="39" t="s">
        <v>2</v>
      </c>
      <c r="G85" s="39" t="s">
        <v>2</v>
      </c>
      <c r="H85" s="39"/>
      <c r="I85" s="39"/>
      <c r="J85" s="39"/>
      <c r="K85" s="39"/>
      <c r="L85" s="39"/>
      <c r="M85" s="39"/>
      <c r="N85" s="39" t="s">
        <v>2</v>
      </c>
      <c r="O85" s="39" t="s">
        <v>2</v>
      </c>
      <c r="P85" s="39"/>
      <c r="Q85" s="39"/>
      <c r="R85" s="39"/>
      <c r="S85" s="39"/>
      <c r="T85" s="39"/>
      <c r="U85" s="39"/>
      <c r="V85" s="39" t="s">
        <v>2</v>
      </c>
      <c r="W85" s="39" t="s">
        <v>2</v>
      </c>
      <c r="X85" s="39"/>
      <c r="Y85" s="39"/>
      <c r="Z85" s="39"/>
      <c r="AA85" s="39"/>
      <c r="AB85" s="39"/>
      <c r="AC85" s="39"/>
      <c r="AD85" s="39" t="s">
        <v>2</v>
      </c>
      <c r="AE85" s="39" t="s">
        <v>2</v>
      </c>
      <c r="AF85" s="6"/>
      <c r="AH85" s="20">
        <f t="shared" si="9"/>
        <v>0</v>
      </c>
      <c r="AI85" s="20">
        <f t="shared" si="10"/>
        <v>0</v>
      </c>
    </row>
    <row r="86" spans="1:35" ht="20.100000000000001" hidden="1" customHeight="1">
      <c r="A86" s="24" t="str">
        <f>ÖSSZES!$A$82</f>
        <v>Név11</v>
      </c>
      <c r="B86" s="39"/>
      <c r="C86" s="39"/>
      <c r="D86" s="39"/>
      <c r="E86" s="39"/>
      <c r="F86" s="39" t="s">
        <v>2</v>
      </c>
      <c r="G86" s="39" t="s">
        <v>2</v>
      </c>
      <c r="H86" s="39"/>
      <c r="I86" s="39"/>
      <c r="J86" s="39"/>
      <c r="K86" s="39"/>
      <c r="L86" s="39"/>
      <c r="M86" s="39"/>
      <c r="N86" s="39" t="s">
        <v>2</v>
      </c>
      <c r="O86" s="39" t="s">
        <v>2</v>
      </c>
      <c r="P86" s="39"/>
      <c r="Q86" s="39"/>
      <c r="R86" s="39"/>
      <c r="S86" s="39"/>
      <c r="T86" s="39"/>
      <c r="U86" s="39"/>
      <c r="V86" s="39" t="s">
        <v>2</v>
      </c>
      <c r="W86" s="39" t="s">
        <v>2</v>
      </c>
      <c r="X86" s="39"/>
      <c r="Y86" s="39"/>
      <c r="Z86" s="39"/>
      <c r="AA86" s="39"/>
      <c r="AB86" s="39"/>
      <c r="AC86" s="39"/>
      <c r="AD86" s="39" t="s">
        <v>2</v>
      </c>
      <c r="AE86" s="39" t="s">
        <v>2</v>
      </c>
      <c r="AF86" s="6"/>
      <c r="AH86" s="20">
        <f t="shared" si="9"/>
        <v>0</v>
      </c>
      <c r="AI86" s="20">
        <f t="shared" si="10"/>
        <v>0</v>
      </c>
    </row>
    <row r="87" spans="1:35" ht="20.100000000000001" hidden="1" customHeight="1">
      <c r="A87" s="24" t="str">
        <f>ÖSSZES!$A$83</f>
        <v>Név12</v>
      </c>
      <c r="B87" s="39"/>
      <c r="C87" s="39"/>
      <c r="D87" s="39"/>
      <c r="E87" s="39"/>
      <c r="F87" s="39" t="s">
        <v>2</v>
      </c>
      <c r="G87" s="39" t="s">
        <v>2</v>
      </c>
      <c r="H87" s="39"/>
      <c r="I87" s="39"/>
      <c r="J87" s="39"/>
      <c r="K87" s="39"/>
      <c r="L87" s="39"/>
      <c r="M87" s="39"/>
      <c r="N87" s="39" t="s">
        <v>2</v>
      </c>
      <c r="O87" s="39" t="s">
        <v>2</v>
      </c>
      <c r="P87" s="39"/>
      <c r="Q87" s="39"/>
      <c r="R87" s="39"/>
      <c r="S87" s="39"/>
      <c r="T87" s="39"/>
      <c r="U87" s="39"/>
      <c r="V87" s="39" t="s">
        <v>2</v>
      </c>
      <c r="W87" s="39" t="s">
        <v>2</v>
      </c>
      <c r="X87" s="39"/>
      <c r="Y87" s="39"/>
      <c r="Z87" s="39"/>
      <c r="AA87" s="39"/>
      <c r="AB87" s="39"/>
      <c r="AC87" s="39"/>
      <c r="AD87" s="39" t="s">
        <v>2</v>
      </c>
      <c r="AE87" s="39" t="s">
        <v>2</v>
      </c>
      <c r="AF87" s="6"/>
      <c r="AH87" s="20">
        <f t="shared" si="9"/>
        <v>0</v>
      </c>
      <c r="AI87" s="20">
        <f t="shared" si="10"/>
        <v>0</v>
      </c>
    </row>
    <row r="88" spans="1:35" ht="20.100000000000001" hidden="1" customHeight="1">
      <c r="A88" s="24" t="str">
        <f>ÖSSZES!$A$84</f>
        <v>Név13</v>
      </c>
      <c r="B88" s="39"/>
      <c r="C88" s="39"/>
      <c r="D88" s="39"/>
      <c r="E88" s="39"/>
      <c r="F88" s="39" t="s">
        <v>2</v>
      </c>
      <c r="G88" s="39" t="s">
        <v>2</v>
      </c>
      <c r="H88" s="39"/>
      <c r="I88" s="39"/>
      <c r="J88" s="39"/>
      <c r="K88" s="39"/>
      <c r="L88" s="39"/>
      <c r="M88" s="39"/>
      <c r="N88" s="39" t="s">
        <v>2</v>
      </c>
      <c r="O88" s="39" t="s">
        <v>2</v>
      </c>
      <c r="P88" s="39"/>
      <c r="Q88" s="39"/>
      <c r="R88" s="39"/>
      <c r="S88" s="39"/>
      <c r="T88" s="39"/>
      <c r="U88" s="39"/>
      <c r="V88" s="39" t="s">
        <v>2</v>
      </c>
      <c r="W88" s="39" t="s">
        <v>2</v>
      </c>
      <c r="X88" s="39"/>
      <c r="Y88" s="39"/>
      <c r="Z88" s="39"/>
      <c r="AA88" s="39"/>
      <c r="AB88" s="39"/>
      <c r="AC88" s="39"/>
      <c r="AD88" s="39" t="s">
        <v>2</v>
      </c>
      <c r="AE88" s="39" t="s">
        <v>2</v>
      </c>
      <c r="AF88" s="6"/>
      <c r="AH88" s="20">
        <f t="shared" si="9"/>
        <v>0</v>
      </c>
      <c r="AI88" s="20">
        <f t="shared" si="10"/>
        <v>0</v>
      </c>
    </row>
    <row r="89" spans="1:35" ht="20.100000000000001" hidden="1" customHeight="1">
      <c r="A89" s="24" t="str">
        <f>ÖSSZES!$A$85</f>
        <v>Név14</v>
      </c>
      <c r="B89" s="39"/>
      <c r="C89" s="39"/>
      <c r="D89" s="39"/>
      <c r="E89" s="39"/>
      <c r="F89" s="39" t="s">
        <v>2</v>
      </c>
      <c r="G89" s="39" t="s">
        <v>2</v>
      </c>
      <c r="H89" s="39"/>
      <c r="I89" s="39"/>
      <c r="J89" s="39"/>
      <c r="K89" s="39"/>
      <c r="L89" s="39"/>
      <c r="M89" s="39"/>
      <c r="N89" s="39" t="s">
        <v>2</v>
      </c>
      <c r="O89" s="39" t="s">
        <v>2</v>
      </c>
      <c r="P89" s="39"/>
      <c r="Q89" s="39"/>
      <c r="R89" s="39"/>
      <c r="S89" s="39"/>
      <c r="T89" s="39"/>
      <c r="U89" s="39"/>
      <c r="V89" s="39" t="s">
        <v>2</v>
      </c>
      <c r="W89" s="39" t="s">
        <v>2</v>
      </c>
      <c r="X89" s="39"/>
      <c r="Y89" s="39"/>
      <c r="Z89" s="39"/>
      <c r="AA89" s="39"/>
      <c r="AB89" s="39"/>
      <c r="AC89" s="39"/>
      <c r="AD89" s="39" t="s">
        <v>2</v>
      </c>
      <c r="AE89" s="39" t="s">
        <v>2</v>
      </c>
      <c r="AF89" s="6"/>
      <c r="AH89" s="20">
        <f t="shared" si="9"/>
        <v>0</v>
      </c>
      <c r="AI89" s="20">
        <f t="shared" si="10"/>
        <v>0</v>
      </c>
    </row>
    <row r="90" spans="1:35" ht="20.100000000000001" hidden="1" customHeight="1">
      <c r="A90" s="24" t="str">
        <f>ÖSSZES!$A$86</f>
        <v>Név15</v>
      </c>
      <c r="B90" s="39"/>
      <c r="C90" s="39"/>
      <c r="D90" s="39"/>
      <c r="E90" s="39"/>
      <c r="F90" s="39" t="s">
        <v>2</v>
      </c>
      <c r="G90" s="39" t="s">
        <v>2</v>
      </c>
      <c r="H90" s="39"/>
      <c r="I90" s="39"/>
      <c r="J90" s="39"/>
      <c r="K90" s="39"/>
      <c r="L90" s="39"/>
      <c r="M90" s="39"/>
      <c r="N90" s="39" t="s">
        <v>2</v>
      </c>
      <c r="O90" s="39" t="s">
        <v>2</v>
      </c>
      <c r="P90" s="39"/>
      <c r="Q90" s="39"/>
      <c r="R90" s="39"/>
      <c r="S90" s="39"/>
      <c r="T90" s="39"/>
      <c r="U90" s="39"/>
      <c r="V90" s="39" t="s">
        <v>2</v>
      </c>
      <c r="W90" s="39" t="s">
        <v>2</v>
      </c>
      <c r="X90" s="39"/>
      <c r="Y90" s="39"/>
      <c r="Z90" s="39"/>
      <c r="AA90" s="39"/>
      <c r="AB90" s="39"/>
      <c r="AC90" s="39"/>
      <c r="AD90" s="39" t="s">
        <v>2</v>
      </c>
      <c r="AE90" s="39" t="s">
        <v>2</v>
      </c>
      <c r="AF90" s="6"/>
      <c r="AH90" s="20">
        <f t="shared" si="9"/>
        <v>0</v>
      </c>
      <c r="AI90" s="20">
        <f t="shared" si="10"/>
        <v>0</v>
      </c>
    </row>
    <row r="91" spans="1:35" ht="20.100000000000001" hidden="1" customHeight="1">
      <c r="A91" s="24" t="str">
        <f>ÖSSZES!$A$87</f>
        <v>Név16</v>
      </c>
      <c r="B91" s="39"/>
      <c r="C91" s="39"/>
      <c r="D91" s="39"/>
      <c r="E91" s="39"/>
      <c r="F91" s="39" t="s">
        <v>2</v>
      </c>
      <c r="G91" s="39" t="s">
        <v>2</v>
      </c>
      <c r="H91" s="39"/>
      <c r="I91" s="39"/>
      <c r="J91" s="39"/>
      <c r="K91" s="39"/>
      <c r="L91" s="39"/>
      <c r="M91" s="39"/>
      <c r="N91" s="39" t="s">
        <v>2</v>
      </c>
      <c r="O91" s="39" t="s">
        <v>2</v>
      </c>
      <c r="P91" s="39"/>
      <c r="Q91" s="39"/>
      <c r="R91" s="39"/>
      <c r="S91" s="39"/>
      <c r="T91" s="39"/>
      <c r="U91" s="39"/>
      <c r="V91" s="39" t="s">
        <v>2</v>
      </c>
      <c r="W91" s="39" t="s">
        <v>2</v>
      </c>
      <c r="X91" s="39"/>
      <c r="Y91" s="39"/>
      <c r="Z91" s="39"/>
      <c r="AA91" s="39"/>
      <c r="AB91" s="39"/>
      <c r="AC91" s="39"/>
      <c r="AD91" s="39" t="s">
        <v>2</v>
      </c>
      <c r="AE91" s="39" t="s">
        <v>2</v>
      </c>
      <c r="AF91" s="6"/>
      <c r="AH91" s="20">
        <f t="shared" si="9"/>
        <v>0</v>
      </c>
      <c r="AI91" s="20">
        <f t="shared" si="10"/>
        <v>0</v>
      </c>
    </row>
    <row r="92" spans="1:35" ht="20.100000000000001" hidden="1" customHeight="1">
      <c r="A92" s="24" t="str">
        <f>ÖSSZES!$A$88</f>
        <v>Név17</v>
      </c>
      <c r="B92" s="39"/>
      <c r="C92" s="39"/>
      <c r="D92" s="39"/>
      <c r="E92" s="39"/>
      <c r="F92" s="39" t="s">
        <v>2</v>
      </c>
      <c r="G92" s="39" t="s">
        <v>2</v>
      </c>
      <c r="H92" s="39"/>
      <c r="I92" s="39"/>
      <c r="J92" s="39"/>
      <c r="K92" s="39"/>
      <c r="L92" s="39"/>
      <c r="M92" s="39"/>
      <c r="N92" s="39" t="s">
        <v>2</v>
      </c>
      <c r="O92" s="39" t="s">
        <v>2</v>
      </c>
      <c r="P92" s="39"/>
      <c r="Q92" s="39"/>
      <c r="R92" s="39"/>
      <c r="S92" s="39"/>
      <c r="T92" s="39"/>
      <c r="U92" s="39"/>
      <c r="V92" s="39" t="s">
        <v>2</v>
      </c>
      <c r="W92" s="39" t="s">
        <v>2</v>
      </c>
      <c r="X92" s="39"/>
      <c r="Y92" s="39"/>
      <c r="Z92" s="39"/>
      <c r="AA92" s="39"/>
      <c r="AB92" s="39"/>
      <c r="AC92" s="39"/>
      <c r="AD92" s="39" t="s">
        <v>2</v>
      </c>
      <c r="AE92" s="39" t="s">
        <v>2</v>
      </c>
      <c r="AF92" s="6"/>
      <c r="AH92" s="20">
        <f t="shared" si="9"/>
        <v>0</v>
      </c>
      <c r="AI92" s="20">
        <f t="shared" si="10"/>
        <v>0</v>
      </c>
    </row>
    <row r="93" spans="1:35" ht="20.100000000000001" hidden="1" customHeight="1">
      <c r="A93" s="24" t="str">
        <f>ÖSSZES!$A$89</f>
        <v>Név18</v>
      </c>
      <c r="B93" s="39"/>
      <c r="C93" s="39"/>
      <c r="D93" s="39"/>
      <c r="E93" s="39"/>
      <c r="F93" s="39" t="s">
        <v>2</v>
      </c>
      <c r="G93" s="39" t="s">
        <v>2</v>
      </c>
      <c r="H93" s="39"/>
      <c r="I93" s="39"/>
      <c r="J93" s="39"/>
      <c r="K93" s="39"/>
      <c r="L93" s="39"/>
      <c r="M93" s="39"/>
      <c r="N93" s="39" t="s">
        <v>2</v>
      </c>
      <c r="O93" s="39" t="s">
        <v>2</v>
      </c>
      <c r="P93" s="39"/>
      <c r="Q93" s="39"/>
      <c r="R93" s="39"/>
      <c r="S93" s="39"/>
      <c r="T93" s="39"/>
      <c r="U93" s="39"/>
      <c r="V93" s="39" t="s">
        <v>2</v>
      </c>
      <c r="W93" s="39" t="s">
        <v>2</v>
      </c>
      <c r="X93" s="39"/>
      <c r="Y93" s="39"/>
      <c r="Z93" s="39"/>
      <c r="AA93" s="39"/>
      <c r="AB93" s="39"/>
      <c r="AC93" s="39"/>
      <c r="AD93" s="39" t="s">
        <v>2</v>
      </c>
      <c r="AE93" s="39" t="s">
        <v>2</v>
      </c>
      <c r="AF93" s="6"/>
      <c r="AH93" s="20">
        <f t="shared" si="9"/>
        <v>0</v>
      </c>
      <c r="AI93" s="20">
        <f t="shared" si="10"/>
        <v>0</v>
      </c>
    </row>
    <row r="94" spans="1:35" ht="20.100000000000001" hidden="1" customHeight="1">
      <c r="A94" s="24" t="str">
        <f>ÖSSZES!$A$90</f>
        <v>Név19</v>
      </c>
      <c r="B94" s="39"/>
      <c r="C94" s="39"/>
      <c r="D94" s="39"/>
      <c r="E94" s="39"/>
      <c r="F94" s="39" t="s">
        <v>2</v>
      </c>
      <c r="G94" s="39" t="s">
        <v>2</v>
      </c>
      <c r="H94" s="39"/>
      <c r="I94" s="39"/>
      <c r="J94" s="39"/>
      <c r="K94" s="39"/>
      <c r="L94" s="39"/>
      <c r="M94" s="39"/>
      <c r="N94" s="39" t="s">
        <v>2</v>
      </c>
      <c r="O94" s="39" t="s">
        <v>2</v>
      </c>
      <c r="P94" s="39"/>
      <c r="Q94" s="39"/>
      <c r="R94" s="39"/>
      <c r="S94" s="39"/>
      <c r="T94" s="39"/>
      <c r="U94" s="39"/>
      <c r="V94" s="39" t="s">
        <v>2</v>
      </c>
      <c r="W94" s="39" t="s">
        <v>2</v>
      </c>
      <c r="X94" s="39"/>
      <c r="Y94" s="39"/>
      <c r="Z94" s="39"/>
      <c r="AA94" s="39"/>
      <c r="AB94" s="39"/>
      <c r="AC94" s="39"/>
      <c r="AD94" s="39" t="s">
        <v>2</v>
      </c>
      <c r="AE94" s="39" t="s">
        <v>2</v>
      </c>
      <c r="AF94" s="6"/>
      <c r="AH94" s="20">
        <f t="shared" si="9"/>
        <v>0</v>
      </c>
      <c r="AI94" s="20">
        <f t="shared" si="10"/>
        <v>0</v>
      </c>
    </row>
    <row r="95" spans="1:35" ht="20.100000000000001" hidden="1" customHeight="1">
      <c r="A95" s="24" t="str">
        <f>ÖSSZES!$A$91</f>
        <v>Név20</v>
      </c>
      <c r="B95" s="39"/>
      <c r="C95" s="39"/>
      <c r="D95" s="39"/>
      <c r="E95" s="39"/>
      <c r="F95" s="39" t="s">
        <v>2</v>
      </c>
      <c r="G95" s="39" t="s">
        <v>2</v>
      </c>
      <c r="H95" s="39"/>
      <c r="I95" s="39"/>
      <c r="J95" s="39"/>
      <c r="K95" s="39"/>
      <c r="L95" s="39"/>
      <c r="M95" s="39"/>
      <c r="N95" s="39" t="s">
        <v>2</v>
      </c>
      <c r="O95" s="39" t="s">
        <v>2</v>
      </c>
      <c r="P95" s="39"/>
      <c r="Q95" s="39"/>
      <c r="R95" s="39"/>
      <c r="S95" s="39"/>
      <c r="T95" s="39"/>
      <c r="U95" s="39"/>
      <c r="V95" s="39" t="s">
        <v>2</v>
      </c>
      <c r="W95" s="39" t="s">
        <v>2</v>
      </c>
      <c r="X95" s="39"/>
      <c r="Y95" s="39"/>
      <c r="Z95" s="39"/>
      <c r="AA95" s="39"/>
      <c r="AB95" s="39"/>
      <c r="AC95" s="39"/>
      <c r="AD95" s="39" t="s">
        <v>2</v>
      </c>
      <c r="AE95" s="39" t="s">
        <v>2</v>
      </c>
      <c r="AF95" s="6"/>
      <c r="AH95" s="20">
        <f t="shared" si="9"/>
        <v>0</v>
      </c>
      <c r="AI95" s="20">
        <f t="shared" si="10"/>
        <v>0</v>
      </c>
    </row>
    <row r="96" spans="1:35" ht="20.100000000000001" customHeight="1"/>
    <row r="97" spans="1:35" s="11" customFormat="1" ht="20.100000000000001" customHeight="1">
      <c r="A97" s="57" t="s">
        <v>9</v>
      </c>
      <c r="B97" s="25">
        <v>1</v>
      </c>
      <c r="C97" s="23">
        <v>2</v>
      </c>
      <c r="D97" s="23">
        <v>3</v>
      </c>
      <c r="E97" s="23">
        <v>4</v>
      </c>
      <c r="F97" s="23">
        <v>5</v>
      </c>
      <c r="G97" s="23">
        <v>6</v>
      </c>
      <c r="H97" s="23">
        <v>7</v>
      </c>
      <c r="I97" s="23">
        <v>8</v>
      </c>
      <c r="J97" s="23">
        <v>9</v>
      </c>
      <c r="K97" s="23">
        <v>10</v>
      </c>
      <c r="L97" s="23">
        <v>11</v>
      </c>
      <c r="M97" s="23">
        <v>12</v>
      </c>
      <c r="N97" s="23">
        <v>13</v>
      </c>
      <c r="O97" s="23">
        <v>14</v>
      </c>
      <c r="P97" s="23">
        <v>15</v>
      </c>
      <c r="Q97" s="23">
        <v>16</v>
      </c>
      <c r="R97" s="23">
        <v>17</v>
      </c>
      <c r="S97" s="23">
        <v>18</v>
      </c>
      <c r="T97" s="23">
        <v>19</v>
      </c>
      <c r="U97" s="23">
        <v>20</v>
      </c>
      <c r="V97" s="23">
        <v>21</v>
      </c>
      <c r="W97" s="23">
        <v>22</v>
      </c>
      <c r="X97" s="23">
        <v>23</v>
      </c>
      <c r="Y97" s="23">
        <v>24</v>
      </c>
      <c r="Z97" s="23">
        <v>25</v>
      </c>
      <c r="AA97" s="23">
        <v>26</v>
      </c>
      <c r="AB97" s="23">
        <v>27</v>
      </c>
      <c r="AC97" s="23">
        <v>28</v>
      </c>
      <c r="AD97" s="23">
        <v>29</v>
      </c>
      <c r="AE97" s="23">
        <v>30</v>
      </c>
      <c r="AF97" s="23">
        <v>31</v>
      </c>
      <c r="AH97" s="59" t="s">
        <v>18</v>
      </c>
      <c r="AI97" s="59" t="s">
        <v>19</v>
      </c>
    </row>
    <row r="98" spans="1:35" ht="20.100000000000001" customHeight="1">
      <c r="A98" s="61"/>
      <c r="B98" s="16" t="str">
        <f>'2021'!B36</f>
        <v>Szo</v>
      </c>
      <c r="C98" s="16" t="str">
        <f>'2021'!C36</f>
        <v>V</v>
      </c>
      <c r="D98" s="16" t="str">
        <f>'2021'!D36</f>
        <v>H</v>
      </c>
      <c r="E98" s="16" t="str">
        <f>'2021'!E36</f>
        <v>K</v>
      </c>
      <c r="F98" s="16" t="str">
        <f>'2021'!F36</f>
        <v>Sze</v>
      </c>
      <c r="G98" s="16" t="str">
        <f>'2021'!G36</f>
        <v>Cs</v>
      </c>
      <c r="H98" s="16" t="str">
        <f>'2021'!H36</f>
        <v>P</v>
      </c>
      <c r="I98" s="16" t="str">
        <f>'2021'!I36</f>
        <v>Szo</v>
      </c>
      <c r="J98" s="16" t="str">
        <f>'2021'!J36</f>
        <v>V</v>
      </c>
      <c r="K98" s="16" t="str">
        <f>'2021'!K36</f>
        <v>H</v>
      </c>
      <c r="L98" s="16" t="str">
        <f>'2021'!L36</f>
        <v>K</v>
      </c>
      <c r="M98" s="16" t="str">
        <f>'2021'!M36</f>
        <v>Sze</v>
      </c>
      <c r="N98" s="16" t="str">
        <f>'2021'!N36</f>
        <v>Cs</v>
      </c>
      <c r="O98" s="16" t="str">
        <f>'2021'!O36</f>
        <v>P</v>
      </c>
      <c r="P98" s="16" t="str">
        <f>'2021'!P36</f>
        <v>Szo</v>
      </c>
      <c r="Q98" s="16" t="str">
        <f>'2021'!Q36</f>
        <v>V</v>
      </c>
      <c r="R98" s="16" t="str">
        <f>'2021'!R36</f>
        <v>H</v>
      </c>
      <c r="S98" s="16" t="str">
        <f>'2021'!S36</f>
        <v>K</v>
      </c>
      <c r="T98" s="16" t="str">
        <f>'2021'!T36</f>
        <v>Sze</v>
      </c>
      <c r="U98" s="16" t="str">
        <f>'2021'!U36</f>
        <v>Cs</v>
      </c>
      <c r="V98" s="16" t="str">
        <f>'2021'!V36</f>
        <v>P</v>
      </c>
      <c r="W98" s="16" t="str">
        <f>'2021'!W36</f>
        <v>Szo</v>
      </c>
      <c r="X98" s="16" t="str">
        <f>'2021'!X36</f>
        <v>V</v>
      </c>
      <c r="Y98" s="16" t="str">
        <f>'2021'!Y36</f>
        <v>H</v>
      </c>
      <c r="Z98" s="16" t="str">
        <f>'2021'!Z36</f>
        <v>K</v>
      </c>
      <c r="AA98" s="16" t="str">
        <f>'2021'!AA36</f>
        <v>Sze</v>
      </c>
      <c r="AB98" s="16" t="str">
        <f>'2021'!AB36</f>
        <v>Cs</v>
      </c>
      <c r="AC98" s="16" t="str">
        <f>'2021'!AC36</f>
        <v>P</v>
      </c>
      <c r="AD98" s="16" t="str">
        <f>'2021'!AD36</f>
        <v>Szo</v>
      </c>
      <c r="AE98" s="16" t="str">
        <f>'2021'!AE36</f>
        <v>V</v>
      </c>
      <c r="AF98" s="16" t="str">
        <f>'2021'!AF36</f>
        <v>H</v>
      </c>
      <c r="AH98" s="60"/>
      <c r="AI98" s="60"/>
    </row>
    <row r="99" spans="1:35" ht="20.100000000000001" customHeight="1">
      <c r="A99" s="61"/>
      <c r="B99" s="15">
        <f>'2021'!B40</f>
        <v>1</v>
      </c>
      <c r="C99" s="15">
        <f>'2021'!C40</f>
        <v>1</v>
      </c>
      <c r="D99" s="15">
        <f>'2021'!D40</f>
        <v>1</v>
      </c>
      <c r="E99" s="15">
        <f>'2021'!E40</f>
        <v>1</v>
      </c>
      <c r="F99" s="15">
        <f>'2021'!F40</f>
        <v>1</v>
      </c>
      <c r="G99" s="15">
        <f>'2021'!G40</f>
        <v>1</v>
      </c>
      <c r="H99" s="15" t="str">
        <f>'2021'!H40</f>
        <v>X</v>
      </c>
      <c r="I99" s="15" t="str">
        <f>'2021'!I40</f>
        <v>X</v>
      </c>
      <c r="J99" s="15">
        <f>'2021'!J40</f>
        <v>3</v>
      </c>
      <c r="K99" s="15">
        <f>'2021'!K40</f>
        <v>3</v>
      </c>
      <c r="L99" s="15">
        <f>'2021'!L40</f>
        <v>3</v>
      </c>
      <c r="M99" s="15">
        <f>'2021'!M40</f>
        <v>3</v>
      </c>
      <c r="N99" s="15">
        <f>'2021'!N40</f>
        <v>3</v>
      </c>
      <c r="O99" s="15">
        <f>'2021'!O40</f>
        <v>3</v>
      </c>
      <c r="P99" s="15" t="str">
        <f>'2021'!P40</f>
        <v>X</v>
      </c>
      <c r="Q99" s="15" t="str">
        <f>'2021'!Q40</f>
        <v>X</v>
      </c>
      <c r="R99" s="15">
        <f>'2021'!R40</f>
        <v>2</v>
      </c>
      <c r="S99" s="15">
        <f>'2021'!S40</f>
        <v>2</v>
      </c>
      <c r="T99" s="15">
        <f>'2021'!T40</f>
        <v>2</v>
      </c>
      <c r="U99" s="15">
        <f>'2021'!U40</f>
        <v>2</v>
      </c>
      <c r="V99" s="15">
        <f>'2021'!V40</f>
        <v>2</v>
      </c>
      <c r="W99" s="15">
        <f>'2021'!W40</f>
        <v>2</v>
      </c>
      <c r="X99" s="15" t="str">
        <f>'2021'!X40</f>
        <v>X</v>
      </c>
      <c r="Y99" s="15" t="str">
        <f>'2021'!Y40</f>
        <v>X</v>
      </c>
      <c r="Z99" s="15">
        <f>'2021'!Z40</f>
        <v>1</v>
      </c>
      <c r="AA99" s="15">
        <f>'2021'!AA40</f>
        <v>1</v>
      </c>
      <c r="AB99" s="15">
        <f>'2021'!AB40</f>
        <v>1</v>
      </c>
      <c r="AC99" s="15">
        <f>'2021'!AC40</f>
        <v>1</v>
      </c>
      <c r="AD99" s="15">
        <f>'2021'!AD40</f>
        <v>1</v>
      </c>
      <c r="AE99" s="15">
        <f>'2021'!AE40</f>
        <v>1</v>
      </c>
      <c r="AF99" s="15" t="str">
        <f>'2021'!AF40</f>
        <v>X</v>
      </c>
      <c r="AH99" s="60"/>
      <c r="AI99" s="60"/>
    </row>
    <row r="100" spans="1:35" ht="20.100000000000001" customHeight="1">
      <c r="A100" s="24" t="str">
        <f>ÖSSZES!$A$72</f>
        <v>Daku Gábor</v>
      </c>
      <c r="B100" s="39">
        <f>[1]D!B48</f>
        <v>0</v>
      </c>
      <c r="C100" s="39">
        <f>[1]D!C48</f>
        <v>0</v>
      </c>
      <c r="D100" s="39">
        <f>[1]D!D48</f>
        <v>0</v>
      </c>
      <c r="E100" s="39">
        <f>[1]D!E48</f>
        <v>0</v>
      </c>
      <c r="F100" s="39">
        <f>[1]D!F48</f>
        <v>0</v>
      </c>
      <c r="G100" s="39">
        <f>[1]D!G48</f>
        <v>0</v>
      </c>
      <c r="H100" s="39" t="str">
        <f>[1]D!H48</f>
        <v>X</v>
      </c>
      <c r="I100" s="39" t="str">
        <f>[1]D!I48</f>
        <v>X</v>
      </c>
      <c r="J100" s="39">
        <f>[1]D!J48</f>
        <v>0</v>
      </c>
      <c r="K100" s="39">
        <f>[1]D!K48</f>
        <v>0</v>
      </c>
      <c r="L100" s="39">
        <f>[1]D!L48</f>
        <v>0</v>
      </c>
      <c r="M100" s="39">
        <f>[1]D!M48</f>
        <v>0</v>
      </c>
      <c r="N100" s="39">
        <f>[1]D!N48</f>
        <v>0</v>
      </c>
      <c r="O100" s="39">
        <f>[1]D!O48</f>
        <v>0</v>
      </c>
      <c r="P100" s="39" t="str">
        <f>[1]D!P48</f>
        <v>X</v>
      </c>
      <c r="Q100" s="39" t="str">
        <f>[1]D!Q48</f>
        <v>X</v>
      </c>
      <c r="R100" s="39">
        <f>[1]D!R48</f>
        <v>0</v>
      </c>
      <c r="S100" s="39">
        <f>[1]D!S48</f>
        <v>0</v>
      </c>
      <c r="T100" s="39">
        <f>[1]D!T48</f>
        <v>0</v>
      </c>
      <c r="U100" s="39">
        <f>[1]D!U48</f>
        <v>0</v>
      </c>
      <c r="V100" s="39">
        <f>[1]D!V48</f>
        <v>0</v>
      </c>
      <c r="W100" s="39">
        <f>[1]D!W48</f>
        <v>0</v>
      </c>
      <c r="X100" s="39" t="str">
        <f>[1]D!X48</f>
        <v>X</v>
      </c>
      <c r="Y100" s="39" t="str">
        <f>[1]D!Y48</f>
        <v>X</v>
      </c>
      <c r="Z100" s="39">
        <f>[1]D!Z48</f>
        <v>0</v>
      </c>
      <c r="AA100" s="39">
        <f>[1]D!AA48</f>
        <v>0</v>
      </c>
      <c r="AB100" s="39">
        <f>[1]D!AB48</f>
        <v>0</v>
      </c>
      <c r="AC100" s="39">
        <f>[1]D!AC48</f>
        <v>0</v>
      </c>
      <c r="AD100" s="39">
        <f>[1]D!AD48</f>
        <v>0</v>
      </c>
      <c r="AE100" s="39">
        <f>[1]D!AE48</f>
        <v>0</v>
      </c>
      <c r="AF100" s="39" t="s">
        <v>2</v>
      </c>
      <c r="AH100" s="20">
        <f>1*COUNTIF(A100:AF100,"+")</f>
        <v>0</v>
      </c>
      <c r="AI100" s="20">
        <f t="shared" ref="AI100" si="11">1*COUNTIF(B100:AF100,"szf")</f>
        <v>0</v>
      </c>
    </row>
    <row r="101" spans="1:35" ht="20.100000000000001" customHeight="1">
      <c r="A101" s="24" t="str">
        <f>ÖSSZES!$A$73</f>
        <v>Borbély Csaba</v>
      </c>
      <c r="B101" s="39">
        <f>[1]D!B49</f>
        <v>0</v>
      </c>
      <c r="C101" s="39">
        <f>[1]D!C49</f>
        <v>0</v>
      </c>
      <c r="D101" s="39">
        <f>[1]D!D49</f>
        <v>0</v>
      </c>
      <c r="E101" s="39">
        <f>[1]D!E49</f>
        <v>0</v>
      </c>
      <c r="F101" s="39">
        <f>[1]D!F49</f>
        <v>0</v>
      </c>
      <c r="G101" s="39">
        <f>[1]D!G49</f>
        <v>0</v>
      </c>
      <c r="H101" s="39" t="str">
        <f>[1]D!H49</f>
        <v>X</v>
      </c>
      <c r="I101" s="39" t="str">
        <f>[1]D!I49</f>
        <v>X</v>
      </c>
      <c r="J101" s="39">
        <f>[1]D!J49</f>
        <v>0</v>
      </c>
      <c r="K101" s="39">
        <f>[1]D!K49</f>
        <v>0</v>
      </c>
      <c r="L101" s="39">
        <f>[1]D!L49</f>
        <v>0</v>
      </c>
      <c r="M101" s="39">
        <f>[1]D!M49</f>
        <v>0</v>
      </c>
      <c r="N101" s="39">
        <f>[1]D!N49</f>
        <v>0</v>
      </c>
      <c r="O101" s="39">
        <f>[1]D!O49</f>
        <v>0</v>
      </c>
      <c r="P101" s="39" t="str">
        <f>[1]D!P49</f>
        <v>X</v>
      </c>
      <c r="Q101" s="39" t="str">
        <f>[1]D!Q49</f>
        <v>X</v>
      </c>
      <c r="R101" s="39">
        <f>[1]D!R49</f>
        <v>0</v>
      </c>
      <c r="S101" s="39">
        <f>[1]D!S49</f>
        <v>0</v>
      </c>
      <c r="T101" s="39">
        <f>[1]D!T49</f>
        <v>0</v>
      </c>
      <c r="U101" s="39">
        <f>[1]D!U49</f>
        <v>0</v>
      </c>
      <c r="V101" s="39">
        <f>[1]D!V49</f>
        <v>0</v>
      </c>
      <c r="W101" s="39">
        <f>[1]D!W49</f>
        <v>0</v>
      </c>
      <c r="X101" s="39" t="str">
        <f>[1]D!X49</f>
        <v>X</v>
      </c>
      <c r="Y101" s="39" t="str">
        <f>[1]D!Y49</f>
        <v>X</v>
      </c>
      <c r="Z101" s="39">
        <f>[1]D!Z49</f>
        <v>0</v>
      </c>
      <c r="AA101" s="39">
        <f>[1]D!AA49</f>
        <v>0</v>
      </c>
      <c r="AB101" s="39">
        <f>[1]D!AB49</f>
        <v>0</v>
      </c>
      <c r="AC101" s="39">
        <f>[1]D!AC49</f>
        <v>0</v>
      </c>
      <c r="AD101" s="39">
        <f>[1]D!AD49</f>
        <v>0</v>
      </c>
      <c r="AE101" s="39">
        <f>[1]D!AE49</f>
        <v>0</v>
      </c>
      <c r="AF101" s="39" t="s">
        <v>2</v>
      </c>
      <c r="AH101" s="20">
        <f t="shared" ref="AH101:AH119" si="12">1*COUNTIF(A101:AF101,"+")</f>
        <v>0</v>
      </c>
      <c r="AI101" s="20">
        <f t="shared" ref="AI101:AI119" si="13">1*COUNTIF(B101:AF101,"szf")</f>
        <v>0</v>
      </c>
    </row>
    <row r="102" spans="1:35" ht="20.100000000000001" customHeight="1">
      <c r="A102" s="24" t="str">
        <f>ÖSSZES!$A$74</f>
        <v>Erdei Bálint</v>
      </c>
      <c r="B102" s="39">
        <f>[1]D!B50</f>
        <v>0</v>
      </c>
      <c r="C102" s="39">
        <f>[1]D!C50</f>
        <v>0</v>
      </c>
      <c r="D102" s="39">
        <f>[1]D!D50</f>
        <v>0</v>
      </c>
      <c r="E102" s="39">
        <f>[1]D!E50</f>
        <v>0</v>
      </c>
      <c r="F102" s="39">
        <f>[1]D!F50</f>
        <v>0</v>
      </c>
      <c r="G102" s="39">
        <f>[1]D!G50</f>
        <v>0</v>
      </c>
      <c r="H102" s="39" t="str">
        <f>[1]D!H50</f>
        <v>X</v>
      </c>
      <c r="I102" s="39" t="str">
        <f>[1]D!I50</f>
        <v>X</v>
      </c>
      <c r="J102" s="39">
        <f>[1]D!J50</f>
        <v>0</v>
      </c>
      <c r="K102" s="39">
        <f>[1]D!K50</f>
        <v>0</v>
      </c>
      <c r="L102" s="39">
        <f>[1]D!L50</f>
        <v>0</v>
      </c>
      <c r="M102" s="39">
        <f>[1]D!M50</f>
        <v>0</v>
      </c>
      <c r="N102" s="39">
        <f>[1]D!N50</f>
        <v>0</v>
      </c>
      <c r="O102" s="39">
        <f>[1]D!O50</f>
        <v>0</v>
      </c>
      <c r="P102" s="39" t="str">
        <f>[1]D!P50</f>
        <v>X</v>
      </c>
      <c r="Q102" s="39" t="str">
        <f>[1]D!Q50</f>
        <v>X</v>
      </c>
      <c r="R102" s="39">
        <f>[1]D!R50</f>
        <v>0</v>
      </c>
      <c r="S102" s="39">
        <f>[1]D!S50</f>
        <v>0</v>
      </c>
      <c r="T102" s="39">
        <f>[1]D!T50</f>
        <v>0</v>
      </c>
      <c r="U102" s="39">
        <f>[1]D!U50</f>
        <v>0</v>
      </c>
      <c r="V102" s="39">
        <f>[1]D!V50</f>
        <v>0</v>
      </c>
      <c r="W102" s="39">
        <f>[1]D!W50</f>
        <v>0</v>
      </c>
      <c r="X102" s="39" t="str">
        <f>[1]D!X50</f>
        <v>X</v>
      </c>
      <c r="Y102" s="39" t="str">
        <f>[1]D!Y50</f>
        <v>X</v>
      </c>
      <c r="Z102" s="39">
        <f>[1]D!Z50</f>
        <v>0</v>
      </c>
      <c r="AA102" s="39">
        <f>[1]D!AA50</f>
        <v>0</v>
      </c>
      <c r="AB102" s="39">
        <f>[1]D!AB50</f>
        <v>0</v>
      </c>
      <c r="AC102" s="39">
        <f>[1]D!AC50</f>
        <v>0</v>
      </c>
      <c r="AD102" s="39">
        <f>[1]D!AD50</f>
        <v>0</v>
      </c>
      <c r="AE102" s="39">
        <f>[1]D!AE50</f>
        <v>0</v>
      </c>
      <c r="AF102" s="39" t="s">
        <v>2</v>
      </c>
      <c r="AH102" s="20">
        <f t="shared" si="12"/>
        <v>0</v>
      </c>
      <c r="AI102" s="20">
        <f t="shared" si="13"/>
        <v>0</v>
      </c>
    </row>
    <row r="103" spans="1:35" ht="20.100000000000001" customHeight="1">
      <c r="A103" s="24" t="str">
        <f>ÖSSZES!$A$75</f>
        <v>Fábián Gábor</v>
      </c>
      <c r="B103" s="39">
        <f>[1]D!B51</f>
        <v>0</v>
      </c>
      <c r="C103" s="39">
        <f>[1]D!C51</f>
        <v>0</v>
      </c>
      <c r="D103" s="39">
        <f>[1]D!D51</f>
        <v>0</v>
      </c>
      <c r="E103" s="39">
        <f>[1]D!E51</f>
        <v>0</v>
      </c>
      <c r="F103" s="39">
        <f>[1]D!F51</f>
        <v>0</v>
      </c>
      <c r="G103" s="39">
        <f>[1]D!G51</f>
        <v>0</v>
      </c>
      <c r="H103" s="39" t="str">
        <f>[1]D!H51</f>
        <v>X</v>
      </c>
      <c r="I103" s="39" t="str">
        <f>[1]D!I51</f>
        <v>X</v>
      </c>
      <c r="J103" s="39">
        <f>[1]D!J51</f>
        <v>0</v>
      </c>
      <c r="K103" s="39">
        <f>[1]D!K51</f>
        <v>0</v>
      </c>
      <c r="L103" s="39">
        <f>[1]D!L51</f>
        <v>0</v>
      </c>
      <c r="M103" s="39">
        <f>[1]D!M51</f>
        <v>0</v>
      </c>
      <c r="N103" s="39">
        <f>[1]D!N51</f>
        <v>0</v>
      </c>
      <c r="O103" s="39">
        <f>[1]D!O51</f>
        <v>0</v>
      </c>
      <c r="P103" s="39" t="str">
        <f>[1]D!P51</f>
        <v>X</v>
      </c>
      <c r="Q103" s="39" t="str">
        <f>[1]D!Q51</f>
        <v>X</v>
      </c>
      <c r="R103" s="39">
        <f>[1]D!R51</f>
        <v>0</v>
      </c>
      <c r="S103" s="39">
        <f>[1]D!S51</f>
        <v>0</v>
      </c>
      <c r="T103" s="39">
        <f>[1]D!T51</f>
        <v>0</v>
      </c>
      <c r="U103" s="39">
        <f>[1]D!U51</f>
        <v>0</v>
      </c>
      <c r="V103" s="39">
        <f>[1]D!V51</f>
        <v>0</v>
      </c>
      <c r="W103" s="39">
        <f>[1]D!W51</f>
        <v>0</v>
      </c>
      <c r="X103" s="39" t="str">
        <f>[1]D!X51</f>
        <v>X</v>
      </c>
      <c r="Y103" s="39" t="str">
        <f>[1]D!Y51</f>
        <v>X</v>
      </c>
      <c r="Z103" s="39">
        <f>[1]D!Z51</f>
        <v>0</v>
      </c>
      <c r="AA103" s="39">
        <f>[1]D!AA51</f>
        <v>0</v>
      </c>
      <c r="AB103" s="39">
        <f>[1]D!AB51</f>
        <v>0</v>
      </c>
      <c r="AC103" s="39">
        <f>[1]D!AC51</f>
        <v>0</v>
      </c>
      <c r="AD103" s="39">
        <f>[1]D!AD51</f>
        <v>0</v>
      </c>
      <c r="AE103" s="39">
        <f>[1]D!AE51</f>
        <v>0</v>
      </c>
      <c r="AF103" s="39" t="s">
        <v>2</v>
      </c>
      <c r="AH103" s="20">
        <f t="shared" si="12"/>
        <v>0</v>
      </c>
      <c r="AI103" s="20">
        <f t="shared" si="13"/>
        <v>0</v>
      </c>
    </row>
    <row r="104" spans="1:35" ht="20.100000000000001" customHeight="1">
      <c r="A104" s="24" t="str">
        <f>ÖSSZES!$A$76</f>
        <v>Gellei Zsolt</v>
      </c>
      <c r="B104" s="39">
        <f>[1]D!B52</f>
        <v>0</v>
      </c>
      <c r="C104" s="39">
        <f>[1]D!C52</f>
        <v>0</v>
      </c>
      <c r="D104" s="39">
        <f>[1]D!D52</f>
        <v>0</v>
      </c>
      <c r="E104" s="39">
        <f>[1]D!E52</f>
        <v>0</v>
      </c>
      <c r="F104" s="39">
        <f>[1]D!F52</f>
        <v>0</v>
      </c>
      <c r="G104" s="39">
        <f>[1]D!G52</f>
        <v>0</v>
      </c>
      <c r="H104" s="39" t="str">
        <f>[1]D!H52</f>
        <v>X</v>
      </c>
      <c r="I104" s="39" t="str">
        <f>[1]D!I52</f>
        <v>X</v>
      </c>
      <c r="J104" s="39">
        <f>[1]D!J52</f>
        <v>0</v>
      </c>
      <c r="K104" s="39">
        <f>[1]D!K52</f>
        <v>0</v>
      </c>
      <c r="L104" s="39">
        <f>[1]D!L52</f>
        <v>0</v>
      </c>
      <c r="M104" s="39">
        <f>[1]D!M52</f>
        <v>0</v>
      </c>
      <c r="N104" s="39">
        <f>[1]D!N52</f>
        <v>0</v>
      </c>
      <c r="O104" s="39">
        <f>[1]D!O52</f>
        <v>0</v>
      </c>
      <c r="P104" s="39" t="str">
        <f>[1]D!P52</f>
        <v>X</v>
      </c>
      <c r="Q104" s="39" t="str">
        <f>[1]D!Q52</f>
        <v>X</v>
      </c>
      <c r="R104" s="39">
        <f>[1]D!R52</f>
        <v>0</v>
      </c>
      <c r="S104" s="39">
        <f>[1]D!S52</f>
        <v>0</v>
      </c>
      <c r="T104" s="39">
        <f>[1]D!T52</f>
        <v>0</v>
      </c>
      <c r="U104" s="39">
        <f>[1]D!U52</f>
        <v>0</v>
      </c>
      <c r="V104" s="39">
        <f>[1]D!V52</f>
        <v>0</v>
      </c>
      <c r="W104" s="39">
        <f>[1]D!W52</f>
        <v>0</v>
      </c>
      <c r="X104" s="39" t="str">
        <f>[1]D!X52</f>
        <v>X</v>
      </c>
      <c r="Y104" s="39" t="str">
        <f>[1]D!Y52</f>
        <v>X</v>
      </c>
      <c r="Z104" s="39">
        <f>[1]D!Z52</f>
        <v>0</v>
      </c>
      <c r="AA104" s="39">
        <f>[1]D!AA52</f>
        <v>0</v>
      </c>
      <c r="AB104" s="39">
        <f>[1]D!AB52</f>
        <v>0</v>
      </c>
      <c r="AC104" s="39">
        <f>[1]D!AC52</f>
        <v>0</v>
      </c>
      <c r="AD104" s="39">
        <f>[1]D!AD52</f>
        <v>0</v>
      </c>
      <c r="AE104" s="39">
        <f>[1]D!AE52</f>
        <v>0</v>
      </c>
      <c r="AF104" s="39" t="s">
        <v>2</v>
      </c>
      <c r="AH104" s="20">
        <f t="shared" si="12"/>
        <v>0</v>
      </c>
      <c r="AI104" s="20">
        <f t="shared" si="13"/>
        <v>0</v>
      </c>
    </row>
    <row r="105" spans="1:35" ht="20.100000000000001" customHeight="1">
      <c r="A105" s="24" t="str">
        <f>ÖSSZES!$A$77</f>
        <v>Kiss Gyula</v>
      </c>
      <c r="B105" s="39">
        <f>[1]D!B53</f>
        <v>0</v>
      </c>
      <c r="C105" s="39">
        <f>[1]D!C53</f>
        <v>0</v>
      </c>
      <c r="D105" s="39">
        <f>[1]D!D53</f>
        <v>0</v>
      </c>
      <c r="E105" s="39">
        <f>[1]D!E53</f>
        <v>0</v>
      </c>
      <c r="F105" s="39">
        <f>[1]D!F53</f>
        <v>0</v>
      </c>
      <c r="G105" s="39">
        <f>[1]D!G53</f>
        <v>0</v>
      </c>
      <c r="H105" s="39" t="str">
        <f>[1]D!H53</f>
        <v>X</v>
      </c>
      <c r="I105" s="39" t="str">
        <f>[1]D!I53</f>
        <v>X</v>
      </c>
      <c r="J105" s="39">
        <f>[1]D!J53</f>
        <v>0</v>
      </c>
      <c r="K105" s="39">
        <f>[1]D!K53</f>
        <v>0</v>
      </c>
      <c r="L105" s="39">
        <f>[1]D!L53</f>
        <v>0</v>
      </c>
      <c r="M105" s="39">
        <f>[1]D!M53</f>
        <v>0</v>
      </c>
      <c r="N105" s="39">
        <f>[1]D!N53</f>
        <v>0</v>
      </c>
      <c r="O105" s="39">
        <f>[1]D!O53</f>
        <v>0</v>
      </c>
      <c r="P105" s="39" t="str">
        <f>[1]D!P53</f>
        <v>X</v>
      </c>
      <c r="Q105" s="39" t="str">
        <f>[1]D!Q53</f>
        <v>X</v>
      </c>
      <c r="R105" s="39">
        <f>[1]D!R53</f>
        <v>0</v>
      </c>
      <c r="S105" s="39">
        <f>[1]D!S53</f>
        <v>0</v>
      </c>
      <c r="T105" s="39">
        <f>[1]D!T53</f>
        <v>0</v>
      </c>
      <c r="U105" s="39">
        <f>[1]D!U53</f>
        <v>0</v>
      </c>
      <c r="V105" s="39">
        <f>[1]D!V53</f>
        <v>0</v>
      </c>
      <c r="W105" s="39">
        <f>[1]D!W53</f>
        <v>0</v>
      </c>
      <c r="X105" s="39" t="str">
        <f>[1]D!X53</f>
        <v>X</v>
      </c>
      <c r="Y105" s="39" t="str">
        <f>[1]D!Y53</f>
        <v>X</v>
      </c>
      <c r="Z105" s="39">
        <f>[1]D!Z53</f>
        <v>0</v>
      </c>
      <c r="AA105" s="39">
        <f>[1]D!AA53</f>
        <v>0</v>
      </c>
      <c r="AB105" s="39">
        <f>[1]D!AB53</f>
        <v>0</v>
      </c>
      <c r="AC105" s="39">
        <f>[1]D!AC53</f>
        <v>0</v>
      </c>
      <c r="AD105" s="39">
        <f>[1]D!AD53</f>
        <v>0</v>
      </c>
      <c r="AE105" s="39">
        <f>[1]D!AE53</f>
        <v>0</v>
      </c>
      <c r="AF105" s="39" t="s">
        <v>2</v>
      </c>
      <c r="AH105" s="20">
        <f t="shared" si="12"/>
        <v>0</v>
      </c>
      <c r="AI105" s="20">
        <f t="shared" si="13"/>
        <v>0</v>
      </c>
    </row>
    <row r="106" spans="1:35" ht="20.100000000000001" customHeight="1">
      <c r="A106" s="24" t="str">
        <f>ÖSSZES!$A$78</f>
        <v>Nagy István</v>
      </c>
      <c r="B106" s="39">
        <f>[1]D!B54</f>
        <v>0</v>
      </c>
      <c r="C106" s="39">
        <f>[1]D!C54</f>
        <v>0</v>
      </c>
      <c r="D106" s="39">
        <f>[1]D!D54</f>
        <v>0</v>
      </c>
      <c r="E106" s="39">
        <f>[1]D!E54</f>
        <v>0</v>
      </c>
      <c r="F106" s="39">
        <f>[1]D!F54</f>
        <v>0</v>
      </c>
      <c r="G106" s="39">
        <f>[1]D!G54</f>
        <v>0</v>
      </c>
      <c r="H106" s="39" t="str">
        <f>[1]D!H54</f>
        <v>X</v>
      </c>
      <c r="I106" s="39" t="str">
        <f>[1]D!I54</f>
        <v>X</v>
      </c>
      <c r="J106" s="39">
        <f>[1]D!J54</f>
        <v>0</v>
      </c>
      <c r="K106" s="39">
        <f>[1]D!K54</f>
        <v>0</v>
      </c>
      <c r="L106" s="39">
        <f>[1]D!L54</f>
        <v>0</v>
      </c>
      <c r="M106" s="39">
        <f>[1]D!M54</f>
        <v>0</v>
      </c>
      <c r="N106" s="39">
        <f>[1]D!N54</f>
        <v>0</v>
      </c>
      <c r="O106" s="39">
        <f>[1]D!O54</f>
        <v>0</v>
      </c>
      <c r="P106" s="39" t="str">
        <f>[1]D!P54</f>
        <v>X</v>
      </c>
      <c r="Q106" s="39" t="str">
        <f>[1]D!Q54</f>
        <v>X</v>
      </c>
      <c r="R106" s="39">
        <f>[1]D!R54</f>
        <v>0</v>
      </c>
      <c r="S106" s="39">
        <f>[1]D!S54</f>
        <v>0</v>
      </c>
      <c r="T106" s="39">
        <f>[1]D!T54</f>
        <v>0</v>
      </c>
      <c r="U106" s="39">
        <f>[1]D!U54</f>
        <v>0</v>
      </c>
      <c r="V106" s="39">
        <f>[1]D!V54</f>
        <v>0</v>
      </c>
      <c r="W106" s="39">
        <f>[1]D!W54</f>
        <v>0</v>
      </c>
      <c r="X106" s="39" t="str">
        <f>[1]D!X54</f>
        <v>X</v>
      </c>
      <c r="Y106" s="39" t="str">
        <f>[1]D!Y54</f>
        <v>X</v>
      </c>
      <c r="Z106" s="39">
        <f>[1]D!Z54</f>
        <v>0</v>
      </c>
      <c r="AA106" s="39">
        <f>[1]D!AA54</f>
        <v>0</v>
      </c>
      <c r="AB106" s="39">
        <f>[1]D!AB54</f>
        <v>0</v>
      </c>
      <c r="AC106" s="39">
        <f>[1]D!AC54</f>
        <v>0</v>
      </c>
      <c r="AD106" s="39">
        <f>[1]D!AD54</f>
        <v>0</v>
      </c>
      <c r="AE106" s="39">
        <f>[1]D!AE54</f>
        <v>0</v>
      </c>
      <c r="AF106" s="39" t="s">
        <v>2</v>
      </c>
      <c r="AH106" s="20">
        <f t="shared" si="12"/>
        <v>0</v>
      </c>
      <c r="AI106" s="20">
        <f t="shared" si="13"/>
        <v>0</v>
      </c>
    </row>
    <row r="107" spans="1:35" ht="20.100000000000001" hidden="1" customHeight="1">
      <c r="A107" s="24" t="str">
        <f>ÖSSZES!$A$79</f>
        <v>Név8</v>
      </c>
      <c r="B107" s="39"/>
      <c r="C107" s="39"/>
      <c r="D107" s="39"/>
      <c r="E107" s="39"/>
      <c r="F107" s="39"/>
      <c r="G107" s="39"/>
      <c r="H107" s="39" t="s">
        <v>2</v>
      </c>
      <c r="I107" s="39" t="s">
        <v>2</v>
      </c>
      <c r="J107" s="39"/>
      <c r="K107" s="39"/>
      <c r="L107" s="39"/>
      <c r="M107" s="39"/>
      <c r="N107" s="39"/>
      <c r="O107" s="39"/>
      <c r="P107" s="39" t="s">
        <v>2</v>
      </c>
      <c r="Q107" s="39" t="s">
        <v>2</v>
      </c>
      <c r="R107" s="39"/>
      <c r="S107" s="39"/>
      <c r="T107" s="39"/>
      <c r="U107" s="39"/>
      <c r="V107" s="39"/>
      <c r="W107" s="39"/>
      <c r="X107" s="39" t="s">
        <v>2</v>
      </c>
      <c r="Y107" s="39" t="s">
        <v>2</v>
      </c>
      <c r="Z107" s="39"/>
      <c r="AA107" s="39"/>
      <c r="AB107" s="39"/>
      <c r="AC107" s="39"/>
      <c r="AD107" s="39"/>
      <c r="AE107" s="39"/>
      <c r="AF107" s="39" t="s">
        <v>2</v>
      </c>
      <c r="AH107" s="20">
        <f t="shared" si="12"/>
        <v>0</v>
      </c>
      <c r="AI107" s="20">
        <f t="shared" si="13"/>
        <v>0</v>
      </c>
    </row>
    <row r="108" spans="1:35" ht="20.100000000000001" hidden="1" customHeight="1">
      <c r="A108" s="24" t="str">
        <f>ÖSSZES!$A$80</f>
        <v>Név9</v>
      </c>
      <c r="B108" s="39"/>
      <c r="C108" s="39"/>
      <c r="D108" s="39"/>
      <c r="E108" s="39"/>
      <c r="F108" s="39"/>
      <c r="G108" s="39"/>
      <c r="H108" s="39" t="s">
        <v>2</v>
      </c>
      <c r="I108" s="39" t="s">
        <v>2</v>
      </c>
      <c r="J108" s="39"/>
      <c r="K108" s="39"/>
      <c r="L108" s="39"/>
      <c r="M108" s="39"/>
      <c r="N108" s="39"/>
      <c r="O108" s="39"/>
      <c r="P108" s="39" t="s">
        <v>2</v>
      </c>
      <c r="Q108" s="39" t="s">
        <v>2</v>
      </c>
      <c r="R108" s="39"/>
      <c r="S108" s="39"/>
      <c r="T108" s="39"/>
      <c r="U108" s="39"/>
      <c r="V108" s="39"/>
      <c r="W108" s="39"/>
      <c r="X108" s="39" t="s">
        <v>2</v>
      </c>
      <c r="Y108" s="39" t="s">
        <v>2</v>
      </c>
      <c r="Z108" s="39"/>
      <c r="AA108" s="39"/>
      <c r="AB108" s="39"/>
      <c r="AC108" s="39"/>
      <c r="AD108" s="39"/>
      <c r="AE108" s="39"/>
      <c r="AF108" s="39" t="s">
        <v>2</v>
      </c>
      <c r="AH108" s="20">
        <f t="shared" si="12"/>
        <v>0</v>
      </c>
      <c r="AI108" s="20">
        <f t="shared" si="13"/>
        <v>0</v>
      </c>
    </row>
    <row r="109" spans="1:35" ht="20.100000000000001" hidden="1" customHeight="1">
      <c r="A109" s="24" t="str">
        <f>ÖSSZES!$A$81</f>
        <v>Név10</v>
      </c>
      <c r="B109" s="39"/>
      <c r="C109" s="39"/>
      <c r="D109" s="39"/>
      <c r="E109" s="39"/>
      <c r="F109" s="39"/>
      <c r="G109" s="39"/>
      <c r="H109" s="39" t="s">
        <v>2</v>
      </c>
      <c r="I109" s="39" t="s">
        <v>2</v>
      </c>
      <c r="J109" s="39"/>
      <c r="K109" s="39"/>
      <c r="L109" s="39"/>
      <c r="M109" s="39"/>
      <c r="N109" s="39"/>
      <c r="O109" s="39"/>
      <c r="P109" s="39" t="s">
        <v>2</v>
      </c>
      <c r="Q109" s="39" t="s">
        <v>2</v>
      </c>
      <c r="R109" s="39"/>
      <c r="S109" s="39"/>
      <c r="T109" s="39"/>
      <c r="U109" s="39"/>
      <c r="V109" s="39"/>
      <c r="W109" s="39"/>
      <c r="X109" s="39" t="s">
        <v>2</v>
      </c>
      <c r="Y109" s="39" t="s">
        <v>2</v>
      </c>
      <c r="Z109" s="39"/>
      <c r="AA109" s="39"/>
      <c r="AB109" s="39"/>
      <c r="AC109" s="39"/>
      <c r="AD109" s="39"/>
      <c r="AE109" s="39"/>
      <c r="AF109" s="39" t="s">
        <v>2</v>
      </c>
      <c r="AH109" s="20">
        <f t="shared" si="12"/>
        <v>0</v>
      </c>
      <c r="AI109" s="20">
        <f t="shared" si="13"/>
        <v>0</v>
      </c>
    </row>
    <row r="110" spans="1:35" ht="20.100000000000001" hidden="1" customHeight="1">
      <c r="A110" s="24" t="str">
        <f>ÖSSZES!$A$82</f>
        <v>Név11</v>
      </c>
      <c r="B110" s="39"/>
      <c r="C110" s="39"/>
      <c r="D110" s="39"/>
      <c r="E110" s="39"/>
      <c r="F110" s="39"/>
      <c r="G110" s="39"/>
      <c r="H110" s="39" t="s">
        <v>2</v>
      </c>
      <c r="I110" s="39" t="s">
        <v>2</v>
      </c>
      <c r="J110" s="39"/>
      <c r="K110" s="39"/>
      <c r="L110" s="39"/>
      <c r="M110" s="39"/>
      <c r="N110" s="39"/>
      <c r="O110" s="39"/>
      <c r="P110" s="39" t="s">
        <v>2</v>
      </c>
      <c r="Q110" s="39" t="s">
        <v>2</v>
      </c>
      <c r="R110" s="39"/>
      <c r="S110" s="39"/>
      <c r="T110" s="39"/>
      <c r="U110" s="39"/>
      <c r="V110" s="39"/>
      <c r="W110" s="39"/>
      <c r="X110" s="39" t="s">
        <v>2</v>
      </c>
      <c r="Y110" s="39" t="s">
        <v>2</v>
      </c>
      <c r="Z110" s="39"/>
      <c r="AA110" s="39"/>
      <c r="AB110" s="39"/>
      <c r="AC110" s="39"/>
      <c r="AD110" s="39"/>
      <c r="AE110" s="39"/>
      <c r="AF110" s="39" t="s">
        <v>2</v>
      </c>
      <c r="AH110" s="20">
        <f t="shared" si="12"/>
        <v>0</v>
      </c>
      <c r="AI110" s="20">
        <f t="shared" si="13"/>
        <v>0</v>
      </c>
    </row>
    <row r="111" spans="1:35" ht="20.100000000000001" hidden="1" customHeight="1">
      <c r="A111" s="24" t="str">
        <f>ÖSSZES!$A$83</f>
        <v>Név12</v>
      </c>
      <c r="B111" s="39"/>
      <c r="C111" s="39"/>
      <c r="D111" s="39"/>
      <c r="E111" s="39"/>
      <c r="F111" s="39"/>
      <c r="G111" s="39"/>
      <c r="H111" s="39" t="s">
        <v>2</v>
      </c>
      <c r="I111" s="39" t="s">
        <v>2</v>
      </c>
      <c r="J111" s="39"/>
      <c r="K111" s="39"/>
      <c r="L111" s="39"/>
      <c r="M111" s="39"/>
      <c r="N111" s="39"/>
      <c r="O111" s="39"/>
      <c r="P111" s="39" t="s">
        <v>2</v>
      </c>
      <c r="Q111" s="39" t="s">
        <v>2</v>
      </c>
      <c r="R111" s="39"/>
      <c r="S111" s="39"/>
      <c r="T111" s="39"/>
      <c r="U111" s="39"/>
      <c r="V111" s="39"/>
      <c r="W111" s="39"/>
      <c r="X111" s="39" t="s">
        <v>2</v>
      </c>
      <c r="Y111" s="39" t="s">
        <v>2</v>
      </c>
      <c r="Z111" s="39"/>
      <c r="AA111" s="39"/>
      <c r="AB111" s="39"/>
      <c r="AC111" s="39"/>
      <c r="AD111" s="39"/>
      <c r="AE111" s="39"/>
      <c r="AF111" s="39" t="s">
        <v>2</v>
      </c>
      <c r="AH111" s="20">
        <f t="shared" si="12"/>
        <v>0</v>
      </c>
      <c r="AI111" s="20">
        <f t="shared" si="13"/>
        <v>0</v>
      </c>
    </row>
    <row r="112" spans="1:35" ht="20.100000000000001" hidden="1" customHeight="1">
      <c r="A112" s="24" t="str">
        <f>ÖSSZES!$A$84</f>
        <v>Név13</v>
      </c>
      <c r="B112" s="39"/>
      <c r="C112" s="39"/>
      <c r="D112" s="39"/>
      <c r="E112" s="39"/>
      <c r="F112" s="39"/>
      <c r="G112" s="39"/>
      <c r="H112" s="39" t="s">
        <v>2</v>
      </c>
      <c r="I112" s="39" t="s">
        <v>2</v>
      </c>
      <c r="J112" s="39"/>
      <c r="K112" s="39"/>
      <c r="L112" s="39"/>
      <c r="M112" s="39"/>
      <c r="N112" s="39"/>
      <c r="O112" s="39"/>
      <c r="P112" s="39" t="s">
        <v>2</v>
      </c>
      <c r="Q112" s="39" t="s">
        <v>2</v>
      </c>
      <c r="R112" s="39"/>
      <c r="S112" s="39"/>
      <c r="T112" s="39"/>
      <c r="U112" s="39"/>
      <c r="V112" s="39"/>
      <c r="W112" s="39"/>
      <c r="X112" s="39" t="s">
        <v>2</v>
      </c>
      <c r="Y112" s="39" t="s">
        <v>2</v>
      </c>
      <c r="Z112" s="39"/>
      <c r="AA112" s="39"/>
      <c r="AB112" s="39"/>
      <c r="AC112" s="39"/>
      <c r="AD112" s="39"/>
      <c r="AE112" s="39"/>
      <c r="AF112" s="39" t="s">
        <v>2</v>
      </c>
      <c r="AH112" s="20">
        <f t="shared" si="12"/>
        <v>0</v>
      </c>
      <c r="AI112" s="20">
        <f t="shared" si="13"/>
        <v>0</v>
      </c>
    </row>
    <row r="113" spans="1:35" ht="20.100000000000001" hidden="1" customHeight="1">
      <c r="A113" s="24" t="str">
        <f>ÖSSZES!$A$85</f>
        <v>Név14</v>
      </c>
      <c r="B113" s="39"/>
      <c r="C113" s="39"/>
      <c r="D113" s="39"/>
      <c r="E113" s="39"/>
      <c r="F113" s="39"/>
      <c r="G113" s="39"/>
      <c r="H113" s="39" t="s">
        <v>2</v>
      </c>
      <c r="I113" s="39" t="s">
        <v>2</v>
      </c>
      <c r="J113" s="39"/>
      <c r="K113" s="39"/>
      <c r="L113" s="39"/>
      <c r="M113" s="39"/>
      <c r="N113" s="39"/>
      <c r="O113" s="39"/>
      <c r="P113" s="39" t="s">
        <v>2</v>
      </c>
      <c r="Q113" s="39" t="s">
        <v>2</v>
      </c>
      <c r="R113" s="39"/>
      <c r="S113" s="39"/>
      <c r="T113" s="39"/>
      <c r="U113" s="39"/>
      <c r="V113" s="39"/>
      <c r="W113" s="39"/>
      <c r="X113" s="39" t="s">
        <v>2</v>
      </c>
      <c r="Y113" s="39" t="s">
        <v>2</v>
      </c>
      <c r="Z113" s="39"/>
      <c r="AA113" s="39"/>
      <c r="AB113" s="39"/>
      <c r="AC113" s="39"/>
      <c r="AD113" s="39"/>
      <c r="AE113" s="39"/>
      <c r="AF113" s="39" t="s">
        <v>2</v>
      </c>
      <c r="AH113" s="20">
        <f t="shared" si="12"/>
        <v>0</v>
      </c>
      <c r="AI113" s="20">
        <f t="shared" si="13"/>
        <v>0</v>
      </c>
    </row>
    <row r="114" spans="1:35" ht="20.100000000000001" hidden="1" customHeight="1">
      <c r="A114" s="24" t="str">
        <f>ÖSSZES!$A$86</f>
        <v>Név15</v>
      </c>
      <c r="B114" s="39"/>
      <c r="C114" s="39"/>
      <c r="D114" s="39"/>
      <c r="E114" s="39"/>
      <c r="F114" s="39"/>
      <c r="G114" s="39"/>
      <c r="H114" s="39" t="s">
        <v>2</v>
      </c>
      <c r="I114" s="39" t="s">
        <v>2</v>
      </c>
      <c r="J114" s="39"/>
      <c r="K114" s="39"/>
      <c r="L114" s="39"/>
      <c r="M114" s="39"/>
      <c r="N114" s="39"/>
      <c r="O114" s="39"/>
      <c r="P114" s="39" t="s">
        <v>2</v>
      </c>
      <c r="Q114" s="39" t="s">
        <v>2</v>
      </c>
      <c r="R114" s="39"/>
      <c r="S114" s="39"/>
      <c r="T114" s="39"/>
      <c r="U114" s="39"/>
      <c r="V114" s="39"/>
      <c r="W114" s="39"/>
      <c r="X114" s="39" t="s">
        <v>2</v>
      </c>
      <c r="Y114" s="39" t="s">
        <v>2</v>
      </c>
      <c r="Z114" s="39"/>
      <c r="AA114" s="39"/>
      <c r="AB114" s="39"/>
      <c r="AC114" s="39"/>
      <c r="AD114" s="39"/>
      <c r="AE114" s="39"/>
      <c r="AF114" s="39" t="s">
        <v>2</v>
      </c>
      <c r="AH114" s="20">
        <f t="shared" si="12"/>
        <v>0</v>
      </c>
      <c r="AI114" s="20">
        <f t="shared" si="13"/>
        <v>0</v>
      </c>
    </row>
    <row r="115" spans="1:35" ht="20.100000000000001" hidden="1" customHeight="1">
      <c r="A115" s="24" t="str">
        <f>ÖSSZES!$A$87</f>
        <v>Név16</v>
      </c>
      <c r="B115" s="39"/>
      <c r="C115" s="39"/>
      <c r="D115" s="39"/>
      <c r="E115" s="39"/>
      <c r="F115" s="39"/>
      <c r="G115" s="39"/>
      <c r="H115" s="39" t="s">
        <v>2</v>
      </c>
      <c r="I115" s="39" t="s">
        <v>2</v>
      </c>
      <c r="J115" s="39"/>
      <c r="K115" s="39"/>
      <c r="L115" s="39"/>
      <c r="M115" s="39"/>
      <c r="N115" s="39"/>
      <c r="O115" s="39"/>
      <c r="P115" s="39" t="s">
        <v>2</v>
      </c>
      <c r="Q115" s="39" t="s">
        <v>2</v>
      </c>
      <c r="R115" s="39"/>
      <c r="S115" s="39"/>
      <c r="T115" s="39"/>
      <c r="U115" s="39"/>
      <c r="V115" s="39"/>
      <c r="W115" s="39"/>
      <c r="X115" s="39" t="s">
        <v>2</v>
      </c>
      <c r="Y115" s="39" t="s">
        <v>2</v>
      </c>
      <c r="Z115" s="39"/>
      <c r="AA115" s="39"/>
      <c r="AB115" s="39"/>
      <c r="AC115" s="39"/>
      <c r="AD115" s="39"/>
      <c r="AE115" s="39"/>
      <c r="AF115" s="39" t="s">
        <v>2</v>
      </c>
      <c r="AH115" s="20">
        <f t="shared" si="12"/>
        <v>0</v>
      </c>
      <c r="AI115" s="20">
        <f t="shared" si="13"/>
        <v>0</v>
      </c>
    </row>
    <row r="116" spans="1:35" ht="20.100000000000001" hidden="1" customHeight="1">
      <c r="A116" s="24" t="str">
        <f>ÖSSZES!$A$88</f>
        <v>Név17</v>
      </c>
      <c r="B116" s="39"/>
      <c r="C116" s="39"/>
      <c r="D116" s="39"/>
      <c r="E116" s="39"/>
      <c r="F116" s="39"/>
      <c r="G116" s="39"/>
      <c r="H116" s="39" t="s">
        <v>2</v>
      </c>
      <c r="I116" s="39" t="s">
        <v>2</v>
      </c>
      <c r="J116" s="39"/>
      <c r="K116" s="39"/>
      <c r="L116" s="39"/>
      <c r="M116" s="39"/>
      <c r="N116" s="39"/>
      <c r="O116" s="39"/>
      <c r="P116" s="39" t="s">
        <v>2</v>
      </c>
      <c r="Q116" s="39" t="s">
        <v>2</v>
      </c>
      <c r="R116" s="39"/>
      <c r="S116" s="39"/>
      <c r="T116" s="39"/>
      <c r="U116" s="39"/>
      <c r="V116" s="39"/>
      <c r="W116" s="39"/>
      <c r="X116" s="39" t="s">
        <v>2</v>
      </c>
      <c r="Y116" s="39" t="s">
        <v>2</v>
      </c>
      <c r="Z116" s="39"/>
      <c r="AA116" s="39"/>
      <c r="AB116" s="39"/>
      <c r="AC116" s="39"/>
      <c r="AD116" s="39"/>
      <c r="AE116" s="39"/>
      <c r="AF116" s="39" t="s">
        <v>2</v>
      </c>
      <c r="AH116" s="20">
        <f t="shared" si="12"/>
        <v>0</v>
      </c>
      <c r="AI116" s="20">
        <f t="shared" si="13"/>
        <v>0</v>
      </c>
    </row>
    <row r="117" spans="1:35" ht="20.100000000000001" hidden="1" customHeight="1">
      <c r="A117" s="24" t="str">
        <f>ÖSSZES!$A$89</f>
        <v>Név18</v>
      </c>
      <c r="B117" s="39"/>
      <c r="C117" s="39"/>
      <c r="D117" s="39"/>
      <c r="E117" s="39"/>
      <c r="F117" s="39"/>
      <c r="G117" s="39"/>
      <c r="H117" s="39" t="s">
        <v>2</v>
      </c>
      <c r="I117" s="39" t="s">
        <v>2</v>
      </c>
      <c r="J117" s="39"/>
      <c r="K117" s="39"/>
      <c r="L117" s="39"/>
      <c r="M117" s="39"/>
      <c r="N117" s="39"/>
      <c r="O117" s="39"/>
      <c r="P117" s="39" t="s">
        <v>2</v>
      </c>
      <c r="Q117" s="39" t="s">
        <v>2</v>
      </c>
      <c r="R117" s="39"/>
      <c r="S117" s="39"/>
      <c r="T117" s="39"/>
      <c r="U117" s="39"/>
      <c r="V117" s="39"/>
      <c r="W117" s="39"/>
      <c r="X117" s="39" t="s">
        <v>2</v>
      </c>
      <c r="Y117" s="39" t="s">
        <v>2</v>
      </c>
      <c r="Z117" s="39"/>
      <c r="AA117" s="39"/>
      <c r="AB117" s="39"/>
      <c r="AC117" s="39"/>
      <c r="AD117" s="39"/>
      <c r="AE117" s="39"/>
      <c r="AF117" s="39" t="s">
        <v>2</v>
      </c>
      <c r="AH117" s="20">
        <f t="shared" si="12"/>
        <v>0</v>
      </c>
      <c r="AI117" s="20">
        <f t="shared" si="13"/>
        <v>0</v>
      </c>
    </row>
    <row r="118" spans="1:35" ht="20.100000000000001" hidden="1" customHeight="1">
      <c r="A118" s="24" t="str">
        <f>ÖSSZES!$A$90</f>
        <v>Név19</v>
      </c>
      <c r="B118" s="39"/>
      <c r="C118" s="39"/>
      <c r="D118" s="39"/>
      <c r="E118" s="39"/>
      <c r="F118" s="39"/>
      <c r="G118" s="39"/>
      <c r="H118" s="39" t="s">
        <v>2</v>
      </c>
      <c r="I118" s="39" t="s">
        <v>2</v>
      </c>
      <c r="J118" s="39"/>
      <c r="K118" s="39"/>
      <c r="L118" s="39"/>
      <c r="M118" s="39"/>
      <c r="N118" s="39"/>
      <c r="O118" s="39"/>
      <c r="P118" s="39" t="s">
        <v>2</v>
      </c>
      <c r="Q118" s="39" t="s">
        <v>2</v>
      </c>
      <c r="R118" s="39"/>
      <c r="S118" s="39"/>
      <c r="T118" s="39"/>
      <c r="U118" s="39"/>
      <c r="V118" s="39"/>
      <c r="W118" s="39"/>
      <c r="X118" s="39" t="s">
        <v>2</v>
      </c>
      <c r="Y118" s="39" t="s">
        <v>2</v>
      </c>
      <c r="Z118" s="39"/>
      <c r="AA118" s="39"/>
      <c r="AB118" s="39"/>
      <c r="AC118" s="39"/>
      <c r="AD118" s="39"/>
      <c r="AE118" s="39"/>
      <c r="AF118" s="39" t="s">
        <v>2</v>
      </c>
      <c r="AH118" s="20">
        <f t="shared" si="12"/>
        <v>0</v>
      </c>
      <c r="AI118" s="20">
        <f t="shared" si="13"/>
        <v>0</v>
      </c>
    </row>
    <row r="119" spans="1:35" ht="20.100000000000001" hidden="1" customHeight="1">
      <c r="A119" s="24" t="str">
        <f>ÖSSZES!$A$91</f>
        <v>Név20</v>
      </c>
      <c r="B119" s="39"/>
      <c r="C119" s="39"/>
      <c r="D119" s="39"/>
      <c r="E119" s="39"/>
      <c r="F119" s="39"/>
      <c r="G119" s="39"/>
      <c r="H119" s="39" t="s">
        <v>2</v>
      </c>
      <c r="I119" s="39" t="s">
        <v>2</v>
      </c>
      <c r="J119" s="39"/>
      <c r="K119" s="39"/>
      <c r="L119" s="39"/>
      <c r="M119" s="39"/>
      <c r="N119" s="39"/>
      <c r="O119" s="39"/>
      <c r="P119" s="39" t="s">
        <v>2</v>
      </c>
      <c r="Q119" s="39" t="s">
        <v>2</v>
      </c>
      <c r="R119" s="39"/>
      <c r="S119" s="39"/>
      <c r="T119" s="39"/>
      <c r="U119" s="39"/>
      <c r="V119" s="39"/>
      <c r="W119" s="39"/>
      <c r="X119" s="39" t="s">
        <v>2</v>
      </c>
      <c r="Y119" s="39" t="s">
        <v>2</v>
      </c>
      <c r="Z119" s="39"/>
      <c r="AA119" s="39"/>
      <c r="AB119" s="39"/>
      <c r="AC119" s="39"/>
      <c r="AD119" s="39"/>
      <c r="AE119" s="39"/>
      <c r="AF119" s="39" t="s">
        <v>2</v>
      </c>
      <c r="AH119" s="20">
        <f t="shared" si="12"/>
        <v>0</v>
      </c>
      <c r="AI119" s="20">
        <f t="shared" si="13"/>
        <v>0</v>
      </c>
    </row>
    <row r="120" spans="1:35" ht="20.100000000000001" customHeight="1"/>
    <row r="121" spans="1:35" s="11" customFormat="1" ht="20.100000000000001" customHeight="1">
      <c r="A121" s="57" t="s">
        <v>10</v>
      </c>
      <c r="B121" s="23">
        <v>1</v>
      </c>
      <c r="C121" s="23">
        <v>2</v>
      </c>
      <c r="D121" s="23">
        <v>3</v>
      </c>
      <c r="E121" s="23">
        <v>4</v>
      </c>
      <c r="F121" s="23">
        <v>5</v>
      </c>
      <c r="G121" s="23">
        <v>6</v>
      </c>
      <c r="H121" s="23">
        <v>7</v>
      </c>
      <c r="I121" s="23">
        <v>8</v>
      </c>
      <c r="J121" s="23">
        <v>9</v>
      </c>
      <c r="K121" s="23">
        <v>10</v>
      </c>
      <c r="L121" s="23">
        <v>11</v>
      </c>
      <c r="M121" s="23">
        <v>12</v>
      </c>
      <c r="N121" s="23">
        <v>13</v>
      </c>
      <c r="O121" s="23">
        <v>14</v>
      </c>
      <c r="P121" s="23">
        <v>15</v>
      </c>
      <c r="Q121" s="23">
        <v>16</v>
      </c>
      <c r="R121" s="23">
        <v>17</v>
      </c>
      <c r="S121" s="23">
        <v>18</v>
      </c>
      <c r="T121" s="23">
        <v>19</v>
      </c>
      <c r="U121" s="23">
        <v>20</v>
      </c>
      <c r="V121" s="23">
        <v>21</v>
      </c>
      <c r="W121" s="23">
        <v>22</v>
      </c>
      <c r="X121" s="23">
        <v>23</v>
      </c>
      <c r="Y121" s="23">
        <v>24</v>
      </c>
      <c r="Z121" s="23">
        <v>25</v>
      </c>
      <c r="AA121" s="23">
        <v>26</v>
      </c>
      <c r="AB121" s="23">
        <v>27</v>
      </c>
      <c r="AC121" s="23">
        <v>28</v>
      </c>
      <c r="AD121" s="23">
        <v>29</v>
      </c>
      <c r="AE121" s="23">
        <v>30</v>
      </c>
      <c r="AH121" s="59" t="s">
        <v>18</v>
      </c>
      <c r="AI121" s="59" t="s">
        <v>19</v>
      </c>
    </row>
    <row r="122" spans="1:35" ht="20.100000000000001" customHeight="1">
      <c r="A122" s="61"/>
      <c r="B122" s="15" t="str">
        <f>'2021'!B44</f>
        <v>K</v>
      </c>
      <c r="C122" s="15" t="str">
        <f>'2021'!C44</f>
        <v>Sze</v>
      </c>
      <c r="D122" s="15" t="str">
        <f>'2021'!D44</f>
        <v>Cs</v>
      </c>
      <c r="E122" s="15" t="str">
        <f>'2021'!E44</f>
        <v>P</v>
      </c>
      <c r="F122" s="15" t="str">
        <f>'2021'!F44</f>
        <v>Szo</v>
      </c>
      <c r="G122" s="15" t="str">
        <f>'2021'!G44</f>
        <v>V</v>
      </c>
      <c r="H122" s="15" t="str">
        <f>'2021'!H44</f>
        <v>H</v>
      </c>
      <c r="I122" s="15" t="str">
        <f>'2021'!I44</f>
        <v>K</v>
      </c>
      <c r="J122" s="15" t="str">
        <f>'2021'!J44</f>
        <v>Sze</v>
      </c>
      <c r="K122" s="15" t="str">
        <f>'2021'!K44</f>
        <v>Cs</v>
      </c>
      <c r="L122" s="15" t="str">
        <f>'2021'!L44</f>
        <v>P</v>
      </c>
      <c r="M122" s="15" t="str">
        <f>'2021'!M44</f>
        <v>Szo</v>
      </c>
      <c r="N122" s="15" t="str">
        <f>'2021'!N44</f>
        <v>V</v>
      </c>
      <c r="O122" s="15" t="str">
        <f>'2021'!O44</f>
        <v>H</v>
      </c>
      <c r="P122" s="15" t="str">
        <f>'2021'!P44</f>
        <v>K</v>
      </c>
      <c r="Q122" s="15" t="str">
        <f>'2021'!Q44</f>
        <v>Sze</v>
      </c>
      <c r="R122" s="15" t="str">
        <f>'2021'!R44</f>
        <v>Cs</v>
      </c>
      <c r="S122" s="15" t="str">
        <f>'2021'!S44</f>
        <v>P</v>
      </c>
      <c r="T122" s="15" t="str">
        <f>'2021'!T44</f>
        <v>Szo</v>
      </c>
      <c r="U122" s="15" t="str">
        <f>'2021'!U44</f>
        <v>V</v>
      </c>
      <c r="V122" s="15" t="str">
        <f>'2021'!V44</f>
        <v>H</v>
      </c>
      <c r="W122" s="15" t="str">
        <f>'2021'!W44</f>
        <v>K</v>
      </c>
      <c r="X122" s="15" t="str">
        <f>'2021'!X44</f>
        <v>Sze</v>
      </c>
      <c r="Y122" s="15" t="str">
        <f>'2021'!Y44</f>
        <v>Cs</v>
      </c>
      <c r="Z122" s="15" t="str">
        <f>'2021'!Z44</f>
        <v>P</v>
      </c>
      <c r="AA122" s="15" t="str">
        <f>'2021'!AA44</f>
        <v>Szo</v>
      </c>
      <c r="AB122" s="15" t="str">
        <f>'2021'!AB44</f>
        <v>V</v>
      </c>
      <c r="AC122" s="15" t="str">
        <f>'2021'!AC44</f>
        <v>H</v>
      </c>
      <c r="AD122" s="15" t="str">
        <f>'2021'!AD44</f>
        <v>K</v>
      </c>
      <c r="AE122" s="15" t="str">
        <f>'2021'!AE44</f>
        <v>Sze</v>
      </c>
      <c r="AF122" s="6"/>
      <c r="AH122" s="60"/>
      <c r="AI122" s="60"/>
    </row>
    <row r="123" spans="1:35" ht="20.100000000000001" customHeight="1">
      <c r="A123" s="61"/>
      <c r="B123" s="15" t="str">
        <f>'2021'!B48</f>
        <v>X</v>
      </c>
      <c r="C123" s="15">
        <f>'2021'!C48</f>
        <v>3</v>
      </c>
      <c r="D123" s="15">
        <f>'2021'!D48</f>
        <v>3</v>
      </c>
      <c r="E123" s="15">
        <f>'2021'!E48</f>
        <v>3</v>
      </c>
      <c r="F123" s="15">
        <f>'2021'!F48</f>
        <v>3</v>
      </c>
      <c r="G123" s="15">
        <f>'2021'!G48</f>
        <v>3</v>
      </c>
      <c r="H123" s="15">
        <f>'2021'!H48</f>
        <v>3</v>
      </c>
      <c r="I123" s="15" t="str">
        <f>'2021'!I48</f>
        <v>X</v>
      </c>
      <c r="J123" s="15" t="str">
        <f>'2021'!J48</f>
        <v>X</v>
      </c>
      <c r="K123" s="15">
        <f>'2021'!K48</f>
        <v>2</v>
      </c>
      <c r="L123" s="15">
        <f>'2021'!L48</f>
        <v>2</v>
      </c>
      <c r="M123" s="15">
        <f>'2021'!M48</f>
        <v>2</v>
      </c>
      <c r="N123" s="15">
        <f>'2021'!N48</f>
        <v>2</v>
      </c>
      <c r="O123" s="15">
        <f>'2021'!O48</f>
        <v>2</v>
      </c>
      <c r="P123" s="15">
        <f>'2021'!P48</f>
        <v>2</v>
      </c>
      <c r="Q123" s="15" t="str">
        <f>'2021'!Q48</f>
        <v>X</v>
      </c>
      <c r="R123" s="15" t="str">
        <f>'2021'!R48</f>
        <v>X</v>
      </c>
      <c r="S123" s="15">
        <f>'2021'!S48</f>
        <v>1</v>
      </c>
      <c r="T123" s="15">
        <f>'2021'!T48</f>
        <v>1</v>
      </c>
      <c r="U123" s="15">
        <f>'2021'!U48</f>
        <v>1</v>
      </c>
      <c r="V123" s="15">
        <f>'2021'!V48</f>
        <v>1</v>
      </c>
      <c r="W123" s="15">
        <f>'2021'!W48</f>
        <v>1</v>
      </c>
      <c r="X123" s="15">
        <f>'2021'!X48</f>
        <v>1</v>
      </c>
      <c r="Y123" s="15" t="str">
        <f>'2021'!Y48</f>
        <v>X</v>
      </c>
      <c r="Z123" s="15" t="str">
        <f>'2021'!Z48</f>
        <v>X</v>
      </c>
      <c r="AA123" s="15">
        <f>'2021'!AA48</f>
        <v>3</v>
      </c>
      <c r="AB123" s="15">
        <f>'2021'!AB48</f>
        <v>3</v>
      </c>
      <c r="AC123" s="15">
        <f>'2021'!AC48</f>
        <v>3</v>
      </c>
      <c r="AD123" s="15">
        <f>'2021'!AD48</f>
        <v>3</v>
      </c>
      <c r="AE123" s="15">
        <f>'2021'!AE48</f>
        <v>3</v>
      </c>
      <c r="AF123" s="6"/>
      <c r="AH123" s="60"/>
      <c r="AI123" s="60"/>
    </row>
    <row r="124" spans="1:35" ht="20.100000000000001" customHeight="1">
      <c r="A124" s="24" t="str">
        <f>ÖSSZES!$A$72</f>
        <v>Daku Gábor</v>
      </c>
      <c r="B124" s="39" t="s">
        <v>2</v>
      </c>
      <c r="C124" s="39">
        <f>[1]D!C59</f>
        <v>0</v>
      </c>
      <c r="D124" s="39">
        <f>[1]D!D59</f>
        <v>0</v>
      </c>
      <c r="E124" s="39">
        <f>[1]D!E59</f>
        <v>0</v>
      </c>
      <c r="F124" s="39">
        <f>[1]D!F59</f>
        <v>0</v>
      </c>
      <c r="G124" s="39">
        <f>[1]D!G59</f>
        <v>0</v>
      </c>
      <c r="H124" s="39">
        <f>[1]D!H59</f>
        <v>0</v>
      </c>
      <c r="I124" s="39" t="str">
        <f>[1]D!I59</f>
        <v>X</v>
      </c>
      <c r="J124" s="39" t="str">
        <f>[1]D!J59</f>
        <v>X</v>
      </c>
      <c r="K124" s="39">
        <f>[1]D!K59</f>
        <v>0</v>
      </c>
      <c r="L124" s="39">
        <f>[1]D!L59</f>
        <v>0</v>
      </c>
      <c r="M124" s="39">
        <f>[1]D!M59</f>
        <v>0</v>
      </c>
      <c r="N124" s="39">
        <f>[1]D!N59</f>
        <v>0</v>
      </c>
      <c r="O124" s="39">
        <f>[1]D!O59</f>
        <v>0</v>
      </c>
      <c r="P124" s="39">
        <f>[1]D!P59</f>
        <v>0</v>
      </c>
      <c r="Q124" s="39" t="str">
        <f>[1]D!Q59</f>
        <v>X</v>
      </c>
      <c r="R124" s="39" t="str">
        <f>[1]D!R59</f>
        <v>X</v>
      </c>
      <c r="S124" s="39">
        <f>[1]D!S59</f>
        <v>0</v>
      </c>
      <c r="T124" s="39">
        <f>[1]D!T59</f>
        <v>0</v>
      </c>
      <c r="U124" s="39">
        <f>[1]D!U59</f>
        <v>0</v>
      </c>
      <c r="V124" s="39">
        <f>[1]D!V59</f>
        <v>0</v>
      </c>
      <c r="W124" s="39">
        <f>[1]D!W59</f>
        <v>0</v>
      </c>
      <c r="X124" s="39">
        <f>[1]D!X59</f>
        <v>0</v>
      </c>
      <c r="Y124" s="39" t="str">
        <f>[1]D!Y59</f>
        <v>X</v>
      </c>
      <c r="Z124" s="39" t="str">
        <f>[1]D!Z59</f>
        <v>X</v>
      </c>
      <c r="AA124" s="39">
        <f>[1]D!AA59</f>
        <v>0</v>
      </c>
      <c r="AB124" s="39">
        <f>[1]D!AB59</f>
        <v>0</v>
      </c>
      <c r="AC124" s="39">
        <f>[1]D!AC59</f>
        <v>0</v>
      </c>
      <c r="AD124" s="39">
        <f>[1]D!AD59</f>
        <v>0</v>
      </c>
      <c r="AE124" s="39">
        <f>[1]D!AE59</f>
        <v>0</v>
      </c>
      <c r="AF124" s="6"/>
      <c r="AH124" s="20">
        <f>1*COUNTIF(A124:AF124,"+")</f>
        <v>0</v>
      </c>
      <c r="AI124" s="20">
        <f t="shared" ref="AI124" si="14">1*COUNTIF(B124:AF124,"szf")</f>
        <v>0</v>
      </c>
    </row>
    <row r="125" spans="1:35" ht="20.100000000000001" customHeight="1">
      <c r="A125" s="24" t="str">
        <f>ÖSSZES!$A$73</f>
        <v>Borbély Csaba</v>
      </c>
      <c r="B125" s="39" t="s">
        <v>2</v>
      </c>
      <c r="C125" s="39">
        <f>[1]D!C60</f>
        <v>0</v>
      </c>
      <c r="D125" s="39">
        <f>[1]D!D60</f>
        <v>0</v>
      </c>
      <c r="E125" s="39">
        <f>[1]D!E60</f>
        <v>0</v>
      </c>
      <c r="F125" s="39">
        <f>[1]D!F60</f>
        <v>0</v>
      </c>
      <c r="G125" s="39">
        <f>[1]D!G60</f>
        <v>0</v>
      </c>
      <c r="H125" s="39">
        <f>[1]D!H60</f>
        <v>0</v>
      </c>
      <c r="I125" s="39" t="str">
        <f>[1]D!I60</f>
        <v>X</v>
      </c>
      <c r="J125" s="39" t="str">
        <f>[1]D!J60</f>
        <v>X</v>
      </c>
      <c r="K125" s="39">
        <f>[1]D!K60</f>
        <v>0</v>
      </c>
      <c r="L125" s="39">
        <f>[1]D!L60</f>
        <v>0</v>
      </c>
      <c r="M125" s="39">
        <f>[1]D!M60</f>
        <v>0</v>
      </c>
      <c r="N125" s="39">
        <f>[1]D!N60</f>
        <v>0</v>
      </c>
      <c r="O125" s="39">
        <f>[1]D!O60</f>
        <v>0</v>
      </c>
      <c r="P125" s="39">
        <f>[1]D!P60</f>
        <v>0</v>
      </c>
      <c r="Q125" s="39" t="str">
        <f>[1]D!Q60</f>
        <v>X</v>
      </c>
      <c r="R125" s="39" t="str">
        <f>[1]D!R60</f>
        <v>X</v>
      </c>
      <c r="S125" s="39">
        <f>[1]D!S60</f>
        <v>0</v>
      </c>
      <c r="T125" s="39">
        <f>[1]D!T60</f>
        <v>0</v>
      </c>
      <c r="U125" s="39">
        <f>[1]D!U60</f>
        <v>0</v>
      </c>
      <c r="V125" s="39">
        <f>[1]D!V60</f>
        <v>0</v>
      </c>
      <c r="W125" s="39">
        <f>[1]D!W60</f>
        <v>0</v>
      </c>
      <c r="X125" s="39">
        <f>[1]D!X60</f>
        <v>0</v>
      </c>
      <c r="Y125" s="39" t="str">
        <f>[1]D!Y60</f>
        <v>X</v>
      </c>
      <c r="Z125" s="39" t="str">
        <f>[1]D!Z60</f>
        <v>X</v>
      </c>
      <c r="AA125" s="39">
        <f>[1]D!AA60</f>
        <v>0</v>
      </c>
      <c r="AB125" s="39">
        <f>[1]D!AB60</f>
        <v>0</v>
      </c>
      <c r="AC125" s="39">
        <f>[1]D!AC60</f>
        <v>0</v>
      </c>
      <c r="AD125" s="39">
        <f>[1]D!AD60</f>
        <v>0</v>
      </c>
      <c r="AE125" s="39">
        <f>[1]D!AE60</f>
        <v>0</v>
      </c>
      <c r="AF125" s="6"/>
      <c r="AH125" s="20">
        <f t="shared" ref="AH125:AH143" si="15">1*COUNTIF(A125:AF125,"+")</f>
        <v>0</v>
      </c>
      <c r="AI125" s="20">
        <f t="shared" ref="AI125:AI143" si="16">1*COUNTIF(B125:AF125,"szf")</f>
        <v>0</v>
      </c>
    </row>
    <row r="126" spans="1:35" ht="20.100000000000001" customHeight="1">
      <c r="A126" s="24" t="str">
        <f>ÖSSZES!$A$74</f>
        <v>Erdei Bálint</v>
      </c>
      <c r="B126" s="39" t="s">
        <v>2</v>
      </c>
      <c r="C126" s="39">
        <f>[1]D!C61</f>
        <v>0</v>
      </c>
      <c r="D126" s="39">
        <f>[1]D!D61</f>
        <v>0</v>
      </c>
      <c r="E126" s="39">
        <f>[1]D!E61</f>
        <v>0</v>
      </c>
      <c r="F126" s="39">
        <f>[1]D!F61</f>
        <v>0</v>
      </c>
      <c r="G126" s="39">
        <f>[1]D!G61</f>
        <v>0</v>
      </c>
      <c r="H126" s="39">
        <f>[1]D!H61</f>
        <v>0</v>
      </c>
      <c r="I126" s="39" t="str">
        <f>[1]D!I61</f>
        <v>X</v>
      </c>
      <c r="J126" s="39" t="str">
        <f>[1]D!J61</f>
        <v>X</v>
      </c>
      <c r="K126" s="39">
        <f>[1]D!K61</f>
        <v>0</v>
      </c>
      <c r="L126" s="39">
        <f>[1]D!L61</f>
        <v>0</v>
      </c>
      <c r="M126" s="39">
        <f>[1]D!M61</f>
        <v>0</v>
      </c>
      <c r="N126" s="39">
        <f>[1]D!N61</f>
        <v>0</v>
      </c>
      <c r="O126" s="39">
        <f>[1]D!O61</f>
        <v>0</v>
      </c>
      <c r="P126" s="39">
        <f>[1]D!P61</f>
        <v>0</v>
      </c>
      <c r="Q126" s="39" t="str">
        <f>[1]D!Q61</f>
        <v>X</v>
      </c>
      <c r="R126" s="39" t="str">
        <f>[1]D!R61</f>
        <v>X</v>
      </c>
      <c r="S126" s="39">
        <f>[1]D!S61</f>
        <v>0</v>
      </c>
      <c r="T126" s="39">
        <f>[1]D!T61</f>
        <v>0</v>
      </c>
      <c r="U126" s="39">
        <f>[1]D!U61</f>
        <v>0</v>
      </c>
      <c r="V126" s="39">
        <f>[1]D!V61</f>
        <v>0</v>
      </c>
      <c r="W126" s="39">
        <f>[1]D!W61</f>
        <v>0</v>
      </c>
      <c r="X126" s="39">
        <f>[1]D!X61</f>
        <v>0</v>
      </c>
      <c r="Y126" s="39" t="str">
        <f>[1]D!Y61</f>
        <v>X</v>
      </c>
      <c r="Z126" s="39" t="str">
        <f>[1]D!Z61</f>
        <v>X</v>
      </c>
      <c r="AA126" s="39">
        <f>[1]D!AA61</f>
        <v>0</v>
      </c>
      <c r="AB126" s="39">
        <f>[1]D!AB61</f>
        <v>0</v>
      </c>
      <c r="AC126" s="39">
        <f>[1]D!AC61</f>
        <v>0</v>
      </c>
      <c r="AD126" s="39">
        <f>[1]D!AD61</f>
        <v>0</v>
      </c>
      <c r="AE126" s="39">
        <f>[1]D!AE61</f>
        <v>0</v>
      </c>
      <c r="AF126" s="6"/>
      <c r="AH126" s="20">
        <f t="shared" si="15"/>
        <v>0</v>
      </c>
      <c r="AI126" s="20">
        <f t="shared" si="16"/>
        <v>0</v>
      </c>
    </row>
    <row r="127" spans="1:35" ht="20.100000000000001" customHeight="1">
      <c r="A127" s="24" t="str">
        <f>ÖSSZES!$A$75</f>
        <v>Fábián Gábor</v>
      </c>
      <c r="B127" s="39" t="s">
        <v>2</v>
      </c>
      <c r="C127" s="39">
        <f>[1]D!C62</f>
        <v>0</v>
      </c>
      <c r="D127" s="39">
        <f>[1]D!D62</f>
        <v>0</v>
      </c>
      <c r="E127" s="39">
        <f>[1]D!E62</f>
        <v>0</v>
      </c>
      <c r="F127" s="39">
        <f>[1]D!F62</f>
        <v>0</v>
      </c>
      <c r="G127" s="39">
        <f>[1]D!G62</f>
        <v>0</v>
      </c>
      <c r="H127" s="39">
        <f>[1]D!H62</f>
        <v>0</v>
      </c>
      <c r="I127" s="39" t="str">
        <f>[1]D!I62</f>
        <v>X</v>
      </c>
      <c r="J127" s="39" t="str">
        <f>[1]D!J62</f>
        <v>X</v>
      </c>
      <c r="K127" s="39">
        <f>[1]D!K62</f>
        <v>0</v>
      </c>
      <c r="L127" s="39">
        <f>[1]D!L62</f>
        <v>0</v>
      </c>
      <c r="M127" s="39">
        <f>[1]D!M62</f>
        <v>0</v>
      </c>
      <c r="N127" s="39">
        <f>[1]D!N62</f>
        <v>0</v>
      </c>
      <c r="O127" s="39">
        <f>[1]D!O62</f>
        <v>0</v>
      </c>
      <c r="P127" s="39">
        <f>[1]D!P62</f>
        <v>0</v>
      </c>
      <c r="Q127" s="39" t="str">
        <f>[1]D!Q62</f>
        <v>X</v>
      </c>
      <c r="R127" s="39" t="str">
        <f>[1]D!R62</f>
        <v>X</v>
      </c>
      <c r="S127" s="39">
        <f>[1]D!S62</f>
        <v>0</v>
      </c>
      <c r="T127" s="39">
        <f>[1]D!T62</f>
        <v>0</v>
      </c>
      <c r="U127" s="39">
        <f>[1]D!U62</f>
        <v>0</v>
      </c>
      <c r="V127" s="39">
        <f>[1]D!V62</f>
        <v>0</v>
      </c>
      <c r="W127" s="39">
        <f>[1]D!W62</f>
        <v>0</v>
      </c>
      <c r="X127" s="39">
        <f>[1]D!X62</f>
        <v>0</v>
      </c>
      <c r="Y127" s="39" t="str">
        <f>[1]D!Y62</f>
        <v>X</v>
      </c>
      <c r="Z127" s="39" t="str">
        <f>[1]D!Z62</f>
        <v>X</v>
      </c>
      <c r="AA127" s="39">
        <f>[1]D!AA62</f>
        <v>0</v>
      </c>
      <c r="AB127" s="39">
        <f>[1]D!AB62</f>
        <v>0</v>
      </c>
      <c r="AC127" s="39">
        <f>[1]D!AC62</f>
        <v>0</v>
      </c>
      <c r="AD127" s="39">
        <f>[1]D!AD62</f>
        <v>0</v>
      </c>
      <c r="AE127" s="39">
        <f>[1]D!AE62</f>
        <v>0</v>
      </c>
      <c r="AF127" s="6"/>
      <c r="AH127" s="20">
        <f t="shared" si="15"/>
        <v>0</v>
      </c>
      <c r="AI127" s="20">
        <f t="shared" si="16"/>
        <v>0</v>
      </c>
    </row>
    <row r="128" spans="1:35" ht="20.100000000000001" customHeight="1">
      <c r="A128" s="24" t="str">
        <f>ÖSSZES!$A$76</f>
        <v>Gellei Zsolt</v>
      </c>
      <c r="B128" s="39" t="s">
        <v>2</v>
      </c>
      <c r="C128" s="39">
        <f>[1]D!C63</f>
        <v>0</v>
      </c>
      <c r="D128" s="39">
        <f>[1]D!D63</f>
        <v>0</v>
      </c>
      <c r="E128" s="39">
        <f>[1]D!E63</f>
        <v>0</v>
      </c>
      <c r="F128" s="39">
        <f>[1]D!F63</f>
        <v>0</v>
      </c>
      <c r="G128" s="39">
        <f>[1]D!G63</f>
        <v>0</v>
      </c>
      <c r="H128" s="39">
        <f>[1]D!H63</f>
        <v>0</v>
      </c>
      <c r="I128" s="39" t="str">
        <f>[1]D!I63</f>
        <v>X</v>
      </c>
      <c r="J128" s="39" t="str">
        <f>[1]D!J63</f>
        <v>X</v>
      </c>
      <c r="K128" s="39">
        <f>[1]D!K63</f>
        <v>0</v>
      </c>
      <c r="L128" s="39">
        <f>[1]D!L63</f>
        <v>0</v>
      </c>
      <c r="M128" s="39">
        <f>[1]D!M63</f>
        <v>0</v>
      </c>
      <c r="N128" s="39">
        <f>[1]D!N63</f>
        <v>0</v>
      </c>
      <c r="O128" s="39">
        <f>[1]D!O63</f>
        <v>0</v>
      </c>
      <c r="P128" s="39">
        <f>[1]D!P63</f>
        <v>0</v>
      </c>
      <c r="Q128" s="39" t="str">
        <f>[1]D!Q63</f>
        <v>X</v>
      </c>
      <c r="R128" s="39" t="str">
        <f>[1]D!R63</f>
        <v>X</v>
      </c>
      <c r="S128" s="39">
        <f>[1]D!S63</f>
        <v>0</v>
      </c>
      <c r="T128" s="39">
        <f>[1]D!T63</f>
        <v>0</v>
      </c>
      <c r="U128" s="39">
        <f>[1]D!U63</f>
        <v>0</v>
      </c>
      <c r="V128" s="39">
        <f>[1]D!V63</f>
        <v>0</v>
      </c>
      <c r="W128" s="39">
        <f>[1]D!W63</f>
        <v>0</v>
      </c>
      <c r="X128" s="39">
        <f>[1]D!X63</f>
        <v>0</v>
      </c>
      <c r="Y128" s="39" t="str">
        <f>[1]D!Y63</f>
        <v>X</v>
      </c>
      <c r="Z128" s="39" t="str">
        <f>[1]D!Z63</f>
        <v>X</v>
      </c>
      <c r="AA128" s="39">
        <f>[1]D!AA63</f>
        <v>0</v>
      </c>
      <c r="AB128" s="39">
        <f>[1]D!AB63</f>
        <v>0</v>
      </c>
      <c r="AC128" s="39">
        <f>[1]D!AC63</f>
        <v>0</v>
      </c>
      <c r="AD128" s="39">
        <f>[1]D!AD63</f>
        <v>0</v>
      </c>
      <c r="AE128" s="39">
        <f>[1]D!AE63</f>
        <v>0</v>
      </c>
      <c r="AF128" s="6"/>
      <c r="AH128" s="20">
        <f t="shared" si="15"/>
        <v>0</v>
      </c>
      <c r="AI128" s="20">
        <f t="shared" si="16"/>
        <v>0</v>
      </c>
    </row>
    <row r="129" spans="1:35" ht="20.100000000000001" customHeight="1">
      <c r="A129" s="24" t="str">
        <f>ÖSSZES!$A$77</f>
        <v>Kiss Gyula</v>
      </c>
      <c r="B129" s="39" t="s">
        <v>2</v>
      </c>
      <c r="C129" s="39">
        <f>[1]D!C64</f>
        <v>0</v>
      </c>
      <c r="D129" s="39">
        <f>[1]D!D64</f>
        <v>0</v>
      </c>
      <c r="E129" s="39">
        <f>[1]D!E64</f>
        <v>0</v>
      </c>
      <c r="F129" s="39">
        <f>[1]D!F64</f>
        <v>0</v>
      </c>
      <c r="G129" s="39">
        <f>[1]D!G64</f>
        <v>0</v>
      </c>
      <c r="H129" s="39">
        <f>[1]D!H64</f>
        <v>0</v>
      </c>
      <c r="I129" s="39" t="str">
        <f>[1]D!I64</f>
        <v>X</v>
      </c>
      <c r="J129" s="39" t="str">
        <f>[1]D!J64</f>
        <v>X</v>
      </c>
      <c r="K129" s="39">
        <f>[1]D!K64</f>
        <v>0</v>
      </c>
      <c r="L129" s="39">
        <f>[1]D!L64</f>
        <v>0</v>
      </c>
      <c r="M129" s="39">
        <f>[1]D!M64</f>
        <v>0</v>
      </c>
      <c r="N129" s="39">
        <f>[1]D!N64</f>
        <v>0</v>
      </c>
      <c r="O129" s="39">
        <f>[1]D!O64</f>
        <v>0</v>
      </c>
      <c r="P129" s="39">
        <f>[1]D!P64</f>
        <v>0</v>
      </c>
      <c r="Q129" s="39" t="str">
        <f>[1]D!Q64</f>
        <v>X</v>
      </c>
      <c r="R129" s="39" t="str">
        <f>[1]D!R64</f>
        <v>X</v>
      </c>
      <c r="S129" s="39">
        <f>[1]D!S64</f>
        <v>0</v>
      </c>
      <c r="T129" s="39">
        <f>[1]D!T64</f>
        <v>0</v>
      </c>
      <c r="U129" s="39">
        <f>[1]D!U64</f>
        <v>0</v>
      </c>
      <c r="V129" s="39">
        <f>[1]D!V64</f>
        <v>0</v>
      </c>
      <c r="W129" s="39">
        <f>[1]D!W64</f>
        <v>0</v>
      </c>
      <c r="X129" s="39">
        <f>[1]D!X64</f>
        <v>0</v>
      </c>
      <c r="Y129" s="39" t="str">
        <f>[1]D!Y64</f>
        <v>X</v>
      </c>
      <c r="Z129" s="39" t="str">
        <f>[1]D!Z64</f>
        <v>X</v>
      </c>
      <c r="AA129" s="39">
        <f>[1]D!AA64</f>
        <v>0</v>
      </c>
      <c r="AB129" s="39">
        <f>[1]D!AB64</f>
        <v>0</v>
      </c>
      <c r="AC129" s="39">
        <f>[1]D!AC64</f>
        <v>0</v>
      </c>
      <c r="AD129" s="39">
        <f>[1]D!AD64</f>
        <v>0</v>
      </c>
      <c r="AE129" s="39">
        <f>[1]D!AE64</f>
        <v>0</v>
      </c>
      <c r="AF129" s="6"/>
      <c r="AH129" s="20">
        <f t="shared" si="15"/>
        <v>0</v>
      </c>
      <c r="AI129" s="20">
        <f t="shared" si="16"/>
        <v>0</v>
      </c>
    </row>
    <row r="130" spans="1:35" ht="20.100000000000001" customHeight="1">
      <c r="A130" s="24" t="str">
        <f>ÖSSZES!$A$78</f>
        <v>Nagy István</v>
      </c>
      <c r="B130" s="39" t="s">
        <v>2</v>
      </c>
      <c r="C130" s="39">
        <f>[1]D!C65</f>
        <v>0</v>
      </c>
      <c r="D130" s="39">
        <f>[1]D!D65</f>
        <v>0</v>
      </c>
      <c r="E130" s="39">
        <f>[1]D!E65</f>
        <v>0</v>
      </c>
      <c r="F130" s="39">
        <f>[1]D!F65</f>
        <v>0</v>
      </c>
      <c r="G130" s="39">
        <f>[1]D!G65</f>
        <v>0</v>
      </c>
      <c r="H130" s="39">
        <f>[1]D!H65</f>
        <v>0</v>
      </c>
      <c r="I130" s="39" t="str">
        <f>[1]D!I65</f>
        <v>X</v>
      </c>
      <c r="J130" s="39" t="str">
        <f>[1]D!J65</f>
        <v>X</v>
      </c>
      <c r="K130" s="39">
        <f>[1]D!K65</f>
        <v>0</v>
      </c>
      <c r="L130" s="39">
        <f>[1]D!L65</f>
        <v>0</v>
      </c>
      <c r="M130" s="39">
        <f>[1]D!M65</f>
        <v>0</v>
      </c>
      <c r="N130" s="39">
        <f>[1]D!N65</f>
        <v>0</v>
      </c>
      <c r="O130" s="39">
        <f>[1]D!O65</f>
        <v>0</v>
      </c>
      <c r="P130" s="39">
        <f>[1]D!P65</f>
        <v>0</v>
      </c>
      <c r="Q130" s="39" t="str">
        <f>[1]D!Q65</f>
        <v>X</v>
      </c>
      <c r="R130" s="39" t="str">
        <f>[1]D!R65</f>
        <v>X</v>
      </c>
      <c r="S130" s="39">
        <f>[1]D!S65</f>
        <v>0</v>
      </c>
      <c r="T130" s="39">
        <f>[1]D!T65</f>
        <v>0</v>
      </c>
      <c r="U130" s="39">
        <f>[1]D!U65</f>
        <v>0</v>
      </c>
      <c r="V130" s="39">
        <f>[1]D!V65</f>
        <v>0</v>
      </c>
      <c r="W130" s="39">
        <f>[1]D!W65</f>
        <v>0</v>
      </c>
      <c r="X130" s="39">
        <f>[1]D!X65</f>
        <v>0</v>
      </c>
      <c r="Y130" s="39" t="str">
        <f>[1]D!Y65</f>
        <v>X</v>
      </c>
      <c r="Z130" s="39" t="str">
        <f>[1]D!Z65</f>
        <v>X</v>
      </c>
      <c r="AA130" s="39">
        <f>[1]D!AA65</f>
        <v>0</v>
      </c>
      <c r="AB130" s="39">
        <f>[1]D!AB65</f>
        <v>0</v>
      </c>
      <c r="AC130" s="39">
        <f>[1]D!AC65</f>
        <v>0</v>
      </c>
      <c r="AD130" s="39">
        <f>[1]D!AD65</f>
        <v>0</v>
      </c>
      <c r="AE130" s="39">
        <f>[1]D!AE65</f>
        <v>0</v>
      </c>
      <c r="AF130" s="6"/>
      <c r="AH130" s="20">
        <f t="shared" si="15"/>
        <v>0</v>
      </c>
      <c r="AI130" s="20">
        <f t="shared" si="16"/>
        <v>0</v>
      </c>
    </row>
    <row r="131" spans="1:35" ht="20.100000000000001" hidden="1" customHeight="1">
      <c r="A131" s="24" t="str">
        <f>ÖSSZES!$A$79</f>
        <v>Név8</v>
      </c>
      <c r="B131" s="39" t="s">
        <v>2</v>
      </c>
      <c r="C131" s="39"/>
      <c r="D131" s="39"/>
      <c r="E131" s="39"/>
      <c r="F131" s="39"/>
      <c r="G131" s="39"/>
      <c r="H131" s="39"/>
      <c r="I131" s="39" t="s">
        <v>2</v>
      </c>
      <c r="J131" s="39" t="s">
        <v>2</v>
      </c>
      <c r="K131" s="39"/>
      <c r="L131" s="39"/>
      <c r="M131" s="39"/>
      <c r="N131" s="39"/>
      <c r="O131" s="39"/>
      <c r="P131" s="39"/>
      <c r="Q131" s="39" t="s">
        <v>2</v>
      </c>
      <c r="R131" s="39" t="s">
        <v>2</v>
      </c>
      <c r="S131" s="39"/>
      <c r="T131" s="39"/>
      <c r="U131" s="39"/>
      <c r="V131" s="39"/>
      <c r="W131" s="39"/>
      <c r="X131" s="39"/>
      <c r="Y131" s="39" t="s">
        <v>2</v>
      </c>
      <c r="Z131" s="39" t="s">
        <v>2</v>
      </c>
      <c r="AA131" s="39"/>
      <c r="AB131" s="39"/>
      <c r="AC131" s="39"/>
      <c r="AD131" s="39"/>
      <c r="AE131" s="39"/>
      <c r="AF131" s="6"/>
      <c r="AH131" s="20">
        <f t="shared" si="15"/>
        <v>0</v>
      </c>
      <c r="AI131" s="20">
        <f t="shared" si="16"/>
        <v>0</v>
      </c>
    </row>
    <row r="132" spans="1:35" ht="20.100000000000001" hidden="1" customHeight="1">
      <c r="A132" s="24" t="str">
        <f>ÖSSZES!$A$80</f>
        <v>Név9</v>
      </c>
      <c r="B132" s="39" t="s">
        <v>2</v>
      </c>
      <c r="C132" s="39"/>
      <c r="D132" s="39"/>
      <c r="E132" s="39"/>
      <c r="F132" s="39"/>
      <c r="G132" s="39"/>
      <c r="H132" s="39"/>
      <c r="I132" s="39" t="s">
        <v>2</v>
      </c>
      <c r="J132" s="39" t="s">
        <v>2</v>
      </c>
      <c r="K132" s="39"/>
      <c r="L132" s="39"/>
      <c r="M132" s="39"/>
      <c r="N132" s="39"/>
      <c r="O132" s="39"/>
      <c r="P132" s="39"/>
      <c r="Q132" s="39" t="s">
        <v>2</v>
      </c>
      <c r="R132" s="39" t="s">
        <v>2</v>
      </c>
      <c r="S132" s="39"/>
      <c r="T132" s="39"/>
      <c r="U132" s="39"/>
      <c r="V132" s="39"/>
      <c r="W132" s="39"/>
      <c r="X132" s="39"/>
      <c r="Y132" s="39" t="s">
        <v>2</v>
      </c>
      <c r="Z132" s="39" t="s">
        <v>2</v>
      </c>
      <c r="AA132" s="39"/>
      <c r="AB132" s="39"/>
      <c r="AC132" s="39"/>
      <c r="AD132" s="39"/>
      <c r="AE132" s="39"/>
      <c r="AF132" s="6"/>
      <c r="AH132" s="20">
        <f t="shared" si="15"/>
        <v>0</v>
      </c>
      <c r="AI132" s="20">
        <f t="shared" si="16"/>
        <v>0</v>
      </c>
    </row>
    <row r="133" spans="1:35" ht="20.100000000000001" hidden="1" customHeight="1">
      <c r="A133" s="24" t="str">
        <f>ÖSSZES!$A$81</f>
        <v>Név10</v>
      </c>
      <c r="B133" s="39" t="s">
        <v>2</v>
      </c>
      <c r="C133" s="39"/>
      <c r="D133" s="39"/>
      <c r="E133" s="39"/>
      <c r="F133" s="39"/>
      <c r="G133" s="39"/>
      <c r="H133" s="39"/>
      <c r="I133" s="39" t="s">
        <v>2</v>
      </c>
      <c r="J133" s="39" t="s">
        <v>2</v>
      </c>
      <c r="K133" s="39"/>
      <c r="L133" s="39"/>
      <c r="M133" s="39"/>
      <c r="N133" s="39"/>
      <c r="O133" s="39"/>
      <c r="P133" s="39"/>
      <c r="Q133" s="39" t="s">
        <v>2</v>
      </c>
      <c r="R133" s="39" t="s">
        <v>2</v>
      </c>
      <c r="S133" s="39"/>
      <c r="T133" s="39"/>
      <c r="U133" s="39"/>
      <c r="V133" s="39"/>
      <c r="W133" s="39"/>
      <c r="X133" s="39"/>
      <c r="Y133" s="39" t="s">
        <v>2</v>
      </c>
      <c r="Z133" s="39" t="s">
        <v>2</v>
      </c>
      <c r="AA133" s="39"/>
      <c r="AB133" s="39"/>
      <c r="AC133" s="39"/>
      <c r="AD133" s="39"/>
      <c r="AE133" s="39"/>
      <c r="AF133" s="6"/>
      <c r="AH133" s="20">
        <f t="shared" si="15"/>
        <v>0</v>
      </c>
      <c r="AI133" s="20">
        <f t="shared" si="16"/>
        <v>0</v>
      </c>
    </row>
    <row r="134" spans="1:35" ht="20.100000000000001" hidden="1" customHeight="1">
      <c r="A134" s="24" t="str">
        <f>ÖSSZES!$A$82</f>
        <v>Név11</v>
      </c>
      <c r="B134" s="39" t="s">
        <v>2</v>
      </c>
      <c r="C134" s="39"/>
      <c r="D134" s="39"/>
      <c r="E134" s="39"/>
      <c r="F134" s="39"/>
      <c r="G134" s="39"/>
      <c r="H134" s="39"/>
      <c r="I134" s="39" t="s">
        <v>2</v>
      </c>
      <c r="J134" s="39" t="s">
        <v>2</v>
      </c>
      <c r="K134" s="39"/>
      <c r="L134" s="39"/>
      <c r="M134" s="39"/>
      <c r="N134" s="39"/>
      <c r="O134" s="39"/>
      <c r="P134" s="39"/>
      <c r="Q134" s="39" t="s">
        <v>2</v>
      </c>
      <c r="R134" s="39" t="s">
        <v>2</v>
      </c>
      <c r="S134" s="39"/>
      <c r="T134" s="39"/>
      <c r="U134" s="39"/>
      <c r="V134" s="39"/>
      <c r="W134" s="39"/>
      <c r="X134" s="39"/>
      <c r="Y134" s="39" t="s">
        <v>2</v>
      </c>
      <c r="Z134" s="39" t="s">
        <v>2</v>
      </c>
      <c r="AA134" s="39"/>
      <c r="AB134" s="39"/>
      <c r="AC134" s="39"/>
      <c r="AD134" s="39"/>
      <c r="AE134" s="39"/>
      <c r="AF134" s="6"/>
      <c r="AH134" s="20">
        <f t="shared" si="15"/>
        <v>0</v>
      </c>
      <c r="AI134" s="20">
        <f t="shared" si="16"/>
        <v>0</v>
      </c>
    </row>
    <row r="135" spans="1:35" ht="20.100000000000001" hidden="1" customHeight="1">
      <c r="A135" s="24" t="str">
        <f>ÖSSZES!$A$83</f>
        <v>Név12</v>
      </c>
      <c r="B135" s="39" t="s">
        <v>2</v>
      </c>
      <c r="C135" s="39"/>
      <c r="D135" s="39"/>
      <c r="E135" s="39"/>
      <c r="F135" s="39"/>
      <c r="G135" s="39"/>
      <c r="H135" s="39"/>
      <c r="I135" s="39" t="s">
        <v>2</v>
      </c>
      <c r="J135" s="39" t="s">
        <v>2</v>
      </c>
      <c r="K135" s="39"/>
      <c r="L135" s="39"/>
      <c r="M135" s="39"/>
      <c r="N135" s="39"/>
      <c r="O135" s="39"/>
      <c r="P135" s="39"/>
      <c r="Q135" s="39" t="s">
        <v>2</v>
      </c>
      <c r="R135" s="39" t="s">
        <v>2</v>
      </c>
      <c r="S135" s="39"/>
      <c r="T135" s="39"/>
      <c r="U135" s="39"/>
      <c r="V135" s="39"/>
      <c r="W135" s="39"/>
      <c r="X135" s="39"/>
      <c r="Y135" s="39" t="s">
        <v>2</v>
      </c>
      <c r="Z135" s="39" t="s">
        <v>2</v>
      </c>
      <c r="AA135" s="39"/>
      <c r="AB135" s="39"/>
      <c r="AC135" s="39"/>
      <c r="AD135" s="39"/>
      <c r="AE135" s="39"/>
      <c r="AF135" s="6"/>
      <c r="AH135" s="20">
        <f t="shared" si="15"/>
        <v>0</v>
      </c>
      <c r="AI135" s="20">
        <f t="shared" si="16"/>
        <v>0</v>
      </c>
    </row>
    <row r="136" spans="1:35" ht="20.100000000000001" hidden="1" customHeight="1">
      <c r="A136" s="24" t="str">
        <f>ÖSSZES!$A$84</f>
        <v>Név13</v>
      </c>
      <c r="B136" s="39" t="s">
        <v>2</v>
      </c>
      <c r="C136" s="39"/>
      <c r="D136" s="39"/>
      <c r="E136" s="39"/>
      <c r="F136" s="39"/>
      <c r="G136" s="39"/>
      <c r="H136" s="39"/>
      <c r="I136" s="39" t="s">
        <v>2</v>
      </c>
      <c r="J136" s="39" t="s">
        <v>2</v>
      </c>
      <c r="K136" s="39"/>
      <c r="L136" s="39"/>
      <c r="M136" s="39"/>
      <c r="N136" s="39"/>
      <c r="O136" s="39"/>
      <c r="P136" s="39"/>
      <c r="Q136" s="39" t="s">
        <v>2</v>
      </c>
      <c r="R136" s="39" t="s">
        <v>2</v>
      </c>
      <c r="S136" s="39"/>
      <c r="T136" s="39"/>
      <c r="U136" s="39"/>
      <c r="V136" s="39"/>
      <c r="W136" s="39"/>
      <c r="X136" s="39"/>
      <c r="Y136" s="39" t="s">
        <v>2</v>
      </c>
      <c r="Z136" s="39" t="s">
        <v>2</v>
      </c>
      <c r="AA136" s="39"/>
      <c r="AB136" s="39"/>
      <c r="AC136" s="39"/>
      <c r="AD136" s="39"/>
      <c r="AE136" s="39"/>
      <c r="AF136" s="6"/>
      <c r="AH136" s="20">
        <f t="shared" si="15"/>
        <v>0</v>
      </c>
      <c r="AI136" s="20">
        <f t="shared" si="16"/>
        <v>0</v>
      </c>
    </row>
    <row r="137" spans="1:35" ht="20.100000000000001" hidden="1" customHeight="1">
      <c r="A137" s="24" t="str">
        <f>ÖSSZES!$A$85</f>
        <v>Név14</v>
      </c>
      <c r="B137" s="39" t="s">
        <v>2</v>
      </c>
      <c r="C137" s="39"/>
      <c r="D137" s="39"/>
      <c r="E137" s="39"/>
      <c r="F137" s="39"/>
      <c r="G137" s="39"/>
      <c r="H137" s="39"/>
      <c r="I137" s="39" t="s">
        <v>2</v>
      </c>
      <c r="J137" s="39" t="s">
        <v>2</v>
      </c>
      <c r="K137" s="39"/>
      <c r="L137" s="39"/>
      <c r="M137" s="39"/>
      <c r="N137" s="39"/>
      <c r="O137" s="39"/>
      <c r="P137" s="39"/>
      <c r="Q137" s="39" t="s">
        <v>2</v>
      </c>
      <c r="R137" s="39" t="s">
        <v>2</v>
      </c>
      <c r="S137" s="39"/>
      <c r="T137" s="39"/>
      <c r="U137" s="39"/>
      <c r="V137" s="39"/>
      <c r="W137" s="39"/>
      <c r="X137" s="39"/>
      <c r="Y137" s="39" t="s">
        <v>2</v>
      </c>
      <c r="Z137" s="39" t="s">
        <v>2</v>
      </c>
      <c r="AA137" s="39"/>
      <c r="AB137" s="39"/>
      <c r="AC137" s="39"/>
      <c r="AD137" s="39"/>
      <c r="AE137" s="39"/>
      <c r="AF137" s="6"/>
      <c r="AH137" s="20">
        <f t="shared" si="15"/>
        <v>0</v>
      </c>
      <c r="AI137" s="20">
        <f t="shared" si="16"/>
        <v>0</v>
      </c>
    </row>
    <row r="138" spans="1:35" ht="20.100000000000001" hidden="1" customHeight="1">
      <c r="A138" s="24" t="str">
        <f>ÖSSZES!$A$86</f>
        <v>Név15</v>
      </c>
      <c r="B138" s="39" t="s">
        <v>2</v>
      </c>
      <c r="C138" s="39"/>
      <c r="D138" s="39"/>
      <c r="E138" s="39"/>
      <c r="F138" s="39"/>
      <c r="G138" s="39"/>
      <c r="H138" s="39"/>
      <c r="I138" s="39" t="s">
        <v>2</v>
      </c>
      <c r="J138" s="39" t="s">
        <v>2</v>
      </c>
      <c r="K138" s="39"/>
      <c r="L138" s="39"/>
      <c r="M138" s="39"/>
      <c r="N138" s="39"/>
      <c r="O138" s="39"/>
      <c r="P138" s="39"/>
      <c r="Q138" s="39" t="s">
        <v>2</v>
      </c>
      <c r="R138" s="39" t="s">
        <v>2</v>
      </c>
      <c r="S138" s="39"/>
      <c r="T138" s="39"/>
      <c r="U138" s="39"/>
      <c r="V138" s="39"/>
      <c r="W138" s="39"/>
      <c r="X138" s="39"/>
      <c r="Y138" s="39" t="s">
        <v>2</v>
      </c>
      <c r="Z138" s="39" t="s">
        <v>2</v>
      </c>
      <c r="AA138" s="39"/>
      <c r="AB138" s="39"/>
      <c r="AC138" s="39"/>
      <c r="AD138" s="39"/>
      <c r="AE138" s="39"/>
      <c r="AF138" s="6"/>
      <c r="AH138" s="20">
        <f t="shared" si="15"/>
        <v>0</v>
      </c>
      <c r="AI138" s="20">
        <f t="shared" si="16"/>
        <v>0</v>
      </c>
    </row>
    <row r="139" spans="1:35" ht="20.100000000000001" hidden="1" customHeight="1">
      <c r="A139" s="24" t="str">
        <f>ÖSSZES!$A$87</f>
        <v>Név16</v>
      </c>
      <c r="B139" s="39" t="s">
        <v>2</v>
      </c>
      <c r="C139" s="39"/>
      <c r="D139" s="39"/>
      <c r="E139" s="39"/>
      <c r="F139" s="39"/>
      <c r="G139" s="39"/>
      <c r="H139" s="39"/>
      <c r="I139" s="39" t="s">
        <v>2</v>
      </c>
      <c r="J139" s="39" t="s">
        <v>2</v>
      </c>
      <c r="K139" s="39"/>
      <c r="L139" s="39"/>
      <c r="M139" s="39"/>
      <c r="N139" s="39"/>
      <c r="O139" s="39"/>
      <c r="P139" s="39"/>
      <c r="Q139" s="39" t="s">
        <v>2</v>
      </c>
      <c r="R139" s="39" t="s">
        <v>2</v>
      </c>
      <c r="S139" s="39"/>
      <c r="T139" s="39"/>
      <c r="U139" s="39"/>
      <c r="V139" s="39"/>
      <c r="W139" s="39"/>
      <c r="X139" s="39"/>
      <c r="Y139" s="39" t="s">
        <v>2</v>
      </c>
      <c r="Z139" s="39" t="s">
        <v>2</v>
      </c>
      <c r="AA139" s="39"/>
      <c r="AB139" s="39"/>
      <c r="AC139" s="39"/>
      <c r="AD139" s="39"/>
      <c r="AE139" s="39"/>
      <c r="AF139" s="6"/>
      <c r="AH139" s="20">
        <f t="shared" si="15"/>
        <v>0</v>
      </c>
      <c r="AI139" s="20">
        <f t="shared" si="16"/>
        <v>0</v>
      </c>
    </row>
    <row r="140" spans="1:35" ht="20.100000000000001" hidden="1" customHeight="1">
      <c r="A140" s="24" t="str">
        <f>ÖSSZES!$A$88</f>
        <v>Név17</v>
      </c>
      <c r="B140" s="39" t="s">
        <v>2</v>
      </c>
      <c r="C140" s="39"/>
      <c r="D140" s="39"/>
      <c r="E140" s="39"/>
      <c r="F140" s="39"/>
      <c r="G140" s="39"/>
      <c r="H140" s="39"/>
      <c r="I140" s="39" t="s">
        <v>2</v>
      </c>
      <c r="J140" s="39" t="s">
        <v>2</v>
      </c>
      <c r="K140" s="39"/>
      <c r="L140" s="39"/>
      <c r="M140" s="39"/>
      <c r="N140" s="39"/>
      <c r="O140" s="39"/>
      <c r="P140" s="39"/>
      <c r="Q140" s="39" t="s">
        <v>2</v>
      </c>
      <c r="R140" s="39" t="s">
        <v>2</v>
      </c>
      <c r="S140" s="39"/>
      <c r="T140" s="39"/>
      <c r="U140" s="39"/>
      <c r="V140" s="39"/>
      <c r="W140" s="39"/>
      <c r="X140" s="39"/>
      <c r="Y140" s="39" t="s">
        <v>2</v>
      </c>
      <c r="Z140" s="39" t="s">
        <v>2</v>
      </c>
      <c r="AA140" s="39"/>
      <c r="AB140" s="39"/>
      <c r="AC140" s="39"/>
      <c r="AD140" s="39"/>
      <c r="AE140" s="39"/>
      <c r="AF140" s="6"/>
      <c r="AH140" s="20">
        <f t="shared" si="15"/>
        <v>0</v>
      </c>
      <c r="AI140" s="20">
        <f t="shared" si="16"/>
        <v>0</v>
      </c>
    </row>
    <row r="141" spans="1:35" ht="20.100000000000001" hidden="1" customHeight="1">
      <c r="A141" s="24" t="str">
        <f>ÖSSZES!$A$89</f>
        <v>Név18</v>
      </c>
      <c r="B141" s="39" t="s">
        <v>2</v>
      </c>
      <c r="C141" s="39"/>
      <c r="D141" s="39"/>
      <c r="E141" s="39"/>
      <c r="F141" s="39"/>
      <c r="G141" s="39"/>
      <c r="H141" s="39"/>
      <c r="I141" s="39" t="s">
        <v>2</v>
      </c>
      <c r="J141" s="39" t="s">
        <v>2</v>
      </c>
      <c r="K141" s="39"/>
      <c r="L141" s="39"/>
      <c r="M141" s="39"/>
      <c r="N141" s="39"/>
      <c r="O141" s="39"/>
      <c r="P141" s="39"/>
      <c r="Q141" s="39" t="s">
        <v>2</v>
      </c>
      <c r="R141" s="39" t="s">
        <v>2</v>
      </c>
      <c r="S141" s="39"/>
      <c r="T141" s="39"/>
      <c r="U141" s="39"/>
      <c r="V141" s="39"/>
      <c r="W141" s="39"/>
      <c r="X141" s="39"/>
      <c r="Y141" s="39" t="s">
        <v>2</v>
      </c>
      <c r="Z141" s="39" t="s">
        <v>2</v>
      </c>
      <c r="AA141" s="39"/>
      <c r="AB141" s="39"/>
      <c r="AC141" s="39"/>
      <c r="AD141" s="39"/>
      <c r="AE141" s="39"/>
      <c r="AF141" s="6"/>
      <c r="AH141" s="20">
        <f t="shared" si="15"/>
        <v>0</v>
      </c>
      <c r="AI141" s="20">
        <f t="shared" si="16"/>
        <v>0</v>
      </c>
    </row>
    <row r="142" spans="1:35" ht="20.100000000000001" hidden="1" customHeight="1">
      <c r="A142" s="24" t="str">
        <f>ÖSSZES!$A$90</f>
        <v>Név19</v>
      </c>
      <c r="B142" s="39" t="s">
        <v>2</v>
      </c>
      <c r="C142" s="39"/>
      <c r="D142" s="39"/>
      <c r="E142" s="39"/>
      <c r="F142" s="39"/>
      <c r="G142" s="39"/>
      <c r="H142" s="39"/>
      <c r="I142" s="39" t="s">
        <v>2</v>
      </c>
      <c r="J142" s="39" t="s">
        <v>2</v>
      </c>
      <c r="K142" s="39"/>
      <c r="L142" s="39"/>
      <c r="M142" s="39"/>
      <c r="N142" s="39"/>
      <c r="O142" s="39"/>
      <c r="P142" s="39"/>
      <c r="Q142" s="39" t="s">
        <v>2</v>
      </c>
      <c r="R142" s="39" t="s">
        <v>2</v>
      </c>
      <c r="S142" s="39"/>
      <c r="T142" s="39"/>
      <c r="U142" s="39"/>
      <c r="V142" s="39"/>
      <c r="W142" s="39"/>
      <c r="X142" s="39"/>
      <c r="Y142" s="39" t="s">
        <v>2</v>
      </c>
      <c r="Z142" s="39" t="s">
        <v>2</v>
      </c>
      <c r="AA142" s="39"/>
      <c r="AB142" s="39"/>
      <c r="AC142" s="39"/>
      <c r="AD142" s="39"/>
      <c r="AE142" s="39"/>
      <c r="AF142" s="6"/>
      <c r="AH142" s="20">
        <f t="shared" si="15"/>
        <v>0</v>
      </c>
      <c r="AI142" s="20">
        <f t="shared" si="16"/>
        <v>0</v>
      </c>
    </row>
    <row r="143" spans="1:35" ht="20.100000000000001" hidden="1" customHeight="1">
      <c r="A143" s="24" t="str">
        <f>ÖSSZES!$A$91</f>
        <v>Név20</v>
      </c>
      <c r="B143" s="39" t="s">
        <v>2</v>
      </c>
      <c r="C143" s="39"/>
      <c r="D143" s="39"/>
      <c r="E143" s="39"/>
      <c r="F143" s="39"/>
      <c r="G143" s="39"/>
      <c r="H143" s="39"/>
      <c r="I143" s="39" t="s">
        <v>2</v>
      </c>
      <c r="J143" s="39" t="s">
        <v>2</v>
      </c>
      <c r="K143" s="39"/>
      <c r="L143" s="39"/>
      <c r="M143" s="39"/>
      <c r="N143" s="39"/>
      <c r="O143" s="39"/>
      <c r="P143" s="39"/>
      <c r="Q143" s="39" t="s">
        <v>2</v>
      </c>
      <c r="R143" s="39" t="s">
        <v>2</v>
      </c>
      <c r="S143" s="39"/>
      <c r="T143" s="39"/>
      <c r="U143" s="39"/>
      <c r="V143" s="39"/>
      <c r="W143" s="39"/>
      <c r="X143" s="39"/>
      <c r="Y143" s="39" t="s">
        <v>2</v>
      </c>
      <c r="Z143" s="39" t="s">
        <v>2</v>
      </c>
      <c r="AA143" s="39"/>
      <c r="AB143" s="39"/>
      <c r="AC143" s="39"/>
      <c r="AD143" s="39"/>
      <c r="AE143" s="39"/>
      <c r="AF143" s="6"/>
      <c r="AH143" s="20">
        <f t="shared" si="15"/>
        <v>0</v>
      </c>
      <c r="AI143" s="20">
        <f t="shared" si="16"/>
        <v>0</v>
      </c>
    </row>
    <row r="144" spans="1:35" ht="20.100000000000001" customHeight="1"/>
    <row r="145" spans="1:35" s="11" customFormat="1" ht="20.100000000000001" customHeight="1">
      <c r="A145" s="57" t="s">
        <v>11</v>
      </c>
      <c r="B145" s="23">
        <v>1</v>
      </c>
      <c r="C145" s="23">
        <v>2</v>
      </c>
      <c r="D145" s="23">
        <v>3</v>
      </c>
      <c r="E145" s="23">
        <v>4</v>
      </c>
      <c r="F145" s="23">
        <v>5</v>
      </c>
      <c r="G145" s="23">
        <v>6</v>
      </c>
      <c r="H145" s="23">
        <v>7</v>
      </c>
      <c r="I145" s="23">
        <v>8</v>
      </c>
      <c r="J145" s="23">
        <v>9</v>
      </c>
      <c r="K145" s="23">
        <v>10</v>
      </c>
      <c r="L145" s="23">
        <v>11</v>
      </c>
      <c r="M145" s="23">
        <v>12</v>
      </c>
      <c r="N145" s="23">
        <v>13</v>
      </c>
      <c r="O145" s="23">
        <v>14</v>
      </c>
      <c r="P145" s="23">
        <v>15</v>
      </c>
      <c r="Q145" s="23">
        <v>16</v>
      </c>
      <c r="R145" s="23">
        <v>17</v>
      </c>
      <c r="S145" s="23">
        <v>18</v>
      </c>
      <c r="T145" s="23">
        <v>19</v>
      </c>
      <c r="U145" s="23">
        <v>20</v>
      </c>
      <c r="V145" s="23">
        <v>21</v>
      </c>
      <c r="W145" s="23">
        <v>22</v>
      </c>
      <c r="X145" s="23">
        <v>23</v>
      </c>
      <c r="Y145" s="23">
        <v>24</v>
      </c>
      <c r="Z145" s="23">
        <v>25</v>
      </c>
      <c r="AA145" s="23">
        <v>26</v>
      </c>
      <c r="AB145" s="23">
        <v>27</v>
      </c>
      <c r="AC145" s="23">
        <v>28</v>
      </c>
      <c r="AD145" s="23">
        <v>29</v>
      </c>
      <c r="AE145" s="23">
        <v>30</v>
      </c>
      <c r="AF145" s="23">
        <v>31</v>
      </c>
      <c r="AH145" s="59" t="s">
        <v>18</v>
      </c>
      <c r="AI145" s="59" t="s">
        <v>19</v>
      </c>
    </row>
    <row r="146" spans="1:35" ht="20.100000000000001" customHeight="1">
      <c r="A146" s="61"/>
      <c r="B146" s="15" t="str">
        <f>'2021'!B52</f>
        <v>Cs</v>
      </c>
      <c r="C146" s="15" t="str">
        <f>'2021'!C52</f>
        <v>P</v>
      </c>
      <c r="D146" s="15" t="str">
        <f>'2021'!D52</f>
        <v>Szo</v>
      </c>
      <c r="E146" s="15" t="str">
        <f>'2021'!E52</f>
        <v>V</v>
      </c>
      <c r="F146" s="15" t="str">
        <f>'2021'!F52</f>
        <v>H</v>
      </c>
      <c r="G146" s="15" t="str">
        <f>'2021'!G52</f>
        <v>K</v>
      </c>
      <c r="H146" s="15" t="str">
        <f>'2021'!H52</f>
        <v>Sze</v>
      </c>
      <c r="I146" s="15" t="str">
        <f>'2021'!I52</f>
        <v>Cs</v>
      </c>
      <c r="J146" s="15" t="str">
        <f>'2021'!J52</f>
        <v>P</v>
      </c>
      <c r="K146" s="15" t="str">
        <f>'2021'!K52</f>
        <v>Szo</v>
      </c>
      <c r="L146" s="15" t="str">
        <f>'2021'!L52</f>
        <v>V</v>
      </c>
      <c r="M146" s="15" t="str">
        <f>'2021'!M52</f>
        <v>H</v>
      </c>
      <c r="N146" s="15" t="str">
        <f>'2021'!N52</f>
        <v>K</v>
      </c>
      <c r="O146" s="15" t="str">
        <f>'2021'!O52</f>
        <v>Sze</v>
      </c>
      <c r="P146" s="15" t="str">
        <f>'2021'!P52</f>
        <v>Cs</v>
      </c>
      <c r="Q146" s="15" t="str">
        <f>'2021'!Q52</f>
        <v>P</v>
      </c>
      <c r="R146" s="15" t="str">
        <f>'2021'!R52</f>
        <v>Szo</v>
      </c>
      <c r="S146" s="15" t="str">
        <f>'2021'!S52</f>
        <v>V</v>
      </c>
      <c r="T146" s="15" t="str">
        <f>'2021'!T52</f>
        <v>H</v>
      </c>
      <c r="U146" s="15" t="str">
        <f>'2021'!U52</f>
        <v>K</v>
      </c>
      <c r="V146" s="15" t="str">
        <f>'2021'!V52</f>
        <v>Sze</v>
      </c>
      <c r="W146" s="15" t="str">
        <f>'2021'!W52</f>
        <v>Cs</v>
      </c>
      <c r="X146" s="15" t="str">
        <f>'2021'!X52</f>
        <v>P</v>
      </c>
      <c r="Y146" s="15" t="str">
        <f>'2021'!Y52</f>
        <v>Szo</v>
      </c>
      <c r="Z146" s="15" t="str">
        <f>'2021'!Z52</f>
        <v>V</v>
      </c>
      <c r="AA146" s="15" t="str">
        <f>'2021'!AA52</f>
        <v>H</v>
      </c>
      <c r="AB146" s="15" t="str">
        <f>'2021'!AB52</f>
        <v>K</v>
      </c>
      <c r="AC146" s="15" t="str">
        <f>'2021'!AC52</f>
        <v>Sze</v>
      </c>
      <c r="AD146" s="15" t="str">
        <f>'2021'!AD52</f>
        <v>Cs</v>
      </c>
      <c r="AE146" s="15" t="str">
        <f>'2021'!AE52</f>
        <v>P</v>
      </c>
      <c r="AF146" s="15" t="str">
        <f>'2021'!AF52</f>
        <v>Szo</v>
      </c>
      <c r="AH146" s="60"/>
      <c r="AI146" s="60"/>
    </row>
    <row r="147" spans="1:35" ht="20.100000000000001" customHeight="1">
      <c r="A147" s="61"/>
      <c r="B147" s="15">
        <f>'2021'!B56</f>
        <v>3</v>
      </c>
      <c r="C147" s="15" t="str">
        <f>'2021'!C56</f>
        <v>X</v>
      </c>
      <c r="D147" s="15" t="str">
        <f>'2021'!D56</f>
        <v>X</v>
      </c>
      <c r="E147" s="15">
        <f>'2021'!E56</f>
        <v>2</v>
      </c>
      <c r="F147" s="15">
        <f>'2021'!F56</f>
        <v>2</v>
      </c>
      <c r="G147" s="15">
        <f>'2021'!G56</f>
        <v>2</v>
      </c>
      <c r="H147" s="15">
        <f>'2021'!H56</f>
        <v>2</v>
      </c>
      <c r="I147" s="15">
        <f>'2021'!I56</f>
        <v>2</v>
      </c>
      <c r="J147" s="15">
        <f>'2021'!J56</f>
        <v>2</v>
      </c>
      <c r="K147" s="15" t="str">
        <f>'2021'!K56</f>
        <v>X</v>
      </c>
      <c r="L147" s="15" t="str">
        <f>'2021'!L56</f>
        <v>X</v>
      </c>
      <c r="M147" s="15">
        <f>'2021'!M56</f>
        <v>1</v>
      </c>
      <c r="N147" s="15">
        <f>'2021'!N56</f>
        <v>1</v>
      </c>
      <c r="O147" s="15">
        <f>'2021'!O56</f>
        <v>1</v>
      </c>
      <c r="P147" s="15">
        <f>'2021'!P56</f>
        <v>1</v>
      </c>
      <c r="Q147" s="15">
        <f>'2021'!Q56</f>
        <v>1</v>
      </c>
      <c r="R147" s="15">
        <f>'2021'!R56</f>
        <v>1</v>
      </c>
      <c r="S147" s="15" t="str">
        <f>'2021'!S56</f>
        <v>X</v>
      </c>
      <c r="T147" s="15" t="str">
        <f>'2021'!T56</f>
        <v>X</v>
      </c>
      <c r="U147" s="15">
        <f>'2021'!U56</f>
        <v>3</v>
      </c>
      <c r="V147" s="15">
        <f>'2021'!V56</f>
        <v>3</v>
      </c>
      <c r="W147" s="15">
        <f>'2021'!W56</f>
        <v>3</v>
      </c>
      <c r="X147" s="15">
        <f>'2021'!X56</f>
        <v>3</v>
      </c>
      <c r="Y147" s="15">
        <f>'2021'!Y56</f>
        <v>3</v>
      </c>
      <c r="Z147" s="15">
        <f>'2021'!Z56</f>
        <v>3</v>
      </c>
      <c r="AA147" s="15" t="str">
        <f>'2021'!AA56</f>
        <v>X</v>
      </c>
      <c r="AB147" s="15" t="str">
        <f>'2021'!AB56</f>
        <v>X</v>
      </c>
      <c r="AC147" s="15">
        <f>'2021'!AC56</f>
        <v>2</v>
      </c>
      <c r="AD147" s="15">
        <f>'2021'!AD56</f>
        <v>2</v>
      </c>
      <c r="AE147" s="15">
        <f>'2021'!AE56</f>
        <v>2</v>
      </c>
      <c r="AF147" s="15">
        <f>'2021'!AF56</f>
        <v>2</v>
      </c>
      <c r="AH147" s="60"/>
      <c r="AI147" s="60"/>
    </row>
    <row r="148" spans="1:35" ht="20.100000000000001" customHeight="1">
      <c r="A148" s="24" t="str">
        <f>ÖSSZES!$A$72</f>
        <v>Daku Gábor</v>
      </c>
      <c r="B148" s="39">
        <f>[1]D!B70</f>
        <v>0</v>
      </c>
      <c r="C148" s="39" t="str">
        <f>[1]D!C70</f>
        <v>X</v>
      </c>
      <c r="D148" s="39" t="str">
        <f>[1]D!D70</f>
        <v>X</v>
      </c>
      <c r="E148" s="39">
        <f>[1]D!E70</f>
        <v>0</v>
      </c>
      <c r="F148" s="39">
        <f>[1]D!F70</f>
        <v>0</v>
      </c>
      <c r="G148" s="39">
        <f>[1]D!G70</f>
        <v>0</v>
      </c>
      <c r="H148" s="39">
        <f>[1]D!H70</f>
        <v>0</v>
      </c>
      <c r="I148" s="39">
        <f>[1]D!I70</f>
        <v>0</v>
      </c>
      <c r="J148" s="39">
        <f>[1]D!J70</f>
        <v>0</v>
      </c>
      <c r="K148" s="39" t="str">
        <f>[1]D!K70</f>
        <v>X</v>
      </c>
      <c r="L148" s="39" t="str">
        <f>[1]D!L70</f>
        <v>X</v>
      </c>
      <c r="M148" s="39">
        <f>[1]D!M70</f>
        <v>0</v>
      </c>
      <c r="N148" s="39">
        <f>[1]D!N70</f>
        <v>0</v>
      </c>
      <c r="O148" s="39">
        <f>[1]D!O70</f>
        <v>0</v>
      </c>
      <c r="P148" s="39">
        <f>[1]D!P70</f>
        <v>0</v>
      </c>
      <c r="Q148" s="39">
        <f>[1]D!Q70</f>
        <v>0</v>
      </c>
      <c r="R148" s="39">
        <f>[1]D!R70</f>
        <v>0</v>
      </c>
      <c r="S148" s="39" t="str">
        <f>[1]D!S70</f>
        <v>X</v>
      </c>
      <c r="T148" s="39" t="str">
        <f>[1]D!T70</f>
        <v>X</v>
      </c>
      <c r="U148" s="39">
        <f>[1]D!U70</f>
        <v>0</v>
      </c>
      <c r="V148" s="39">
        <f>[1]D!V70</f>
        <v>0</v>
      </c>
      <c r="W148" s="39">
        <f>[1]D!W70</f>
        <v>0</v>
      </c>
      <c r="X148" s="39">
        <f>[1]D!X70</f>
        <v>0</v>
      </c>
      <c r="Y148" s="39">
        <f>[1]D!Y70</f>
        <v>0</v>
      </c>
      <c r="Z148" s="39">
        <f>[1]D!Z70</f>
        <v>0</v>
      </c>
      <c r="AA148" s="39" t="str">
        <f>[1]D!AA70</f>
        <v>X</v>
      </c>
      <c r="AB148" s="39" t="str">
        <f>[1]D!AB70</f>
        <v>X</v>
      </c>
      <c r="AC148" s="39">
        <f>[1]D!AC70</f>
        <v>0</v>
      </c>
      <c r="AD148" s="39">
        <f>[1]D!AD70</f>
        <v>0</v>
      </c>
      <c r="AE148" s="39">
        <f>[1]D!AE70</f>
        <v>0</v>
      </c>
      <c r="AF148" s="39">
        <f>[1]D!AF70</f>
        <v>0</v>
      </c>
      <c r="AH148" s="20">
        <f>1*COUNTIF(A148:AF148,"+")</f>
        <v>0</v>
      </c>
      <c r="AI148" s="20">
        <f t="shared" ref="AI148" si="17">1*COUNTIF(B148:AF148,"szf")</f>
        <v>0</v>
      </c>
    </row>
    <row r="149" spans="1:35" ht="20.100000000000001" customHeight="1">
      <c r="A149" s="24" t="str">
        <f>ÖSSZES!$A$73</f>
        <v>Borbély Csaba</v>
      </c>
      <c r="B149" s="39">
        <f>[1]D!B71</f>
        <v>0</v>
      </c>
      <c r="C149" s="39" t="str">
        <f>[1]D!C71</f>
        <v>X</v>
      </c>
      <c r="D149" s="39" t="str">
        <f>[1]D!D71</f>
        <v>X</v>
      </c>
      <c r="E149" s="39">
        <f>[1]D!E71</f>
        <v>0</v>
      </c>
      <c r="F149" s="39">
        <f>[1]D!F71</f>
        <v>0</v>
      </c>
      <c r="G149" s="39">
        <f>[1]D!G71</f>
        <v>0</v>
      </c>
      <c r="H149" s="39">
        <f>[1]D!H71</f>
        <v>0</v>
      </c>
      <c r="I149" s="39">
        <f>[1]D!I71</f>
        <v>0</v>
      </c>
      <c r="J149" s="39">
        <f>[1]D!J71</f>
        <v>0</v>
      </c>
      <c r="K149" s="39" t="str">
        <f>[1]D!K71</f>
        <v>X</v>
      </c>
      <c r="L149" s="39" t="str">
        <f>[1]D!L71</f>
        <v>X</v>
      </c>
      <c r="M149" s="39">
        <f>[1]D!M71</f>
        <v>0</v>
      </c>
      <c r="N149" s="39">
        <f>[1]D!N71</f>
        <v>0</v>
      </c>
      <c r="O149" s="39">
        <f>[1]D!O71</f>
        <v>0</v>
      </c>
      <c r="P149" s="39">
        <f>[1]D!P71</f>
        <v>0</v>
      </c>
      <c r="Q149" s="39">
        <f>[1]D!Q71</f>
        <v>0</v>
      </c>
      <c r="R149" s="39">
        <f>[1]D!R71</f>
        <v>0</v>
      </c>
      <c r="S149" s="39" t="str">
        <f>[1]D!S71</f>
        <v>X</v>
      </c>
      <c r="T149" s="39" t="str">
        <f>[1]D!T71</f>
        <v>X</v>
      </c>
      <c r="U149" s="39">
        <f>[1]D!U71</f>
        <v>0</v>
      </c>
      <c r="V149" s="39">
        <f>[1]D!V71</f>
        <v>0</v>
      </c>
      <c r="W149" s="39">
        <f>[1]D!W71</f>
        <v>0</v>
      </c>
      <c r="X149" s="39">
        <f>[1]D!X71</f>
        <v>0</v>
      </c>
      <c r="Y149" s="39">
        <f>[1]D!Y71</f>
        <v>0</v>
      </c>
      <c r="Z149" s="39">
        <f>[1]D!Z71</f>
        <v>0</v>
      </c>
      <c r="AA149" s="39" t="str">
        <f>[1]D!AA71</f>
        <v>X</v>
      </c>
      <c r="AB149" s="39" t="str">
        <f>[1]D!AB71</f>
        <v>X</v>
      </c>
      <c r="AC149" s="39">
        <f>[1]D!AC71</f>
        <v>0</v>
      </c>
      <c r="AD149" s="39">
        <f>[1]D!AD71</f>
        <v>0</v>
      </c>
      <c r="AE149" s="39">
        <f>[1]D!AE71</f>
        <v>0</v>
      </c>
      <c r="AF149" s="39">
        <f>[1]D!AF71</f>
        <v>0</v>
      </c>
      <c r="AH149" s="20">
        <f t="shared" ref="AH149:AH167" si="18">1*COUNTIF(A149:AF149,"+")</f>
        <v>0</v>
      </c>
      <c r="AI149" s="20">
        <f t="shared" ref="AI149:AI167" si="19">1*COUNTIF(B149:AF149,"szf")</f>
        <v>0</v>
      </c>
    </row>
    <row r="150" spans="1:35" ht="20.100000000000001" customHeight="1">
      <c r="A150" s="24" t="str">
        <f>ÖSSZES!$A$74</f>
        <v>Erdei Bálint</v>
      </c>
      <c r="B150" s="39">
        <f>[1]D!B72</f>
        <v>0</v>
      </c>
      <c r="C150" s="39" t="str">
        <f>[1]D!C72</f>
        <v>X</v>
      </c>
      <c r="D150" s="39" t="str">
        <f>[1]D!D72</f>
        <v>X</v>
      </c>
      <c r="E150" s="39">
        <f>[1]D!E72</f>
        <v>0</v>
      </c>
      <c r="F150" s="39">
        <f>[1]D!F72</f>
        <v>0</v>
      </c>
      <c r="G150" s="39">
        <f>[1]D!G72</f>
        <v>0</v>
      </c>
      <c r="H150" s="39">
        <f>[1]D!H72</f>
        <v>0</v>
      </c>
      <c r="I150" s="39">
        <f>[1]D!I72</f>
        <v>0</v>
      </c>
      <c r="J150" s="39">
        <f>[1]D!J72</f>
        <v>0</v>
      </c>
      <c r="K150" s="39" t="str">
        <f>[1]D!K72</f>
        <v>X</v>
      </c>
      <c r="L150" s="39" t="str">
        <f>[1]D!L72</f>
        <v>X</v>
      </c>
      <c r="M150" s="39">
        <f>[1]D!M72</f>
        <v>0</v>
      </c>
      <c r="N150" s="39">
        <f>[1]D!N72</f>
        <v>0</v>
      </c>
      <c r="O150" s="39">
        <f>[1]D!O72</f>
        <v>0</v>
      </c>
      <c r="P150" s="39">
        <f>[1]D!P72</f>
        <v>0</v>
      </c>
      <c r="Q150" s="39">
        <f>[1]D!Q72</f>
        <v>0</v>
      </c>
      <c r="R150" s="39">
        <f>[1]D!R72</f>
        <v>0</v>
      </c>
      <c r="S150" s="39" t="str">
        <f>[1]D!S72</f>
        <v>X</v>
      </c>
      <c r="T150" s="39" t="str">
        <f>[1]D!T72</f>
        <v>X</v>
      </c>
      <c r="U150" s="39">
        <f>[1]D!U72</f>
        <v>0</v>
      </c>
      <c r="V150" s="39">
        <f>[1]D!V72</f>
        <v>0</v>
      </c>
      <c r="W150" s="39">
        <f>[1]D!W72</f>
        <v>0</v>
      </c>
      <c r="X150" s="39">
        <f>[1]D!X72</f>
        <v>0</v>
      </c>
      <c r="Y150" s="39">
        <f>[1]D!Y72</f>
        <v>0</v>
      </c>
      <c r="Z150" s="39">
        <f>[1]D!Z72</f>
        <v>0</v>
      </c>
      <c r="AA150" s="39" t="str">
        <f>[1]D!AA72</f>
        <v>X</v>
      </c>
      <c r="AB150" s="39" t="str">
        <f>[1]D!AB72</f>
        <v>X</v>
      </c>
      <c r="AC150" s="39">
        <f>[1]D!AC72</f>
        <v>0</v>
      </c>
      <c r="AD150" s="39">
        <f>[1]D!AD72</f>
        <v>0</v>
      </c>
      <c r="AE150" s="39">
        <f>[1]D!AE72</f>
        <v>0</v>
      </c>
      <c r="AF150" s="39">
        <f>[1]D!AF72</f>
        <v>0</v>
      </c>
      <c r="AH150" s="20">
        <f t="shared" si="18"/>
        <v>0</v>
      </c>
      <c r="AI150" s="20">
        <f t="shared" si="19"/>
        <v>0</v>
      </c>
    </row>
    <row r="151" spans="1:35" ht="20.100000000000001" customHeight="1">
      <c r="A151" s="24" t="str">
        <f>ÖSSZES!$A$75</f>
        <v>Fábián Gábor</v>
      </c>
      <c r="B151" s="39">
        <f>[1]D!B73</f>
        <v>0</v>
      </c>
      <c r="C151" s="39" t="str">
        <f>[1]D!C73</f>
        <v>X</v>
      </c>
      <c r="D151" s="39" t="str">
        <f>[1]D!D73</f>
        <v>X</v>
      </c>
      <c r="E151" s="39">
        <f>[1]D!E73</f>
        <v>0</v>
      </c>
      <c r="F151" s="39">
        <f>[1]D!F73</f>
        <v>0</v>
      </c>
      <c r="G151" s="39">
        <f>[1]D!G73</f>
        <v>0</v>
      </c>
      <c r="H151" s="39">
        <f>[1]D!H73</f>
        <v>0</v>
      </c>
      <c r="I151" s="39">
        <f>[1]D!I73</f>
        <v>0</v>
      </c>
      <c r="J151" s="39">
        <f>[1]D!J73</f>
        <v>0</v>
      </c>
      <c r="K151" s="39" t="str">
        <f>[1]D!K73</f>
        <v>X</v>
      </c>
      <c r="L151" s="39" t="str">
        <f>[1]D!L73</f>
        <v>X</v>
      </c>
      <c r="M151" s="39">
        <f>[1]D!M73</f>
        <v>0</v>
      </c>
      <c r="N151" s="39">
        <f>[1]D!N73</f>
        <v>0</v>
      </c>
      <c r="O151" s="39">
        <f>[1]D!O73</f>
        <v>0</v>
      </c>
      <c r="P151" s="39">
        <f>[1]D!P73</f>
        <v>0</v>
      </c>
      <c r="Q151" s="39">
        <f>[1]D!Q73</f>
        <v>0</v>
      </c>
      <c r="R151" s="39">
        <f>[1]D!R73</f>
        <v>0</v>
      </c>
      <c r="S151" s="39" t="str">
        <f>[1]D!S73</f>
        <v>X</v>
      </c>
      <c r="T151" s="39" t="str">
        <f>[1]D!T73</f>
        <v>X</v>
      </c>
      <c r="U151" s="39">
        <f>[1]D!U73</f>
        <v>0</v>
      </c>
      <c r="V151" s="39">
        <f>[1]D!V73</f>
        <v>0</v>
      </c>
      <c r="W151" s="39">
        <f>[1]D!W73</f>
        <v>0</v>
      </c>
      <c r="X151" s="39">
        <f>[1]D!X73</f>
        <v>0</v>
      </c>
      <c r="Y151" s="39">
        <f>[1]D!Y73</f>
        <v>0</v>
      </c>
      <c r="Z151" s="39">
        <f>[1]D!Z73</f>
        <v>0</v>
      </c>
      <c r="AA151" s="39" t="str">
        <f>[1]D!AA73</f>
        <v>X</v>
      </c>
      <c r="AB151" s="39" t="str">
        <f>[1]D!AB73</f>
        <v>X</v>
      </c>
      <c r="AC151" s="39">
        <f>[1]D!AC73</f>
        <v>0</v>
      </c>
      <c r="AD151" s="39">
        <f>[1]D!AD73</f>
        <v>0</v>
      </c>
      <c r="AE151" s="39">
        <f>[1]D!AE73</f>
        <v>0</v>
      </c>
      <c r="AF151" s="39">
        <f>[1]D!AF73</f>
        <v>0</v>
      </c>
      <c r="AH151" s="20">
        <f t="shared" si="18"/>
        <v>0</v>
      </c>
      <c r="AI151" s="20">
        <f t="shared" si="19"/>
        <v>0</v>
      </c>
    </row>
    <row r="152" spans="1:35" ht="20.100000000000001" customHeight="1">
      <c r="A152" s="24" t="str">
        <f>ÖSSZES!$A$76</f>
        <v>Gellei Zsolt</v>
      </c>
      <c r="B152" s="39">
        <f>[1]D!B74</f>
        <v>0</v>
      </c>
      <c r="C152" s="39" t="str">
        <f>[1]D!C74</f>
        <v>X</v>
      </c>
      <c r="D152" s="39" t="str">
        <f>[1]D!D74</f>
        <v>X</v>
      </c>
      <c r="E152" s="39">
        <f>[1]D!E74</f>
        <v>0</v>
      </c>
      <c r="F152" s="39">
        <f>[1]D!F74</f>
        <v>0</v>
      </c>
      <c r="G152" s="39">
        <f>[1]D!G74</f>
        <v>0</v>
      </c>
      <c r="H152" s="39">
        <f>[1]D!H74</f>
        <v>0</v>
      </c>
      <c r="I152" s="39">
        <f>[1]D!I74</f>
        <v>0</v>
      </c>
      <c r="J152" s="39">
        <f>[1]D!J74</f>
        <v>0</v>
      </c>
      <c r="K152" s="39" t="str">
        <f>[1]D!K74</f>
        <v>X</v>
      </c>
      <c r="L152" s="39" t="str">
        <f>[1]D!L74</f>
        <v>X</v>
      </c>
      <c r="M152" s="39">
        <f>[1]D!M74</f>
        <v>0</v>
      </c>
      <c r="N152" s="39">
        <f>[1]D!N74</f>
        <v>0</v>
      </c>
      <c r="O152" s="39">
        <f>[1]D!O74</f>
        <v>0</v>
      </c>
      <c r="P152" s="39">
        <f>[1]D!P74</f>
        <v>0</v>
      </c>
      <c r="Q152" s="39">
        <f>[1]D!Q74</f>
        <v>0</v>
      </c>
      <c r="R152" s="39">
        <f>[1]D!R74</f>
        <v>0</v>
      </c>
      <c r="S152" s="39" t="str">
        <f>[1]D!S74</f>
        <v>X</v>
      </c>
      <c r="T152" s="39" t="str">
        <f>[1]D!T74</f>
        <v>X</v>
      </c>
      <c r="U152" s="39">
        <f>[1]D!U74</f>
        <v>0</v>
      </c>
      <c r="V152" s="39">
        <f>[1]D!V74</f>
        <v>0</v>
      </c>
      <c r="W152" s="39">
        <f>[1]D!W74</f>
        <v>0</v>
      </c>
      <c r="X152" s="39">
        <f>[1]D!X74</f>
        <v>0</v>
      </c>
      <c r="Y152" s="39">
        <f>[1]D!Y74</f>
        <v>0</v>
      </c>
      <c r="Z152" s="39">
        <f>[1]D!Z74</f>
        <v>0</v>
      </c>
      <c r="AA152" s="39" t="str">
        <f>[1]D!AA74</f>
        <v>X</v>
      </c>
      <c r="AB152" s="39" t="str">
        <f>[1]D!AB74</f>
        <v>X</v>
      </c>
      <c r="AC152" s="39">
        <f>[1]D!AC74</f>
        <v>0</v>
      </c>
      <c r="AD152" s="39">
        <f>[1]D!AD74</f>
        <v>0</v>
      </c>
      <c r="AE152" s="39">
        <f>[1]D!AE74</f>
        <v>0</v>
      </c>
      <c r="AF152" s="39">
        <f>[1]D!AF74</f>
        <v>0</v>
      </c>
      <c r="AH152" s="20">
        <f t="shared" si="18"/>
        <v>0</v>
      </c>
      <c r="AI152" s="20">
        <f t="shared" si="19"/>
        <v>0</v>
      </c>
    </row>
    <row r="153" spans="1:35" ht="20.100000000000001" customHeight="1">
      <c r="A153" s="24" t="str">
        <f>ÖSSZES!$A$77</f>
        <v>Kiss Gyula</v>
      </c>
      <c r="B153" s="39">
        <f>[1]D!B75</f>
        <v>0</v>
      </c>
      <c r="C153" s="39" t="str">
        <f>[1]D!C75</f>
        <v>X</v>
      </c>
      <c r="D153" s="39" t="str">
        <f>[1]D!D75</f>
        <v>X</v>
      </c>
      <c r="E153" s="39">
        <f>[1]D!E75</f>
        <v>0</v>
      </c>
      <c r="F153" s="39">
        <f>[1]D!F75</f>
        <v>0</v>
      </c>
      <c r="G153" s="39">
        <f>[1]D!G75</f>
        <v>0</v>
      </c>
      <c r="H153" s="39">
        <f>[1]D!H75</f>
        <v>0</v>
      </c>
      <c r="I153" s="39">
        <f>[1]D!I75</f>
        <v>0</v>
      </c>
      <c r="J153" s="39">
        <f>[1]D!J75</f>
        <v>0</v>
      </c>
      <c r="K153" s="39" t="str">
        <f>[1]D!K75</f>
        <v>X</v>
      </c>
      <c r="L153" s="39" t="str">
        <f>[1]D!L75</f>
        <v>X</v>
      </c>
      <c r="M153" s="39">
        <f>[1]D!M75</f>
        <v>0</v>
      </c>
      <c r="N153" s="39">
        <f>[1]D!N75</f>
        <v>0</v>
      </c>
      <c r="O153" s="39">
        <f>[1]D!O75</f>
        <v>0</v>
      </c>
      <c r="P153" s="39">
        <f>[1]D!P75</f>
        <v>0</v>
      </c>
      <c r="Q153" s="39">
        <f>[1]D!Q75</f>
        <v>0</v>
      </c>
      <c r="R153" s="39">
        <f>[1]D!R75</f>
        <v>0</v>
      </c>
      <c r="S153" s="39" t="str">
        <f>[1]D!S75</f>
        <v>X</v>
      </c>
      <c r="T153" s="39" t="str">
        <f>[1]D!T75</f>
        <v>X</v>
      </c>
      <c r="U153" s="39">
        <f>[1]D!U75</f>
        <v>0</v>
      </c>
      <c r="V153" s="39">
        <f>[1]D!V75</f>
        <v>0</v>
      </c>
      <c r="W153" s="39">
        <f>[1]D!W75</f>
        <v>0</v>
      </c>
      <c r="X153" s="39">
        <f>[1]D!X75</f>
        <v>0</v>
      </c>
      <c r="Y153" s="39">
        <f>[1]D!Y75</f>
        <v>0</v>
      </c>
      <c r="Z153" s="39">
        <f>[1]D!Z75</f>
        <v>0</v>
      </c>
      <c r="AA153" s="39" t="str">
        <f>[1]D!AA75</f>
        <v>X</v>
      </c>
      <c r="AB153" s="39" t="str">
        <f>[1]D!AB75</f>
        <v>X</v>
      </c>
      <c r="AC153" s="39">
        <f>[1]D!AC75</f>
        <v>0</v>
      </c>
      <c r="AD153" s="39">
        <f>[1]D!AD75</f>
        <v>0</v>
      </c>
      <c r="AE153" s="39">
        <f>[1]D!AE75</f>
        <v>0</v>
      </c>
      <c r="AF153" s="39">
        <f>[1]D!AF75</f>
        <v>0</v>
      </c>
      <c r="AH153" s="20">
        <f t="shared" si="18"/>
        <v>0</v>
      </c>
      <c r="AI153" s="20">
        <f t="shared" si="19"/>
        <v>0</v>
      </c>
    </row>
    <row r="154" spans="1:35" ht="20.100000000000001" customHeight="1">
      <c r="A154" s="24" t="str">
        <f>ÖSSZES!$A$78</f>
        <v>Nagy István</v>
      </c>
      <c r="B154" s="39">
        <f>[1]D!B76</f>
        <v>0</v>
      </c>
      <c r="C154" s="39" t="str">
        <f>[1]D!C76</f>
        <v>X</v>
      </c>
      <c r="D154" s="39" t="str">
        <f>[1]D!D76</f>
        <v>X</v>
      </c>
      <c r="E154" s="39">
        <f>[1]D!E76</f>
        <v>0</v>
      </c>
      <c r="F154" s="39">
        <f>[1]D!F76</f>
        <v>0</v>
      </c>
      <c r="G154" s="39">
        <f>[1]D!G76</f>
        <v>0</v>
      </c>
      <c r="H154" s="39">
        <f>[1]D!H76</f>
        <v>0</v>
      </c>
      <c r="I154" s="39">
        <f>[1]D!I76</f>
        <v>0</v>
      </c>
      <c r="J154" s="39">
        <f>[1]D!J76</f>
        <v>0</v>
      </c>
      <c r="K154" s="39" t="str">
        <f>[1]D!K76</f>
        <v>X</v>
      </c>
      <c r="L154" s="39" t="str">
        <f>[1]D!L76</f>
        <v>X</v>
      </c>
      <c r="M154" s="39">
        <f>[1]D!M76</f>
        <v>0</v>
      </c>
      <c r="N154" s="39">
        <f>[1]D!N76</f>
        <v>0</v>
      </c>
      <c r="O154" s="39">
        <f>[1]D!O76</f>
        <v>0</v>
      </c>
      <c r="P154" s="39">
        <f>[1]D!P76</f>
        <v>0</v>
      </c>
      <c r="Q154" s="39">
        <f>[1]D!Q76</f>
        <v>0</v>
      </c>
      <c r="R154" s="39">
        <f>[1]D!R76</f>
        <v>0</v>
      </c>
      <c r="S154" s="39" t="str">
        <f>[1]D!S76</f>
        <v>X</v>
      </c>
      <c r="T154" s="39" t="str">
        <f>[1]D!T76</f>
        <v>X</v>
      </c>
      <c r="U154" s="39">
        <f>[1]D!U76</f>
        <v>0</v>
      </c>
      <c r="V154" s="39">
        <f>[1]D!V76</f>
        <v>0</v>
      </c>
      <c r="W154" s="39">
        <f>[1]D!W76</f>
        <v>0</v>
      </c>
      <c r="X154" s="39">
        <f>[1]D!X76</f>
        <v>0</v>
      </c>
      <c r="Y154" s="39">
        <f>[1]D!Y76</f>
        <v>0</v>
      </c>
      <c r="Z154" s="39">
        <f>[1]D!Z76</f>
        <v>0</v>
      </c>
      <c r="AA154" s="39" t="str">
        <f>[1]D!AA76</f>
        <v>X</v>
      </c>
      <c r="AB154" s="39" t="str">
        <f>[1]D!AB76</f>
        <v>X</v>
      </c>
      <c r="AC154" s="39">
        <f>[1]D!AC76</f>
        <v>0</v>
      </c>
      <c r="AD154" s="39">
        <f>[1]D!AD76</f>
        <v>0</v>
      </c>
      <c r="AE154" s="39">
        <f>[1]D!AE76</f>
        <v>0</v>
      </c>
      <c r="AF154" s="39">
        <f>[1]D!AF76</f>
        <v>0</v>
      </c>
      <c r="AH154" s="20">
        <f t="shared" si="18"/>
        <v>0</v>
      </c>
      <c r="AI154" s="20">
        <f t="shared" si="19"/>
        <v>0</v>
      </c>
    </row>
    <row r="155" spans="1:35" ht="20.100000000000001" hidden="1" customHeight="1">
      <c r="A155" s="24" t="str">
        <f>ÖSSZES!$A$79</f>
        <v>Név8</v>
      </c>
      <c r="B155" s="39"/>
      <c r="C155" s="39" t="s">
        <v>2</v>
      </c>
      <c r="D155" s="39" t="s">
        <v>2</v>
      </c>
      <c r="E155" s="39"/>
      <c r="F155" s="39"/>
      <c r="G155" s="39"/>
      <c r="H155" s="39"/>
      <c r="I155" s="39"/>
      <c r="J155" s="39"/>
      <c r="K155" s="39" t="s">
        <v>2</v>
      </c>
      <c r="L155" s="39" t="s">
        <v>2</v>
      </c>
      <c r="M155" s="39"/>
      <c r="N155" s="39"/>
      <c r="O155" s="39"/>
      <c r="P155" s="39"/>
      <c r="Q155" s="39"/>
      <c r="R155" s="39"/>
      <c r="S155" s="39" t="s">
        <v>2</v>
      </c>
      <c r="T155" s="39" t="s">
        <v>2</v>
      </c>
      <c r="U155" s="39"/>
      <c r="V155" s="39"/>
      <c r="W155" s="39"/>
      <c r="X155" s="39"/>
      <c r="Y155" s="39"/>
      <c r="Z155" s="39"/>
      <c r="AA155" s="39" t="s">
        <v>2</v>
      </c>
      <c r="AB155" s="39" t="s">
        <v>2</v>
      </c>
      <c r="AC155" s="39"/>
      <c r="AD155" s="39"/>
      <c r="AE155" s="39"/>
      <c r="AF155" s="39"/>
      <c r="AH155" s="20">
        <f t="shared" si="18"/>
        <v>0</v>
      </c>
      <c r="AI155" s="20">
        <f t="shared" si="19"/>
        <v>0</v>
      </c>
    </row>
    <row r="156" spans="1:35" ht="20.100000000000001" hidden="1" customHeight="1">
      <c r="A156" s="24" t="str">
        <f>ÖSSZES!$A$80</f>
        <v>Név9</v>
      </c>
      <c r="B156" s="39"/>
      <c r="C156" s="39" t="s">
        <v>2</v>
      </c>
      <c r="D156" s="39" t="s">
        <v>2</v>
      </c>
      <c r="E156" s="39"/>
      <c r="F156" s="39"/>
      <c r="G156" s="39"/>
      <c r="H156" s="39"/>
      <c r="I156" s="39"/>
      <c r="J156" s="39"/>
      <c r="K156" s="39" t="s">
        <v>2</v>
      </c>
      <c r="L156" s="39" t="s">
        <v>2</v>
      </c>
      <c r="M156" s="39"/>
      <c r="N156" s="39"/>
      <c r="O156" s="39"/>
      <c r="P156" s="39"/>
      <c r="Q156" s="39"/>
      <c r="R156" s="39"/>
      <c r="S156" s="39" t="s">
        <v>2</v>
      </c>
      <c r="T156" s="39" t="s">
        <v>2</v>
      </c>
      <c r="U156" s="39"/>
      <c r="V156" s="39"/>
      <c r="W156" s="39"/>
      <c r="X156" s="39"/>
      <c r="Y156" s="39"/>
      <c r="Z156" s="39"/>
      <c r="AA156" s="39" t="s">
        <v>2</v>
      </c>
      <c r="AB156" s="39" t="s">
        <v>2</v>
      </c>
      <c r="AC156" s="39"/>
      <c r="AD156" s="39"/>
      <c r="AE156" s="39"/>
      <c r="AF156" s="39"/>
      <c r="AH156" s="20">
        <f t="shared" si="18"/>
        <v>0</v>
      </c>
      <c r="AI156" s="20">
        <f t="shared" si="19"/>
        <v>0</v>
      </c>
    </row>
    <row r="157" spans="1:35" ht="20.100000000000001" hidden="1" customHeight="1">
      <c r="A157" s="24" t="str">
        <f>ÖSSZES!$A$81</f>
        <v>Név10</v>
      </c>
      <c r="B157" s="39"/>
      <c r="C157" s="39" t="s">
        <v>2</v>
      </c>
      <c r="D157" s="39" t="s">
        <v>2</v>
      </c>
      <c r="E157" s="39"/>
      <c r="F157" s="39"/>
      <c r="G157" s="39"/>
      <c r="H157" s="39"/>
      <c r="I157" s="39"/>
      <c r="J157" s="39"/>
      <c r="K157" s="39" t="s">
        <v>2</v>
      </c>
      <c r="L157" s="39" t="s">
        <v>2</v>
      </c>
      <c r="M157" s="39"/>
      <c r="N157" s="39"/>
      <c r="O157" s="39"/>
      <c r="P157" s="39"/>
      <c r="Q157" s="39"/>
      <c r="R157" s="39"/>
      <c r="S157" s="39" t="s">
        <v>2</v>
      </c>
      <c r="T157" s="39" t="s">
        <v>2</v>
      </c>
      <c r="U157" s="39"/>
      <c r="V157" s="39"/>
      <c r="W157" s="39"/>
      <c r="X157" s="39"/>
      <c r="Y157" s="39"/>
      <c r="Z157" s="39"/>
      <c r="AA157" s="39" t="s">
        <v>2</v>
      </c>
      <c r="AB157" s="39" t="s">
        <v>2</v>
      </c>
      <c r="AC157" s="39"/>
      <c r="AD157" s="39"/>
      <c r="AE157" s="39"/>
      <c r="AF157" s="39"/>
      <c r="AH157" s="20">
        <f t="shared" si="18"/>
        <v>0</v>
      </c>
      <c r="AI157" s="20">
        <f t="shared" si="19"/>
        <v>0</v>
      </c>
    </row>
    <row r="158" spans="1:35" ht="20.100000000000001" hidden="1" customHeight="1">
      <c r="A158" s="24" t="str">
        <f>ÖSSZES!$A$82</f>
        <v>Név11</v>
      </c>
      <c r="B158" s="39"/>
      <c r="C158" s="39" t="s">
        <v>2</v>
      </c>
      <c r="D158" s="39" t="s">
        <v>2</v>
      </c>
      <c r="E158" s="39"/>
      <c r="F158" s="39"/>
      <c r="G158" s="39"/>
      <c r="H158" s="39"/>
      <c r="I158" s="39"/>
      <c r="J158" s="39"/>
      <c r="K158" s="39" t="s">
        <v>2</v>
      </c>
      <c r="L158" s="39" t="s">
        <v>2</v>
      </c>
      <c r="M158" s="39"/>
      <c r="N158" s="39"/>
      <c r="O158" s="39"/>
      <c r="P158" s="39"/>
      <c r="Q158" s="39"/>
      <c r="R158" s="39"/>
      <c r="S158" s="39" t="s">
        <v>2</v>
      </c>
      <c r="T158" s="39" t="s">
        <v>2</v>
      </c>
      <c r="U158" s="39"/>
      <c r="V158" s="39"/>
      <c r="W158" s="39"/>
      <c r="X158" s="39"/>
      <c r="Y158" s="39"/>
      <c r="Z158" s="39"/>
      <c r="AA158" s="39" t="s">
        <v>2</v>
      </c>
      <c r="AB158" s="39" t="s">
        <v>2</v>
      </c>
      <c r="AC158" s="39"/>
      <c r="AD158" s="39"/>
      <c r="AE158" s="39"/>
      <c r="AF158" s="39"/>
      <c r="AH158" s="20">
        <f t="shared" si="18"/>
        <v>0</v>
      </c>
      <c r="AI158" s="20">
        <f t="shared" si="19"/>
        <v>0</v>
      </c>
    </row>
    <row r="159" spans="1:35" ht="20.100000000000001" hidden="1" customHeight="1">
      <c r="A159" s="24" t="str">
        <f>ÖSSZES!$A$83</f>
        <v>Név12</v>
      </c>
      <c r="B159" s="39"/>
      <c r="C159" s="39" t="s">
        <v>2</v>
      </c>
      <c r="D159" s="39" t="s">
        <v>2</v>
      </c>
      <c r="E159" s="39"/>
      <c r="F159" s="39"/>
      <c r="G159" s="39"/>
      <c r="H159" s="39"/>
      <c r="I159" s="39"/>
      <c r="J159" s="39"/>
      <c r="K159" s="39" t="s">
        <v>2</v>
      </c>
      <c r="L159" s="39" t="s">
        <v>2</v>
      </c>
      <c r="M159" s="39"/>
      <c r="N159" s="39"/>
      <c r="O159" s="39"/>
      <c r="P159" s="39"/>
      <c r="Q159" s="39"/>
      <c r="R159" s="39"/>
      <c r="S159" s="39" t="s">
        <v>2</v>
      </c>
      <c r="T159" s="39" t="s">
        <v>2</v>
      </c>
      <c r="U159" s="39"/>
      <c r="V159" s="39"/>
      <c r="W159" s="39"/>
      <c r="X159" s="39"/>
      <c r="Y159" s="39"/>
      <c r="Z159" s="39"/>
      <c r="AA159" s="39" t="s">
        <v>2</v>
      </c>
      <c r="AB159" s="39" t="s">
        <v>2</v>
      </c>
      <c r="AC159" s="39"/>
      <c r="AD159" s="39"/>
      <c r="AE159" s="39"/>
      <c r="AF159" s="39"/>
      <c r="AH159" s="20">
        <f t="shared" si="18"/>
        <v>0</v>
      </c>
      <c r="AI159" s="20">
        <f t="shared" si="19"/>
        <v>0</v>
      </c>
    </row>
    <row r="160" spans="1:35" ht="20.100000000000001" hidden="1" customHeight="1">
      <c r="A160" s="24" t="str">
        <f>ÖSSZES!$A$84</f>
        <v>Név13</v>
      </c>
      <c r="B160" s="39"/>
      <c r="C160" s="39" t="s">
        <v>2</v>
      </c>
      <c r="D160" s="39" t="s">
        <v>2</v>
      </c>
      <c r="E160" s="39"/>
      <c r="F160" s="39"/>
      <c r="G160" s="39"/>
      <c r="H160" s="39"/>
      <c r="I160" s="39"/>
      <c r="J160" s="39"/>
      <c r="K160" s="39" t="s">
        <v>2</v>
      </c>
      <c r="L160" s="39" t="s">
        <v>2</v>
      </c>
      <c r="M160" s="39"/>
      <c r="N160" s="39"/>
      <c r="O160" s="39"/>
      <c r="P160" s="39"/>
      <c r="Q160" s="39"/>
      <c r="R160" s="39"/>
      <c r="S160" s="39" t="s">
        <v>2</v>
      </c>
      <c r="T160" s="39" t="s">
        <v>2</v>
      </c>
      <c r="U160" s="39"/>
      <c r="V160" s="39"/>
      <c r="W160" s="39"/>
      <c r="X160" s="39"/>
      <c r="Y160" s="39"/>
      <c r="Z160" s="39"/>
      <c r="AA160" s="39" t="s">
        <v>2</v>
      </c>
      <c r="AB160" s="39" t="s">
        <v>2</v>
      </c>
      <c r="AC160" s="39"/>
      <c r="AD160" s="39"/>
      <c r="AE160" s="39"/>
      <c r="AF160" s="39"/>
      <c r="AH160" s="20">
        <f t="shared" si="18"/>
        <v>0</v>
      </c>
      <c r="AI160" s="20">
        <f t="shared" si="19"/>
        <v>0</v>
      </c>
    </row>
    <row r="161" spans="1:35" ht="20.100000000000001" hidden="1" customHeight="1">
      <c r="A161" s="24" t="str">
        <f>ÖSSZES!$A$85</f>
        <v>Név14</v>
      </c>
      <c r="B161" s="39"/>
      <c r="C161" s="39" t="s">
        <v>2</v>
      </c>
      <c r="D161" s="39" t="s">
        <v>2</v>
      </c>
      <c r="E161" s="39"/>
      <c r="F161" s="39"/>
      <c r="G161" s="39"/>
      <c r="H161" s="39"/>
      <c r="I161" s="39"/>
      <c r="J161" s="39"/>
      <c r="K161" s="39" t="s">
        <v>2</v>
      </c>
      <c r="L161" s="39" t="s">
        <v>2</v>
      </c>
      <c r="M161" s="39"/>
      <c r="N161" s="39"/>
      <c r="O161" s="39"/>
      <c r="P161" s="39"/>
      <c r="Q161" s="39"/>
      <c r="R161" s="39"/>
      <c r="S161" s="39" t="s">
        <v>2</v>
      </c>
      <c r="T161" s="39" t="s">
        <v>2</v>
      </c>
      <c r="U161" s="39"/>
      <c r="V161" s="39"/>
      <c r="W161" s="39"/>
      <c r="X161" s="39"/>
      <c r="Y161" s="39"/>
      <c r="Z161" s="39"/>
      <c r="AA161" s="39" t="s">
        <v>2</v>
      </c>
      <c r="AB161" s="39" t="s">
        <v>2</v>
      </c>
      <c r="AC161" s="39"/>
      <c r="AD161" s="39"/>
      <c r="AE161" s="39"/>
      <c r="AF161" s="39"/>
      <c r="AH161" s="20">
        <f t="shared" si="18"/>
        <v>0</v>
      </c>
      <c r="AI161" s="20">
        <f t="shared" si="19"/>
        <v>0</v>
      </c>
    </row>
    <row r="162" spans="1:35" ht="20.100000000000001" hidden="1" customHeight="1">
      <c r="A162" s="24" t="str">
        <f>ÖSSZES!$A$86</f>
        <v>Név15</v>
      </c>
      <c r="B162" s="39"/>
      <c r="C162" s="39" t="s">
        <v>2</v>
      </c>
      <c r="D162" s="39" t="s">
        <v>2</v>
      </c>
      <c r="E162" s="39"/>
      <c r="F162" s="39"/>
      <c r="G162" s="39"/>
      <c r="H162" s="39"/>
      <c r="I162" s="39"/>
      <c r="J162" s="39"/>
      <c r="K162" s="39" t="s">
        <v>2</v>
      </c>
      <c r="L162" s="39" t="s">
        <v>2</v>
      </c>
      <c r="M162" s="39"/>
      <c r="N162" s="39"/>
      <c r="O162" s="39"/>
      <c r="P162" s="39"/>
      <c r="Q162" s="39"/>
      <c r="R162" s="39"/>
      <c r="S162" s="39" t="s">
        <v>2</v>
      </c>
      <c r="T162" s="39" t="s">
        <v>2</v>
      </c>
      <c r="U162" s="39"/>
      <c r="V162" s="39"/>
      <c r="W162" s="39"/>
      <c r="X162" s="39"/>
      <c r="Y162" s="39"/>
      <c r="Z162" s="39"/>
      <c r="AA162" s="39" t="s">
        <v>2</v>
      </c>
      <c r="AB162" s="39" t="s">
        <v>2</v>
      </c>
      <c r="AC162" s="39"/>
      <c r="AD162" s="39"/>
      <c r="AE162" s="39"/>
      <c r="AF162" s="39"/>
      <c r="AH162" s="20">
        <f t="shared" si="18"/>
        <v>0</v>
      </c>
      <c r="AI162" s="20">
        <f t="shared" si="19"/>
        <v>0</v>
      </c>
    </row>
    <row r="163" spans="1:35" ht="20.100000000000001" hidden="1" customHeight="1">
      <c r="A163" s="24" t="str">
        <f>ÖSSZES!$A$87</f>
        <v>Név16</v>
      </c>
      <c r="B163" s="39"/>
      <c r="C163" s="39" t="s">
        <v>2</v>
      </c>
      <c r="D163" s="39" t="s">
        <v>2</v>
      </c>
      <c r="E163" s="39"/>
      <c r="F163" s="39"/>
      <c r="G163" s="39"/>
      <c r="H163" s="39"/>
      <c r="I163" s="39"/>
      <c r="J163" s="39"/>
      <c r="K163" s="39" t="s">
        <v>2</v>
      </c>
      <c r="L163" s="39" t="s">
        <v>2</v>
      </c>
      <c r="M163" s="39"/>
      <c r="N163" s="39"/>
      <c r="O163" s="39"/>
      <c r="P163" s="39"/>
      <c r="Q163" s="39"/>
      <c r="R163" s="39"/>
      <c r="S163" s="39" t="s">
        <v>2</v>
      </c>
      <c r="T163" s="39" t="s">
        <v>2</v>
      </c>
      <c r="U163" s="39"/>
      <c r="V163" s="39"/>
      <c r="W163" s="39"/>
      <c r="X163" s="39"/>
      <c r="Y163" s="39"/>
      <c r="Z163" s="39"/>
      <c r="AA163" s="39" t="s">
        <v>2</v>
      </c>
      <c r="AB163" s="39" t="s">
        <v>2</v>
      </c>
      <c r="AC163" s="39"/>
      <c r="AD163" s="39"/>
      <c r="AE163" s="39"/>
      <c r="AF163" s="39"/>
      <c r="AH163" s="20">
        <f t="shared" si="18"/>
        <v>0</v>
      </c>
      <c r="AI163" s="20">
        <f t="shared" si="19"/>
        <v>0</v>
      </c>
    </row>
    <row r="164" spans="1:35" ht="20.100000000000001" hidden="1" customHeight="1">
      <c r="A164" s="24" t="str">
        <f>ÖSSZES!$A$88</f>
        <v>Név17</v>
      </c>
      <c r="B164" s="39"/>
      <c r="C164" s="39" t="s">
        <v>2</v>
      </c>
      <c r="D164" s="39" t="s">
        <v>2</v>
      </c>
      <c r="E164" s="39"/>
      <c r="F164" s="39"/>
      <c r="G164" s="39"/>
      <c r="H164" s="39"/>
      <c r="I164" s="39"/>
      <c r="J164" s="39"/>
      <c r="K164" s="39" t="s">
        <v>2</v>
      </c>
      <c r="L164" s="39" t="s">
        <v>2</v>
      </c>
      <c r="M164" s="39"/>
      <c r="N164" s="39"/>
      <c r="O164" s="39"/>
      <c r="P164" s="39"/>
      <c r="Q164" s="39"/>
      <c r="R164" s="39"/>
      <c r="S164" s="39" t="s">
        <v>2</v>
      </c>
      <c r="T164" s="39" t="s">
        <v>2</v>
      </c>
      <c r="U164" s="39"/>
      <c r="V164" s="39"/>
      <c r="W164" s="39"/>
      <c r="X164" s="39"/>
      <c r="Y164" s="39"/>
      <c r="Z164" s="39"/>
      <c r="AA164" s="39" t="s">
        <v>2</v>
      </c>
      <c r="AB164" s="39" t="s">
        <v>2</v>
      </c>
      <c r="AC164" s="39"/>
      <c r="AD164" s="39"/>
      <c r="AE164" s="39"/>
      <c r="AF164" s="39"/>
      <c r="AH164" s="20">
        <f t="shared" si="18"/>
        <v>0</v>
      </c>
      <c r="AI164" s="20">
        <f t="shared" si="19"/>
        <v>0</v>
      </c>
    </row>
    <row r="165" spans="1:35" ht="20.100000000000001" hidden="1" customHeight="1">
      <c r="A165" s="24" t="str">
        <f>ÖSSZES!$A$89</f>
        <v>Név18</v>
      </c>
      <c r="B165" s="39"/>
      <c r="C165" s="39" t="s">
        <v>2</v>
      </c>
      <c r="D165" s="39" t="s">
        <v>2</v>
      </c>
      <c r="E165" s="39"/>
      <c r="F165" s="39"/>
      <c r="G165" s="39"/>
      <c r="H165" s="39"/>
      <c r="I165" s="39"/>
      <c r="J165" s="39"/>
      <c r="K165" s="39" t="s">
        <v>2</v>
      </c>
      <c r="L165" s="39" t="s">
        <v>2</v>
      </c>
      <c r="M165" s="39"/>
      <c r="N165" s="39"/>
      <c r="O165" s="39"/>
      <c r="P165" s="39"/>
      <c r="Q165" s="39"/>
      <c r="R165" s="39"/>
      <c r="S165" s="39" t="s">
        <v>2</v>
      </c>
      <c r="T165" s="39" t="s">
        <v>2</v>
      </c>
      <c r="U165" s="39"/>
      <c r="V165" s="39"/>
      <c r="W165" s="39"/>
      <c r="X165" s="39"/>
      <c r="Y165" s="39"/>
      <c r="Z165" s="39"/>
      <c r="AA165" s="39" t="s">
        <v>2</v>
      </c>
      <c r="AB165" s="39" t="s">
        <v>2</v>
      </c>
      <c r="AC165" s="39"/>
      <c r="AD165" s="39"/>
      <c r="AE165" s="39"/>
      <c r="AF165" s="39"/>
      <c r="AH165" s="20">
        <f t="shared" si="18"/>
        <v>0</v>
      </c>
      <c r="AI165" s="20">
        <f t="shared" si="19"/>
        <v>0</v>
      </c>
    </row>
    <row r="166" spans="1:35" ht="20.100000000000001" hidden="1" customHeight="1">
      <c r="A166" s="24" t="str">
        <f>ÖSSZES!$A$90</f>
        <v>Név19</v>
      </c>
      <c r="B166" s="39"/>
      <c r="C166" s="39" t="s">
        <v>2</v>
      </c>
      <c r="D166" s="39" t="s">
        <v>2</v>
      </c>
      <c r="E166" s="39"/>
      <c r="F166" s="39"/>
      <c r="G166" s="39"/>
      <c r="H166" s="39"/>
      <c r="I166" s="39"/>
      <c r="J166" s="39"/>
      <c r="K166" s="39" t="s">
        <v>2</v>
      </c>
      <c r="L166" s="39" t="s">
        <v>2</v>
      </c>
      <c r="M166" s="39"/>
      <c r="N166" s="39"/>
      <c r="O166" s="39"/>
      <c r="P166" s="39"/>
      <c r="Q166" s="39"/>
      <c r="R166" s="39"/>
      <c r="S166" s="39" t="s">
        <v>2</v>
      </c>
      <c r="T166" s="39" t="s">
        <v>2</v>
      </c>
      <c r="U166" s="39"/>
      <c r="V166" s="39"/>
      <c r="W166" s="39"/>
      <c r="X166" s="39"/>
      <c r="Y166" s="39"/>
      <c r="Z166" s="39"/>
      <c r="AA166" s="39" t="s">
        <v>2</v>
      </c>
      <c r="AB166" s="39" t="s">
        <v>2</v>
      </c>
      <c r="AC166" s="39"/>
      <c r="AD166" s="39"/>
      <c r="AE166" s="39"/>
      <c r="AF166" s="39"/>
      <c r="AH166" s="20">
        <f t="shared" si="18"/>
        <v>0</v>
      </c>
      <c r="AI166" s="20">
        <f t="shared" si="19"/>
        <v>0</v>
      </c>
    </row>
    <row r="167" spans="1:35" ht="20.100000000000001" hidden="1" customHeight="1">
      <c r="A167" s="24" t="str">
        <f>ÖSSZES!$A$91</f>
        <v>Név20</v>
      </c>
      <c r="B167" s="39"/>
      <c r="C167" s="39" t="s">
        <v>2</v>
      </c>
      <c r="D167" s="39" t="s">
        <v>2</v>
      </c>
      <c r="E167" s="39"/>
      <c r="F167" s="39"/>
      <c r="G167" s="39"/>
      <c r="H167" s="39"/>
      <c r="I167" s="39"/>
      <c r="J167" s="39"/>
      <c r="K167" s="39" t="s">
        <v>2</v>
      </c>
      <c r="L167" s="39" t="s">
        <v>2</v>
      </c>
      <c r="M167" s="39"/>
      <c r="N167" s="39"/>
      <c r="O167" s="39"/>
      <c r="P167" s="39"/>
      <c r="Q167" s="39"/>
      <c r="R167" s="39"/>
      <c r="S167" s="39" t="s">
        <v>2</v>
      </c>
      <c r="T167" s="39" t="s">
        <v>2</v>
      </c>
      <c r="U167" s="39"/>
      <c r="V167" s="39"/>
      <c r="W167" s="39"/>
      <c r="X167" s="39"/>
      <c r="Y167" s="39"/>
      <c r="Z167" s="39"/>
      <c r="AA167" s="39" t="s">
        <v>2</v>
      </c>
      <c r="AB167" s="39" t="s">
        <v>2</v>
      </c>
      <c r="AC167" s="39"/>
      <c r="AD167" s="39"/>
      <c r="AE167" s="39"/>
      <c r="AF167" s="39"/>
      <c r="AH167" s="20">
        <f t="shared" si="18"/>
        <v>0</v>
      </c>
      <c r="AI167" s="20">
        <f t="shared" si="19"/>
        <v>0</v>
      </c>
    </row>
    <row r="168" spans="1:35" ht="20.100000000000001" customHeight="1"/>
    <row r="169" spans="1:35" s="11" customFormat="1" ht="20.100000000000001" customHeight="1">
      <c r="A169" s="57" t="s">
        <v>12</v>
      </c>
      <c r="B169" s="23">
        <v>1</v>
      </c>
      <c r="C169" s="23">
        <v>2</v>
      </c>
      <c r="D169" s="23">
        <v>3</v>
      </c>
      <c r="E169" s="23">
        <v>4</v>
      </c>
      <c r="F169" s="23">
        <v>5</v>
      </c>
      <c r="G169" s="23">
        <v>6</v>
      </c>
      <c r="H169" s="23">
        <v>7</v>
      </c>
      <c r="I169" s="23">
        <v>8</v>
      </c>
      <c r="J169" s="23">
        <v>9</v>
      </c>
      <c r="K169" s="23">
        <v>10</v>
      </c>
      <c r="L169" s="23">
        <v>11</v>
      </c>
      <c r="M169" s="23">
        <v>12</v>
      </c>
      <c r="N169" s="23">
        <v>13</v>
      </c>
      <c r="O169" s="23">
        <v>14</v>
      </c>
      <c r="P169" s="23">
        <v>15</v>
      </c>
      <c r="Q169" s="23">
        <v>16</v>
      </c>
      <c r="R169" s="23">
        <v>17</v>
      </c>
      <c r="S169" s="23">
        <v>18</v>
      </c>
      <c r="T169" s="23">
        <v>19</v>
      </c>
      <c r="U169" s="25">
        <v>20</v>
      </c>
      <c r="V169" s="23">
        <v>21</v>
      </c>
      <c r="W169" s="23">
        <v>22</v>
      </c>
      <c r="X169" s="23">
        <v>23</v>
      </c>
      <c r="Y169" s="23">
        <v>24</v>
      </c>
      <c r="Z169" s="23">
        <v>25</v>
      </c>
      <c r="AA169" s="23">
        <v>26</v>
      </c>
      <c r="AB169" s="23">
        <v>27</v>
      </c>
      <c r="AC169" s="23">
        <v>28</v>
      </c>
      <c r="AD169" s="23">
        <v>29</v>
      </c>
      <c r="AE169" s="23">
        <v>30</v>
      </c>
      <c r="AF169" s="23">
        <v>31</v>
      </c>
      <c r="AH169" s="59" t="s">
        <v>18</v>
      </c>
      <c r="AI169" s="59" t="s">
        <v>19</v>
      </c>
    </row>
    <row r="170" spans="1:35" ht="20.100000000000001" customHeight="1">
      <c r="A170" s="61"/>
      <c r="B170" s="15" t="str">
        <f>'2021'!B60</f>
        <v>V</v>
      </c>
      <c r="C170" s="15" t="str">
        <f>'2021'!C60</f>
        <v>H</v>
      </c>
      <c r="D170" s="15" t="str">
        <f>'2021'!D60</f>
        <v>K</v>
      </c>
      <c r="E170" s="15" t="str">
        <f>'2021'!E60</f>
        <v>Sze</v>
      </c>
      <c r="F170" s="15" t="str">
        <f>'2021'!F60</f>
        <v>Cs</v>
      </c>
      <c r="G170" s="15" t="str">
        <f>'2021'!G60</f>
        <v>P</v>
      </c>
      <c r="H170" s="15" t="str">
        <f>'2021'!H60</f>
        <v>Szo</v>
      </c>
      <c r="I170" s="15" t="str">
        <f>'2021'!I60</f>
        <v>V</v>
      </c>
      <c r="J170" s="15" t="str">
        <f>'2021'!J60</f>
        <v>H</v>
      </c>
      <c r="K170" s="15" t="str">
        <f>'2021'!K60</f>
        <v>K</v>
      </c>
      <c r="L170" s="15" t="str">
        <f>'2021'!L60</f>
        <v>Sze</v>
      </c>
      <c r="M170" s="15" t="str">
        <f>'2021'!M60</f>
        <v>Cs</v>
      </c>
      <c r="N170" s="15" t="str">
        <f>'2021'!N60</f>
        <v>P</v>
      </c>
      <c r="O170" s="15" t="str">
        <f>'2021'!O60</f>
        <v>Szo</v>
      </c>
      <c r="P170" s="15" t="str">
        <f>'2021'!P60</f>
        <v>V</v>
      </c>
      <c r="Q170" s="15" t="str">
        <f>'2021'!Q60</f>
        <v>H</v>
      </c>
      <c r="R170" s="15" t="str">
        <f>'2021'!R60</f>
        <v>K</v>
      </c>
      <c r="S170" s="15" t="str">
        <f>'2021'!S60</f>
        <v>Sze</v>
      </c>
      <c r="T170" s="15" t="str">
        <f>'2021'!T60</f>
        <v>Cs</v>
      </c>
      <c r="U170" s="15" t="str">
        <f>'2021'!U60</f>
        <v>P</v>
      </c>
      <c r="V170" s="15" t="str">
        <f>'2021'!V60</f>
        <v>Szo</v>
      </c>
      <c r="W170" s="15" t="str">
        <f>'2021'!W60</f>
        <v>V</v>
      </c>
      <c r="X170" s="15" t="str">
        <f>'2021'!X60</f>
        <v>H</v>
      </c>
      <c r="Y170" s="15" t="str">
        <f>'2021'!Y60</f>
        <v>K</v>
      </c>
      <c r="Z170" s="15" t="str">
        <f>'2021'!Z60</f>
        <v>Sze</v>
      </c>
      <c r="AA170" s="15" t="str">
        <f>'2021'!AA60</f>
        <v>Cs</v>
      </c>
      <c r="AB170" s="15" t="str">
        <f>'2021'!AB60</f>
        <v>P</v>
      </c>
      <c r="AC170" s="15" t="str">
        <f>'2021'!AC60</f>
        <v>Szo</v>
      </c>
      <c r="AD170" s="15" t="str">
        <f>'2021'!AD60</f>
        <v>V</v>
      </c>
      <c r="AE170" s="15" t="str">
        <f>'2021'!AE60</f>
        <v>H</v>
      </c>
      <c r="AF170" s="15" t="str">
        <f>'2021'!AF60</f>
        <v>K</v>
      </c>
      <c r="AH170" s="60"/>
      <c r="AI170" s="60"/>
    </row>
    <row r="171" spans="1:35" ht="20.100000000000001" customHeight="1">
      <c r="A171" s="61"/>
      <c r="B171" s="15">
        <f>'2021'!B64</f>
        <v>2</v>
      </c>
      <c r="C171" s="15">
        <f>'2021'!C64</f>
        <v>2</v>
      </c>
      <c r="D171" s="15" t="str">
        <f>'2021'!D64</f>
        <v>X</v>
      </c>
      <c r="E171" s="15" t="str">
        <f>'2021'!E64</f>
        <v>X</v>
      </c>
      <c r="F171" s="15">
        <f>'2021'!F64</f>
        <v>1</v>
      </c>
      <c r="G171" s="15">
        <f>'2021'!G64</f>
        <v>1</v>
      </c>
      <c r="H171" s="15">
        <f>'2021'!H64</f>
        <v>1</v>
      </c>
      <c r="I171" s="15">
        <f>'2021'!I64</f>
        <v>1</v>
      </c>
      <c r="J171" s="15">
        <f>'2021'!J64</f>
        <v>1</v>
      </c>
      <c r="K171" s="15">
        <f>'2021'!K64</f>
        <v>1</v>
      </c>
      <c r="L171" s="15" t="str">
        <f>'2021'!L64</f>
        <v>X</v>
      </c>
      <c r="M171" s="15" t="str">
        <f>'2021'!M64</f>
        <v>X</v>
      </c>
      <c r="N171" s="15">
        <f>'2021'!N64</f>
        <v>3</v>
      </c>
      <c r="O171" s="15">
        <f>'2021'!O64</f>
        <v>3</v>
      </c>
      <c r="P171" s="15">
        <f>'2021'!P64</f>
        <v>3</v>
      </c>
      <c r="Q171" s="15">
        <f>'2021'!Q64</f>
        <v>3</v>
      </c>
      <c r="R171" s="15">
        <f>'2021'!R64</f>
        <v>3</v>
      </c>
      <c r="S171" s="15">
        <f>'2021'!S64</f>
        <v>3</v>
      </c>
      <c r="T171" s="15" t="str">
        <f>'2021'!T64</f>
        <v>X</v>
      </c>
      <c r="U171" s="15" t="str">
        <f>'2021'!U64</f>
        <v>X</v>
      </c>
      <c r="V171" s="15">
        <f>'2021'!V64</f>
        <v>2</v>
      </c>
      <c r="W171" s="15">
        <f>'2021'!W64</f>
        <v>2</v>
      </c>
      <c r="X171" s="15">
        <f>'2021'!X64</f>
        <v>2</v>
      </c>
      <c r="Y171" s="15">
        <f>'2021'!Y64</f>
        <v>2</v>
      </c>
      <c r="Z171" s="15">
        <f>'2021'!Z64</f>
        <v>2</v>
      </c>
      <c r="AA171" s="15">
        <f>'2021'!AA64</f>
        <v>2</v>
      </c>
      <c r="AB171" s="15" t="str">
        <f>'2021'!AB64</f>
        <v>X</v>
      </c>
      <c r="AC171" s="15" t="str">
        <f>'2021'!AC64</f>
        <v>X</v>
      </c>
      <c r="AD171" s="15">
        <f>'2021'!AD64</f>
        <v>1</v>
      </c>
      <c r="AE171" s="15">
        <f>'2021'!AE64</f>
        <v>1</v>
      </c>
      <c r="AF171" s="15">
        <f>'2021'!AF64</f>
        <v>1</v>
      </c>
      <c r="AH171" s="60"/>
      <c r="AI171" s="60"/>
    </row>
    <row r="172" spans="1:35" ht="20.100000000000001" customHeight="1">
      <c r="A172" s="24" t="str">
        <f>ÖSSZES!$A$72</f>
        <v>Daku Gábor</v>
      </c>
      <c r="B172" s="39">
        <f>[1]D!B81</f>
        <v>0</v>
      </c>
      <c r="C172" s="39">
        <f>[1]D!C81</f>
        <v>0</v>
      </c>
      <c r="D172" s="39" t="str">
        <f>[1]D!D81</f>
        <v>X</v>
      </c>
      <c r="E172" s="39" t="str">
        <f>[1]D!E81</f>
        <v>X</v>
      </c>
      <c r="F172" s="39">
        <f>[1]D!F81</f>
        <v>0</v>
      </c>
      <c r="G172" s="39">
        <f>[1]D!G81</f>
        <v>0</v>
      </c>
      <c r="H172" s="39">
        <f>[1]D!H81</f>
        <v>0</v>
      </c>
      <c r="I172" s="39">
        <f>[1]D!I81</f>
        <v>0</v>
      </c>
      <c r="J172" s="39">
        <f>[1]D!J81</f>
        <v>0</v>
      </c>
      <c r="K172" s="39">
        <f>[1]D!K81</f>
        <v>0</v>
      </c>
      <c r="L172" s="39" t="str">
        <f>[1]D!L81</f>
        <v>X</v>
      </c>
      <c r="M172" s="39" t="str">
        <f>[1]D!M81</f>
        <v>X</v>
      </c>
      <c r="N172" s="39">
        <f>[1]D!N81</f>
        <v>0</v>
      </c>
      <c r="O172" s="39">
        <f>[1]D!O81</f>
        <v>0</v>
      </c>
      <c r="P172" s="39">
        <f>[1]D!P81</f>
        <v>0</v>
      </c>
      <c r="Q172" s="39">
        <f>[1]D!Q81</f>
        <v>0</v>
      </c>
      <c r="R172" s="39">
        <f>[1]D!R81</f>
        <v>0</v>
      </c>
      <c r="S172" s="39">
        <f>[1]D!S81</f>
        <v>0</v>
      </c>
      <c r="T172" s="39" t="str">
        <f>[1]D!T81</f>
        <v>X</v>
      </c>
      <c r="U172" s="39" t="str">
        <f>[1]D!U81</f>
        <v>X</v>
      </c>
      <c r="V172" s="39">
        <f>[1]D!V81</f>
        <v>0</v>
      </c>
      <c r="W172" s="39">
        <f>[1]D!W81</f>
        <v>0</v>
      </c>
      <c r="X172" s="39">
        <f>[1]D!X81</f>
        <v>0</v>
      </c>
      <c r="Y172" s="39">
        <f>[1]D!Y81</f>
        <v>0</v>
      </c>
      <c r="Z172" s="39">
        <f>[1]D!Z81</f>
        <v>0</v>
      </c>
      <c r="AA172" s="39">
        <f>[1]D!AA81</f>
        <v>0</v>
      </c>
      <c r="AB172" s="39" t="str">
        <f>[1]D!AB81</f>
        <v>X</v>
      </c>
      <c r="AC172" s="39" t="str">
        <f>[1]D!AC81</f>
        <v>X</v>
      </c>
      <c r="AD172" s="39">
        <f>[1]D!AD81</f>
        <v>0</v>
      </c>
      <c r="AE172" s="39">
        <f>[1]D!AE81</f>
        <v>0</v>
      </c>
      <c r="AF172" s="39">
        <f>[1]D!AF81</f>
        <v>0</v>
      </c>
      <c r="AH172" s="20">
        <f>1*COUNTIF(A172:AF172,"+")</f>
        <v>0</v>
      </c>
      <c r="AI172" s="20">
        <f t="shared" ref="AI172" si="20">1*COUNTIF(B172:AF172,"szf")</f>
        <v>0</v>
      </c>
    </row>
    <row r="173" spans="1:35" ht="20.100000000000001" customHeight="1">
      <c r="A173" s="24" t="str">
        <f>ÖSSZES!$A$73</f>
        <v>Borbély Csaba</v>
      </c>
      <c r="B173" s="39">
        <f>[1]D!B82</f>
        <v>0</v>
      </c>
      <c r="C173" s="39">
        <f>[1]D!C82</f>
        <v>0</v>
      </c>
      <c r="D173" s="39" t="str">
        <f>[1]D!D82</f>
        <v>X</v>
      </c>
      <c r="E173" s="39" t="str">
        <f>[1]D!E82</f>
        <v>X</v>
      </c>
      <c r="F173" s="39">
        <f>[1]D!F82</f>
        <v>0</v>
      </c>
      <c r="G173" s="39">
        <f>[1]D!G82</f>
        <v>0</v>
      </c>
      <c r="H173" s="39">
        <f>[1]D!H82</f>
        <v>0</v>
      </c>
      <c r="I173" s="39">
        <f>[1]D!I82</f>
        <v>0</v>
      </c>
      <c r="J173" s="39">
        <f>[1]D!J82</f>
        <v>0</v>
      </c>
      <c r="K173" s="39">
        <f>[1]D!K82</f>
        <v>0</v>
      </c>
      <c r="L173" s="39" t="str">
        <f>[1]D!L82</f>
        <v>X</v>
      </c>
      <c r="M173" s="39" t="str">
        <f>[1]D!M82</f>
        <v>X</v>
      </c>
      <c r="N173" s="39">
        <f>[1]D!N82</f>
        <v>0</v>
      </c>
      <c r="O173" s="39">
        <f>[1]D!O82</f>
        <v>0</v>
      </c>
      <c r="P173" s="39">
        <f>[1]D!P82</f>
        <v>0</v>
      </c>
      <c r="Q173" s="39">
        <f>[1]D!Q82</f>
        <v>0</v>
      </c>
      <c r="R173" s="39">
        <f>[1]D!R82</f>
        <v>0</v>
      </c>
      <c r="S173" s="39">
        <f>[1]D!S82</f>
        <v>0</v>
      </c>
      <c r="T173" s="39" t="str">
        <f>[1]D!T82</f>
        <v>X</v>
      </c>
      <c r="U173" s="39" t="str">
        <f>[1]D!U82</f>
        <v>X</v>
      </c>
      <c r="V173" s="39">
        <f>[1]D!V82</f>
        <v>0</v>
      </c>
      <c r="W173" s="39">
        <f>[1]D!W82</f>
        <v>0</v>
      </c>
      <c r="X173" s="39">
        <f>[1]D!X82</f>
        <v>0</v>
      </c>
      <c r="Y173" s="39">
        <f>[1]D!Y82</f>
        <v>0</v>
      </c>
      <c r="Z173" s="39">
        <f>[1]D!Z82</f>
        <v>0</v>
      </c>
      <c r="AA173" s="39">
        <f>[1]D!AA82</f>
        <v>0</v>
      </c>
      <c r="AB173" s="39" t="str">
        <f>[1]D!AB82</f>
        <v>X</v>
      </c>
      <c r="AC173" s="39" t="str">
        <f>[1]D!AC82</f>
        <v>X</v>
      </c>
      <c r="AD173" s="39">
        <f>[1]D!AD82</f>
        <v>0</v>
      </c>
      <c r="AE173" s="39">
        <f>[1]D!AE82</f>
        <v>0</v>
      </c>
      <c r="AF173" s="39">
        <f>[1]D!AF82</f>
        <v>0</v>
      </c>
      <c r="AH173" s="20">
        <f t="shared" ref="AH173:AH191" si="21">1*COUNTIF(A173:AF173,"+")</f>
        <v>0</v>
      </c>
      <c r="AI173" s="20">
        <f t="shared" ref="AI173:AI191" si="22">1*COUNTIF(B173:AF173,"szf")</f>
        <v>0</v>
      </c>
    </row>
    <row r="174" spans="1:35" ht="20.100000000000001" customHeight="1">
      <c r="A174" s="24" t="str">
        <f>ÖSSZES!$A$74</f>
        <v>Erdei Bálint</v>
      </c>
      <c r="B174" s="39">
        <f>[1]D!B83</f>
        <v>0</v>
      </c>
      <c r="C174" s="39">
        <f>[1]D!C83</f>
        <v>0</v>
      </c>
      <c r="D174" s="39" t="str">
        <f>[1]D!D83</f>
        <v>X</v>
      </c>
      <c r="E174" s="39" t="str">
        <f>[1]D!E83</f>
        <v>X</v>
      </c>
      <c r="F174" s="39">
        <f>[1]D!F83</f>
        <v>0</v>
      </c>
      <c r="G174" s="39">
        <f>[1]D!G83</f>
        <v>0</v>
      </c>
      <c r="H174" s="39">
        <f>[1]D!H83</f>
        <v>0</v>
      </c>
      <c r="I174" s="39">
        <f>[1]D!I83</f>
        <v>0</v>
      </c>
      <c r="J174" s="39">
        <f>[1]D!J83</f>
        <v>0</v>
      </c>
      <c r="K174" s="39">
        <f>[1]D!K83</f>
        <v>0</v>
      </c>
      <c r="L174" s="39" t="str">
        <f>[1]D!L83</f>
        <v>X</v>
      </c>
      <c r="M174" s="39" t="str">
        <f>[1]D!M83</f>
        <v>X</v>
      </c>
      <c r="N174" s="39">
        <f>[1]D!N83</f>
        <v>0</v>
      </c>
      <c r="O174" s="39">
        <f>[1]D!O83</f>
        <v>0</v>
      </c>
      <c r="P174" s="39">
        <f>[1]D!P83</f>
        <v>0</v>
      </c>
      <c r="Q174" s="39">
        <f>[1]D!Q83</f>
        <v>0</v>
      </c>
      <c r="R174" s="39">
        <f>[1]D!R83</f>
        <v>0</v>
      </c>
      <c r="S174" s="39">
        <f>[1]D!S83</f>
        <v>0</v>
      </c>
      <c r="T174" s="39" t="str">
        <f>[1]D!T83</f>
        <v>X</v>
      </c>
      <c r="U174" s="39" t="str">
        <f>[1]D!U83</f>
        <v>X</v>
      </c>
      <c r="V174" s="39">
        <f>[1]D!V83</f>
        <v>0</v>
      </c>
      <c r="W174" s="39">
        <f>[1]D!W83</f>
        <v>0</v>
      </c>
      <c r="X174" s="39">
        <f>[1]D!X83</f>
        <v>0</v>
      </c>
      <c r="Y174" s="39">
        <f>[1]D!Y83</f>
        <v>0</v>
      </c>
      <c r="Z174" s="39">
        <f>[1]D!Z83</f>
        <v>0</v>
      </c>
      <c r="AA174" s="39">
        <f>[1]D!AA83</f>
        <v>0</v>
      </c>
      <c r="AB174" s="39" t="str">
        <f>[1]D!AB83</f>
        <v>X</v>
      </c>
      <c r="AC174" s="39" t="str">
        <f>[1]D!AC83</f>
        <v>X</v>
      </c>
      <c r="AD174" s="39">
        <f>[1]D!AD83</f>
        <v>0</v>
      </c>
      <c r="AE174" s="39">
        <f>[1]D!AE83</f>
        <v>0</v>
      </c>
      <c r="AF174" s="39">
        <f>[1]D!AF83</f>
        <v>0</v>
      </c>
      <c r="AH174" s="20">
        <f t="shared" si="21"/>
        <v>0</v>
      </c>
      <c r="AI174" s="20">
        <f t="shared" si="22"/>
        <v>0</v>
      </c>
    </row>
    <row r="175" spans="1:35" ht="20.100000000000001" customHeight="1">
      <c r="A175" s="24" t="str">
        <f>ÖSSZES!$A$75</f>
        <v>Fábián Gábor</v>
      </c>
      <c r="B175" s="39">
        <f>[1]D!B84</f>
        <v>0</v>
      </c>
      <c r="C175" s="39">
        <f>[1]D!C84</f>
        <v>0</v>
      </c>
      <c r="D175" s="39" t="str">
        <f>[1]D!D84</f>
        <v>X</v>
      </c>
      <c r="E175" s="39" t="str">
        <f>[1]D!E84</f>
        <v>X</v>
      </c>
      <c r="F175" s="39">
        <f>[1]D!F84</f>
        <v>0</v>
      </c>
      <c r="G175" s="39">
        <f>[1]D!G84</f>
        <v>0</v>
      </c>
      <c r="H175" s="39">
        <f>[1]D!H84</f>
        <v>0</v>
      </c>
      <c r="I175" s="39">
        <f>[1]D!I84</f>
        <v>0</v>
      </c>
      <c r="J175" s="39">
        <f>[1]D!J84</f>
        <v>0</v>
      </c>
      <c r="K175" s="39">
        <f>[1]D!K84</f>
        <v>0</v>
      </c>
      <c r="L175" s="39" t="str">
        <f>[1]D!L84</f>
        <v>X</v>
      </c>
      <c r="M175" s="39" t="str">
        <f>[1]D!M84</f>
        <v>X</v>
      </c>
      <c r="N175" s="39">
        <f>[1]D!N84</f>
        <v>0</v>
      </c>
      <c r="O175" s="39">
        <f>[1]D!O84</f>
        <v>0</v>
      </c>
      <c r="P175" s="39">
        <f>[1]D!P84</f>
        <v>0</v>
      </c>
      <c r="Q175" s="39">
        <f>[1]D!Q84</f>
        <v>0</v>
      </c>
      <c r="R175" s="39">
        <f>[1]D!R84</f>
        <v>0</v>
      </c>
      <c r="S175" s="39">
        <f>[1]D!S84</f>
        <v>0</v>
      </c>
      <c r="T175" s="39" t="str">
        <f>[1]D!T84</f>
        <v>X</v>
      </c>
      <c r="U175" s="39" t="str">
        <f>[1]D!U84</f>
        <v>X</v>
      </c>
      <c r="V175" s="39">
        <f>[1]D!V84</f>
        <v>0</v>
      </c>
      <c r="W175" s="39">
        <f>[1]D!W84</f>
        <v>0</v>
      </c>
      <c r="X175" s="39">
        <f>[1]D!X84</f>
        <v>0</v>
      </c>
      <c r="Y175" s="39">
        <f>[1]D!Y84</f>
        <v>0</v>
      </c>
      <c r="Z175" s="39">
        <f>[1]D!Z84</f>
        <v>0</v>
      </c>
      <c r="AA175" s="39">
        <f>[1]D!AA84</f>
        <v>0</v>
      </c>
      <c r="AB175" s="39" t="str">
        <f>[1]D!AB84</f>
        <v>X</v>
      </c>
      <c r="AC175" s="39" t="str">
        <f>[1]D!AC84</f>
        <v>X</v>
      </c>
      <c r="AD175" s="39">
        <f>[1]D!AD84</f>
        <v>0</v>
      </c>
      <c r="AE175" s="39">
        <f>[1]D!AE84</f>
        <v>0</v>
      </c>
      <c r="AF175" s="39">
        <f>[1]D!AF84</f>
        <v>0</v>
      </c>
      <c r="AH175" s="20">
        <f t="shared" si="21"/>
        <v>0</v>
      </c>
      <c r="AI175" s="20">
        <f t="shared" si="22"/>
        <v>0</v>
      </c>
    </row>
    <row r="176" spans="1:35" ht="20.100000000000001" customHeight="1">
      <c r="A176" s="24" t="str">
        <f>ÖSSZES!$A$76</f>
        <v>Gellei Zsolt</v>
      </c>
      <c r="B176" s="39">
        <f>[1]D!B85</f>
        <v>0</v>
      </c>
      <c r="C176" s="39">
        <f>[1]D!C85</f>
        <v>0</v>
      </c>
      <c r="D176" s="39" t="str">
        <f>[1]D!D85</f>
        <v>X</v>
      </c>
      <c r="E176" s="39" t="str">
        <f>[1]D!E85</f>
        <v>X</v>
      </c>
      <c r="F176" s="39">
        <f>[1]D!F85</f>
        <v>0</v>
      </c>
      <c r="G176" s="39">
        <f>[1]D!G85</f>
        <v>0</v>
      </c>
      <c r="H176" s="39">
        <f>[1]D!H85</f>
        <v>0</v>
      </c>
      <c r="I176" s="39">
        <f>[1]D!I85</f>
        <v>0</v>
      </c>
      <c r="J176" s="39">
        <f>[1]D!J85</f>
        <v>0</v>
      </c>
      <c r="K176" s="39">
        <f>[1]D!K85</f>
        <v>0</v>
      </c>
      <c r="L176" s="39" t="str">
        <f>[1]D!L85</f>
        <v>X</v>
      </c>
      <c r="M176" s="39" t="str">
        <f>[1]D!M85</f>
        <v>X</v>
      </c>
      <c r="N176" s="39">
        <f>[1]D!N85</f>
        <v>0</v>
      </c>
      <c r="O176" s="39">
        <f>[1]D!O85</f>
        <v>0</v>
      </c>
      <c r="P176" s="39">
        <f>[1]D!P85</f>
        <v>0</v>
      </c>
      <c r="Q176" s="39">
        <f>[1]D!Q85</f>
        <v>0</v>
      </c>
      <c r="R176" s="39">
        <f>[1]D!R85</f>
        <v>0</v>
      </c>
      <c r="S176" s="39">
        <f>[1]D!S85</f>
        <v>0</v>
      </c>
      <c r="T176" s="39" t="str">
        <f>[1]D!T85</f>
        <v>X</v>
      </c>
      <c r="U176" s="39" t="str">
        <f>[1]D!U85</f>
        <v>X</v>
      </c>
      <c r="V176" s="39">
        <f>[1]D!V85</f>
        <v>0</v>
      </c>
      <c r="W176" s="39">
        <f>[1]D!W85</f>
        <v>0</v>
      </c>
      <c r="X176" s="39">
        <f>[1]D!X85</f>
        <v>0</v>
      </c>
      <c r="Y176" s="39">
        <f>[1]D!Y85</f>
        <v>0</v>
      </c>
      <c r="Z176" s="39">
        <f>[1]D!Z85</f>
        <v>0</v>
      </c>
      <c r="AA176" s="39">
        <f>[1]D!AA85</f>
        <v>0</v>
      </c>
      <c r="AB176" s="39" t="str">
        <f>[1]D!AB85</f>
        <v>X</v>
      </c>
      <c r="AC176" s="39" t="str">
        <f>[1]D!AC85</f>
        <v>X</v>
      </c>
      <c r="AD176" s="39">
        <f>[1]D!AD85</f>
        <v>0</v>
      </c>
      <c r="AE176" s="39">
        <f>[1]D!AE85</f>
        <v>0</v>
      </c>
      <c r="AF176" s="39">
        <f>[1]D!AF85</f>
        <v>0</v>
      </c>
      <c r="AH176" s="20">
        <f t="shared" si="21"/>
        <v>0</v>
      </c>
      <c r="AI176" s="20">
        <f t="shared" si="22"/>
        <v>0</v>
      </c>
    </row>
    <row r="177" spans="1:35" ht="20.100000000000001" customHeight="1">
      <c r="A177" s="24" t="str">
        <f>ÖSSZES!$A$77</f>
        <v>Kiss Gyula</v>
      </c>
      <c r="B177" s="39">
        <f>[1]D!B86</f>
        <v>0</v>
      </c>
      <c r="C177" s="39">
        <f>[1]D!C86</f>
        <v>0</v>
      </c>
      <c r="D177" s="39" t="str">
        <f>[1]D!D86</f>
        <v>X</v>
      </c>
      <c r="E177" s="39" t="str">
        <f>[1]D!E86</f>
        <v>X</v>
      </c>
      <c r="F177" s="39">
        <f>[1]D!F86</f>
        <v>0</v>
      </c>
      <c r="G177" s="39">
        <f>[1]D!G86</f>
        <v>0</v>
      </c>
      <c r="H177" s="39">
        <f>[1]D!H86</f>
        <v>0</v>
      </c>
      <c r="I177" s="39">
        <f>[1]D!I86</f>
        <v>0</v>
      </c>
      <c r="J177" s="39">
        <f>[1]D!J86</f>
        <v>0</v>
      </c>
      <c r="K177" s="39">
        <f>[1]D!K86</f>
        <v>0</v>
      </c>
      <c r="L177" s="39" t="str">
        <f>[1]D!L86</f>
        <v>X</v>
      </c>
      <c r="M177" s="39" t="str">
        <f>[1]D!M86</f>
        <v>X</v>
      </c>
      <c r="N177" s="39">
        <f>[1]D!N86</f>
        <v>0</v>
      </c>
      <c r="O177" s="39">
        <f>[1]D!O86</f>
        <v>0</v>
      </c>
      <c r="P177" s="39">
        <f>[1]D!P86</f>
        <v>0</v>
      </c>
      <c r="Q177" s="39">
        <f>[1]D!Q86</f>
        <v>0</v>
      </c>
      <c r="R177" s="39">
        <f>[1]D!R86</f>
        <v>0</v>
      </c>
      <c r="S177" s="39">
        <f>[1]D!S86</f>
        <v>0</v>
      </c>
      <c r="T177" s="39" t="str">
        <f>[1]D!T86</f>
        <v>X</v>
      </c>
      <c r="U177" s="39" t="str">
        <f>[1]D!U86</f>
        <v>X</v>
      </c>
      <c r="V177" s="39">
        <f>[1]D!V86</f>
        <v>0</v>
      </c>
      <c r="W177" s="39">
        <f>[1]D!W86</f>
        <v>0</v>
      </c>
      <c r="X177" s="39">
        <f>[1]D!X86</f>
        <v>0</v>
      </c>
      <c r="Y177" s="39">
        <f>[1]D!Y86</f>
        <v>0</v>
      </c>
      <c r="Z177" s="39">
        <f>[1]D!Z86</f>
        <v>0</v>
      </c>
      <c r="AA177" s="39">
        <f>[1]D!AA86</f>
        <v>0</v>
      </c>
      <c r="AB177" s="39" t="str">
        <f>[1]D!AB86</f>
        <v>X</v>
      </c>
      <c r="AC177" s="39" t="str">
        <f>[1]D!AC86</f>
        <v>X</v>
      </c>
      <c r="AD177" s="39">
        <f>[1]D!AD86</f>
        <v>0</v>
      </c>
      <c r="AE177" s="39">
        <f>[1]D!AE86</f>
        <v>0</v>
      </c>
      <c r="AF177" s="39">
        <f>[1]D!AF86</f>
        <v>0</v>
      </c>
      <c r="AH177" s="20">
        <f t="shared" si="21"/>
        <v>0</v>
      </c>
      <c r="AI177" s="20">
        <f t="shared" si="22"/>
        <v>0</v>
      </c>
    </row>
    <row r="178" spans="1:35" ht="20.100000000000001" customHeight="1">
      <c r="A178" s="24" t="str">
        <f>ÖSSZES!$A$78</f>
        <v>Nagy István</v>
      </c>
      <c r="B178" s="39">
        <f>[1]D!B87</f>
        <v>0</v>
      </c>
      <c r="C178" s="39">
        <f>[1]D!C87</f>
        <v>0</v>
      </c>
      <c r="D178" s="39" t="str">
        <f>[1]D!D87</f>
        <v>X</v>
      </c>
      <c r="E178" s="39" t="str">
        <f>[1]D!E87</f>
        <v>X</v>
      </c>
      <c r="F178" s="39">
        <f>[1]D!F87</f>
        <v>0</v>
      </c>
      <c r="G178" s="39">
        <f>[1]D!G87</f>
        <v>0</v>
      </c>
      <c r="H178" s="39">
        <f>[1]D!H87</f>
        <v>0</v>
      </c>
      <c r="I178" s="39">
        <f>[1]D!I87</f>
        <v>0</v>
      </c>
      <c r="J178" s="39">
        <f>[1]D!J87</f>
        <v>0</v>
      </c>
      <c r="K178" s="39">
        <f>[1]D!K87</f>
        <v>0</v>
      </c>
      <c r="L178" s="39" t="str">
        <f>[1]D!L87</f>
        <v>X</v>
      </c>
      <c r="M178" s="39" t="str">
        <f>[1]D!M87</f>
        <v>X</v>
      </c>
      <c r="N178" s="39">
        <f>[1]D!N87</f>
        <v>0</v>
      </c>
      <c r="O178" s="39">
        <f>[1]D!O87</f>
        <v>0</v>
      </c>
      <c r="P178" s="39">
        <f>[1]D!P87</f>
        <v>0</v>
      </c>
      <c r="Q178" s="39">
        <f>[1]D!Q87</f>
        <v>0</v>
      </c>
      <c r="R178" s="39">
        <f>[1]D!R87</f>
        <v>0</v>
      </c>
      <c r="S178" s="39">
        <f>[1]D!S87</f>
        <v>0</v>
      </c>
      <c r="T178" s="39" t="str">
        <f>[1]D!T87</f>
        <v>X</v>
      </c>
      <c r="U178" s="39" t="str">
        <f>[1]D!U87</f>
        <v>X</v>
      </c>
      <c r="V178" s="39">
        <f>[1]D!V87</f>
        <v>0</v>
      </c>
      <c r="W178" s="39">
        <f>[1]D!W87</f>
        <v>0</v>
      </c>
      <c r="X178" s="39">
        <f>[1]D!X87</f>
        <v>0</v>
      </c>
      <c r="Y178" s="39">
        <f>[1]D!Y87</f>
        <v>0</v>
      </c>
      <c r="Z178" s="39">
        <f>[1]D!Z87</f>
        <v>0</v>
      </c>
      <c r="AA178" s="39">
        <f>[1]D!AA87</f>
        <v>0</v>
      </c>
      <c r="AB178" s="39" t="str">
        <f>[1]D!AB87</f>
        <v>X</v>
      </c>
      <c r="AC178" s="39" t="str">
        <f>[1]D!AC87</f>
        <v>X</v>
      </c>
      <c r="AD178" s="39">
        <f>[1]D!AD87</f>
        <v>0</v>
      </c>
      <c r="AE178" s="39">
        <f>[1]D!AE87</f>
        <v>0</v>
      </c>
      <c r="AF178" s="39">
        <f>[1]D!AF87</f>
        <v>0</v>
      </c>
      <c r="AH178" s="20">
        <f t="shared" si="21"/>
        <v>0</v>
      </c>
      <c r="AI178" s="20">
        <f t="shared" si="22"/>
        <v>0</v>
      </c>
    </row>
    <row r="179" spans="1:35" ht="20.100000000000001" hidden="1" customHeight="1">
      <c r="A179" s="24" t="str">
        <f>ÖSSZES!$A$79</f>
        <v>Név8</v>
      </c>
      <c r="B179" s="39"/>
      <c r="C179" s="39"/>
      <c r="D179" s="39" t="s">
        <v>2</v>
      </c>
      <c r="E179" s="39" t="s">
        <v>2</v>
      </c>
      <c r="F179" s="39"/>
      <c r="G179" s="39"/>
      <c r="H179" s="39"/>
      <c r="I179" s="39"/>
      <c r="J179" s="39"/>
      <c r="K179" s="39"/>
      <c r="L179" s="39" t="s">
        <v>2</v>
      </c>
      <c r="M179" s="39" t="s">
        <v>2</v>
      </c>
      <c r="N179" s="39"/>
      <c r="O179" s="39"/>
      <c r="P179" s="39"/>
      <c r="Q179" s="39"/>
      <c r="R179" s="39"/>
      <c r="S179" s="39"/>
      <c r="T179" s="39" t="s">
        <v>2</v>
      </c>
      <c r="U179" s="39" t="s">
        <v>2</v>
      </c>
      <c r="V179" s="39"/>
      <c r="W179" s="39"/>
      <c r="X179" s="39"/>
      <c r="Y179" s="39"/>
      <c r="Z179" s="39"/>
      <c r="AA179" s="39"/>
      <c r="AB179" s="39" t="s">
        <v>2</v>
      </c>
      <c r="AC179" s="39" t="s">
        <v>2</v>
      </c>
      <c r="AD179" s="39"/>
      <c r="AE179" s="39"/>
      <c r="AF179" s="39"/>
      <c r="AH179" s="20">
        <f t="shared" si="21"/>
        <v>0</v>
      </c>
      <c r="AI179" s="20">
        <f t="shared" si="22"/>
        <v>0</v>
      </c>
    </row>
    <row r="180" spans="1:35" ht="20.100000000000001" hidden="1" customHeight="1">
      <c r="A180" s="24" t="str">
        <f>ÖSSZES!$A$80</f>
        <v>Név9</v>
      </c>
      <c r="B180" s="39"/>
      <c r="C180" s="39"/>
      <c r="D180" s="39" t="s">
        <v>2</v>
      </c>
      <c r="E180" s="39" t="s">
        <v>2</v>
      </c>
      <c r="F180" s="39"/>
      <c r="G180" s="39"/>
      <c r="H180" s="39"/>
      <c r="I180" s="39"/>
      <c r="J180" s="39"/>
      <c r="K180" s="39"/>
      <c r="L180" s="39" t="s">
        <v>2</v>
      </c>
      <c r="M180" s="39" t="s">
        <v>2</v>
      </c>
      <c r="N180" s="39"/>
      <c r="O180" s="39"/>
      <c r="P180" s="39"/>
      <c r="Q180" s="39"/>
      <c r="R180" s="39"/>
      <c r="S180" s="39"/>
      <c r="T180" s="39" t="s">
        <v>2</v>
      </c>
      <c r="U180" s="39" t="s">
        <v>2</v>
      </c>
      <c r="V180" s="39"/>
      <c r="W180" s="39"/>
      <c r="X180" s="39"/>
      <c r="Y180" s="39"/>
      <c r="Z180" s="39"/>
      <c r="AA180" s="39"/>
      <c r="AB180" s="39" t="s">
        <v>2</v>
      </c>
      <c r="AC180" s="39" t="s">
        <v>2</v>
      </c>
      <c r="AD180" s="39"/>
      <c r="AE180" s="39"/>
      <c r="AF180" s="39"/>
      <c r="AH180" s="20">
        <f t="shared" si="21"/>
        <v>0</v>
      </c>
      <c r="AI180" s="20">
        <f t="shared" si="22"/>
        <v>0</v>
      </c>
    </row>
    <row r="181" spans="1:35" ht="20.100000000000001" hidden="1" customHeight="1">
      <c r="A181" s="24" t="str">
        <f>ÖSSZES!$A$81</f>
        <v>Név10</v>
      </c>
      <c r="B181" s="39"/>
      <c r="C181" s="39"/>
      <c r="D181" s="39" t="s">
        <v>2</v>
      </c>
      <c r="E181" s="39" t="s">
        <v>2</v>
      </c>
      <c r="F181" s="39"/>
      <c r="G181" s="39"/>
      <c r="H181" s="39"/>
      <c r="I181" s="39"/>
      <c r="J181" s="39"/>
      <c r="K181" s="39"/>
      <c r="L181" s="39" t="s">
        <v>2</v>
      </c>
      <c r="M181" s="39" t="s">
        <v>2</v>
      </c>
      <c r="N181" s="39"/>
      <c r="O181" s="39"/>
      <c r="P181" s="39"/>
      <c r="Q181" s="39"/>
      <c r="R181" s="39"/>
      <c r="S181" s="39"/>
      <c r="T181" s="39" t="s">
        <v>2</v>
      </c>
      <c r="U181" s="39" t="s">
        <v>2</v>
      </c>
      <c r="V181" s="39"/>
      <c r="W181" s="39"/>
      <c r="X181" s="39"/>
      <c r="Y181" s="39"/>
      <c r="Z181" s="39"/>
      <c r="AA181" s="39"/>
      <c r="AB181" s="39" t="s">
        <v>2</v>
      </c>
      <c r="AC181" s="39" t="s">
        <v>2</v>
      </c>
      <c r="AD181" s="39"/>
      <c r="AE181" s="39"/>
      <c r="AF181" s="39"/>
      <c r="AH181" s="20">
        <f t="shared" si="21"/>
        <v>0</v>
      </c>
      <c r="AI181" s="20">
        <f t="shared" si="22"/>
        <v>0</v>
      </c>
    </row>
    <row r="182" spans="1:35" ht="20.100000000000001" hidden="1" customHeight="1">
      <c r="A182" s="24" t="str">
        <f>ÖSSZES!$A$82</f>
        <v>Név11</v>
      </c>
      <c r="B182" s="39"/>
      <c r="C182" s="39"/>
      <c r="D182" s="39" t="s">
        <v>2</v>
      </c>
      <c r="E182" s="39" t="s">
        <v>2</v>
      </c>
      <c r="F182" s="39"/>
      <c r="G182" s="39"/>
      <c r="H182" s="39"/>
      <c r="I182" s="39"/>
      <c r="J182" s="39"/>
      <c r="K182" s="39"/>
      <c r="L182" s="39" t="s">
        <v>2</v>
      </c>
      <c r="M182" s="39" t="s">
        <v>2</v>
      </c>
      <c r="N182" s="39"/>
      <c r="O182" s="39"/>
      <c r="P182" s="39"/>
      <c r="Q182" s="39"/>
      <c r="R182" s="39"/>
      <c r="S182" s="39"/>
      <c r="T182" s="39" t="s">
        <v>2</v>
      </c>
      <c r="U182" s="39" t="s">
        <v>2</v>
      </c>
      <c r="V182" s="39"/>
      <c r="W182" s="39"/>
      <c r="X182" s="39"/>
      <c r="Y182" s="39"/>
      <c r="Z182" s="39"/>
      <c r="AA182" s="39"/>
      <c r="AB182" s="39" t="s">
        <v>2</v>
      </c>
      <c r="AC182" s="39" t="s">
        <v>2</v>
      </c>
      <c r="AD182" s="39"/>
      <c r="AE182" s="39"/>
      <c r="AF182" s="39"/>
      <c r="AH182" s="20">
        <f t="shared" si="21"/>
        <v>0</v>
      </c>
      <c r="AI182" s="20">
        <f t="shared" si="22"/>
        <v>0</v>
      </c>
    </row>
    <row r="183" spans="1:35" ht="20.100000000000001" hidden="1" customHeight="1">
      <c r="A183" s="24" t="str">
        <f>ÖSSZES!$A$83</f>
        <v>Név12</v>
      </c>
      <c r="B183" s="39"/>
      <c r="C183" s="39"/>
      <c r="D183" s="39" t="s">
        <v>2</v>
      </c>
      <c r="E183" s="39" t="s">
        <v>2</v>
      </c>
      <c r="F183" s="39"/>
      <c r="G183" s="39"/>
      <c r="H183" s="39"/>
      <c r="I183" s="39"/>
      <c r="J183" s="39"/>
      <c r="K183" s="39"/>
      <c r="L183" s="39" t="s">
        <v>2</v>
      </c>
      <c r="M183" s="39" t="s">
        <v>2</v>
      </c>
      <c r="N183" s="39"/>
      <c r="O183" s="39"/>
      <c r="P183" s="39"/>
      <c r="Q183" s="39"/>
      <c r="R183" s="39"/>
      <c r="S183" s="39"/>
      <c r="T183" s="39" t="s">
        <v>2</v>
      </c>
      <c r="U183" s="39" t="s">
        <v>2</v>
      </c>
      <c r="V183" s="39"/>
      <c r="W183" s="39"/>
      <c r="X183" s="39"/>
      <c r="Y183" s="39"/>
      <c r="Z183" s="39"/>
      <c r="AA183" s="39"/>
      <c r="AB183" s="39" t="s">
        <v>2</v>
      </c>
      <c r="AC183" s="39" t="s">
        <v>2</v>
      </c>
      <c r="AD183" s="39"/>
      <c r="AE183" s="39"/>
      <c r="AF183" s="39"/>
      <c r="AH183" s="20">
        <f t="shared" si="21"/>
        <v>0</v>
      </c>
      <c r="AI183" s="20">
        <f t="shared" si="22"/>
        <v>0</v>
      </c>
    </row>
    <row r="184" spans="1:35" ht="20.100000000000001" hidden="1" customHeight="1">
      <c r="A184" s="24" t="str">
        <f>ÖSSZES!$A$84</f>
        <v>Név13</v>
      </c>
      <c r="B184" s="39"/>
      <c r="C184" s="39"/>
      <c r="D184" s="39" t="s">
        <v>2</v>
      </c>
      <c r="E184" s="39" t="s">
        <v>2</v>
      </c>
      <c r="F184" s="39"/>
      <c r="G184" s="39"/>
      <c r="H184" s="39"/>
      <c r="I184" s="39"/>
      <c r="J184" s="39"/>
      <c r="K184" s="39"/>
      <c r="L184" s="39" t="s">
        <v>2</v>
      </c>
      <c r="M184" s="39" t="s">
        <v>2</v>
      </c>
      <c r="N184" s="39"/>
      <c r="O184" s="39"/>
      <c r="P184" s="39"/>
      <c r="Q184" s="39"/>
      <c r="R184" s="39"/>
      <c r="S184" s="39"/>
      <c r="T184" s="39" t="s">
        <v>2</v>
      </c>
      <c r="U184" s="39" t="s">
        <v>2</v>
      </c>
      <c r="V184" s="39"/>
      <c r="W184" s="39"/>
      <c r="X184" s="39"/>
      <c r="Y184" s="39"/>
      <c r="Z184" s="39"/>
      <c r="AA184" s="39"/>
      <c r="AB184" s="39" t="s">
        <v>2</v>
      </c>
      <c r="AC184" s="39" t="s">
        <v>2</v>
      </c>
      <c r="AD184" s="39"/>
      <c r="AE184" s="39"/>
      <c r="AF184" s="39"/>
      <c r="AH184" s="20">
        <f t="shared" si="21"/>
        <v>0</v>
      </c>
      <c r="AI184" s="20">
        <f t="shared" si="22"/>
        <v>0</v>
      </c>
    </row>
    <row r="185" spans="1:35" ht="20.100000000000001" hidden="1" customHeight="1">
      <c r="A185" s="24" t="str">
        <f>ÖSSZES!$A$85</f>
        <v>Név14</v>
      </c>
      <c r="B185" s="39"/>
      <c r="C185" s="39"/>
      <c r="D185" s="39" t="s">
        <v>2</v>
      </c>
      <c r="E185" s="39" t="s">
        <v>2</v>
      </c>
      <c r="F185" s="39"/>
      <c r="G185" s="39"/>
      <c r="H185" s="39"/>
      <c r="I185" s="39"/>
      <c r="J185" s="39"/>
      <c r="K185" s="39"/>
      <c r="L185" s="39" t="s">
        <v>2</v>
      </c>
      <c r="M185" s="39" t="s">
        <v>2</v>
      </c>
      <c r="N185" s="39"/>
      <c r="O185" s="39"/>
      <c r="P185" s="39"/>
      <c r="Q185" s="39"/>
      <c r="R185" s="39"/>
      <c r="S185" s="39"/>
      <c r="T185" s="39" t="s">
        <v>2</v>
      </c>
      <c r="U185" s="39" t="s">
        <v>2</v>
      </c>
      <c r="V185" s="39"/>
      <c r="W185" s="39"/>
      <c r="X185" s="39"/>
      <c r="Y185" s="39"/>
      <c r="Z185" s="39"/>
      <c r="AA185" s="39"/>
      <c r="AB185" s="39" t="s">
        <v>2</v>
      </c>
      <c r="AC185" s="39" t="s">
        <v>2</v>
      </c>
      <c r="AD185" s="39"/>
      <c r="AE185" s="39"/>
      <c r="AF185" s="39"/>
      <c r="AH185" s="20">
        <f t="shared" si="21"/>
        <v>0</v>
      </c>
      <c r="AI185" s="20">
        <f t="shared" si="22"/>
        <v>0</v>
      </c>
    </row>
    <row r="186" spans="1:35" ht="20.100000000000001" hidden="1" customHeight="1">
      <c r="A186" s="24" t="str">
        <f>ÖSSZES!$A$86</f>
        <v>Név15</v>
      </c>
      <c r="B186" s="39"/>
      <c r="C186" s="39"/>
      <c r="D186" s="39" t="s">
        <v>2</v>
      </c>
      <c r="E186" s="39" t="s">
        <v>2</v>
      </c>
      <c r="F186" s="39"/>
      <c r="G186" s="39"/>
      <c r="H186" s="39"/>
      <c r="I186" s="39"/>
      <c r="J186" s="39"/>
      <c r="K186" s="39"/>
      <c r="L186" s="39" t="s">
        <v>2</v>
      </c>
      <c r="M186" s="39" t="s">
        <v>2</v>
      </c>
      <c r="N186" s="39"/>
      <c r="O186" s="39"/>
      <c r="P186" s="39"/>
      <c r="Q186" s="39"/>
      <c r="R186" s="39"/>
      <c r="S186" s="39"/>
      <c r="T186" s="39" t="s">
        <v>2</v>
      </c>
      <c r="U186" s="39" t="s">
        <v>2</v>
      </c>
      <c r="V186" s="39"/>
      <c r="W186" s="39"/>
      <c r="X186" s="39"/>
      <c r="Y186" s="39"/>
      <c r="Z186" s="39"/>
      <c r="AA186" s="39"/>
      <c r="AB186" s="39" t="s">
        <v>2</v>
      </c>
      <c r="AC186" s="39" t="s">
        <v>2</v>
      </c>
      <c r="AD186" s="39"/>
      <c r="AE186" s="39"/>
      <c r="AF186" s="39"/>
      <c r="AH186" s="20">
        <f t="shared" si="21"/>
        <v>0</v>
      </c>
      <c r="AI186" s="20">
        <f t="shared" si="22"/>
        <v>0</v>
      </c>
    </row>
    <row r="187" spans="1:35" ht="20.100000000000001" hidden="1" customHeight="1">
      <c r="A187" s="24" t="str">
        <f>ÖSSZES!$A$87</f>
        <v>Név16</v>
      </c>
      <c r="B187" s="39"/>
      <c r="C187" s="39"/>
      <c r="D187" s="39" t="s">
        <v>2</v>
      </c>
      <c r="E187" s="39" t="s">
        <v>2</v>
      </c>
      <c r="F187" s="39"/>
      <c r="G187" s="39"/>
      <c r="H187" s="39"/>
      <c r="I187" s="39"/>
      <c r="J187" s="39"/>
      <c r="K187" s="39"/>
      <c r="L187" s="39" t="s">
        <v>2</v>
      </c>
      <c r="M187" s="39" t="s">
        <v>2</v>
      </c>
      <c r="N187" s="39"/>
      <c r="O187" s="39"/>
      <c r="P187" s="39"/>
      <c r="Q187" s="39"/>
      <c r="R187" s="39"/>
      <c r="S187" s="39"/>
      <c r="T187" s="39" t="s">
        <v>2</v>
      </c>
      <c r="U187" s="39" t="s">
        <v>2</v>
      </c>
      <c r="V187" s="39"/>
      <c r="W187" s="39"/>
      <c r="X187" s="39"/>
      <c r="Y187" s="39"/>
      <c r="Z187" s="39"/>
      <c r="AA187" s="39"/>
      <c r="AB187" s="39" t="s">
        <v>2</v>
      </c>
      <c r="AC187" s="39" t="s">
        <v>2</v>
      </c>
      <c r="AD187" s="39"/>
      <c r="AE187" s="39"/>
      <c r="AF187" s="39"/>
      <c r="AH187" s="20">
        <f t="shared" si="21"/>
        <v>0</v>
      </c>
      <c r="AI187" s="20">
        <f t="shared" si="22"/>
        <v>0</v>
      </c>
    </row>
    <row r="188" spans="1:35" ht="20.100000000000001" hidden="1" customHeight="1">
      <c r="A188" s="24" t="str">
        <f>ÖSSZES!$A$88</f>
        <v>Név17</v>
      </c>
      <c r="B188" s="39"/>
      <c r="C188" s="39"/>
      <c r="D188" s="39" t="s">
        <v>2</v>
      </c>
      <c r="E188" s="39" t="s">
        <v>2</v>
      </c>
      <c r="F188" s="39"/>
      <c r="G188" s="39"/>
      <c r="H188" s="39"/>
      <c r="I188" s="39"/>
      <c r="J188" s="39"/>
      <c r="K188" s="39"/>
      <c r="L188" s="39" t="s">
        <v>2</v>
      </c>
      <c r="M188" s="39" t="s">
        <v>2</v>
      </c>
      <c r="N188" s="39"/>
      <c r="O188" s="39"/>
      <c r="P188" s="39"/>
      <c r="Q188" s="39"/>
      <c r="R188" s="39"/>
      <c r="S188" s="39"/>
      <c r="T188" s="39" t="s">
        <v>2</v>
      </c>
      <c r="U188" s="39" t="s">
        <v>2</v>
      </c>
      <c r="V188" s="39"/>
      <c r="W188" s="39"/>
      <c r="X188" s="39"/>
      <c r="Y188" s="39"/>
      <c r="Z188" s="39"/>
      <c r="AA188" s="39"/>
      <c r="AB188" s="39" t="s">
        <v>2</v>
      </c>
      <c r="AC188" s="39" t="s">
        <v>2</v>
      </c>
      <c r="AD188" s="39"/>
      <c r="AE188" s="39"/>
      <c r="AF188" s="39"/>
      <c r="AH188" s="20">
        <f t="shared" si="21"/>
        <v>0</v>
      </c>
      <c r="AI188" s="20">
        <f t="shared" si="22"/>
        <v>0</v>
      </c>
    </row>
    <row r="189" spans="1:35" ht="20.100000000000001" hidden="1" customHeight="1">
      <c r="A189" s="24" t="str">
        <f>ÖSSZES!$A$89</f>
        <v>Név18</v>
      </c>
      <c r="B189" s="39"/>
      <c r="C189" s="39"/>
      <c r="D189" s="39" t="s">
        <v>2</v>
      </c>
      <c r="E189" s="39" t="s">
        <v>2</v>
      </c>
      <c r="F189" s="39"/>
      <c r="G189" s="39"/>
      <c r="H189" s="39"/>
      <c r="I189" s="39"/>
      <c r="J189" s="39"/>
      <c r="K189" s="39"/>
      <c r="L189" s="39" t="s">
        <v>2</v>
      </c>
      <c r="M189" s="39" t="s">
        <v>2</v>
      </c>
      <c r="N189" s="39"/>
      <c r="O189" s="39"/>
      <c r="P189" s="39"/>
      <c r="Q189" s="39"/>
      <c r="R189" s="39"/>
      <c r="S189" s="39"/>
      <c r="T189" s="39" t="s">
        <v>2</v>
      </c>
      <c r="U189" s="39" t="s">
        <v>2</v>
      </c>
      <c r="V189" s="39"/>
      <c r="W189" s="39"/>
      <c r="X189" s="39"/>
      <c r="Y189" s="39"/>
      <c r="Z189" s="39"/>
      <c r="AA189" s="39"/>
      <c r="AB189" s="39" t="s">
        <v>2</v>
      </c>
      <c r="AC189" s="39" t="s">
        <v>2</v>
      </c>
      <c r="AD189" s="39"/>
      <c r="AE189" s="39"/>
      <c r="AF189" s="39"/>
      <c r="AH189" s="20">
        <f t="shared" si="21"/>
        <v>0</v>
      </c>
      <c r="AI189" s="20">
        <f t="shared" si="22"/>
        <v>0</v>
      </c>
    </row>
    <row r="190" spans="1:35" ht="20.100000000000001" hidden="1" customHeight="1">
      <c r="A190" s="24" t="str">
        <f>ÖSSZES!$A$90</f>
        <v>Név19</v>
      </c>
      <c r="B190" s="39"/>
      <c r="C190" s="39"/>
      <c r="D190" s="39" t="s">
        <v>2</v>
      </c>
      <c r="E190" s="39" t="s">
        <v>2</v>
      </c>
      <c r="F190" s="39"/>
      <c r="G190" s="39"/>
      <c r="H190" s="39"/>
      <c r="I190" s="39"/>
      <c r="J190" s="39"/>
      <c r="K190" s="39"/>
      <c r="L190" s="39" t="s">
        <v>2</v>
      </c>
      <c r="M190" s="39" t="s">
        <v>2</v>
      </c>
      <c r="N190" s="39"/>
      <c r="O190" s="39"/>
      <c r="P190" s="39"/>
      <c r="Q190" s="39"/>
      <c r="R190" s="39"/>
      <c r="S190" s="39"/>
      <c r="T190" s="39" t="s">
        <v>2</v>
      </c>
      <c r="U190" s="39" t="s">
        <v>2</v>
      </c>
      <c r="V190" s="39"/>
      <c r="W190" s="39"/>
      <c r="X190" s="39"/>
      <c r="Y190" s="39"/>
      <c r="Z190" s="39"/>
      <c r="AA190" s="39"/>
      <c r="AB190" s="39" t="s">
        <v>2</v>
      </c>
      <c r="AC190" s="39" t="s">
        <v>2</v>
      </c>
      <c r="AD190" s="39"/>
      <c r="AE190" s="39"/>
      <c r="AF190" s="39"/>
      <c r="AH190" s="20">
        <f t="shared" si="21"/>
        <v>0</v>
      </c>
      <c r="AI190" s="20">
        <f t="shared" si="22"/>
        <v>0</v>
      </c>
    </row>
    <row r="191" spans="1:35" ht="20.100000000000001" hidden="1" customHeight="1">
      <c r="A191" s="24" t="str">
        <f>ÖSSZES!$A$91</f>
        <v>Név20</v>
      </c>
      <c r="B191" s="39"/>
      <c r="C191" s="39"/>
      <c r="D191" s="39" t="s">
        <v>2</v>
      </c>
      <c r="E191" s="39" t="s">
        <v>2</v>
      </c>
      <c r="F191" s="39"/>
      <c r="G191" s="39"/>
      <c r="H191" s="39"/>
      <c r="I191" s="39"/>
      <c r="J191" s="39"/>
      <c r="K191" s="39"/>
      <c r="L191" s="39" t="s">
        <v>2</v>
      </c>
      <c r="M191" s="39" t="s">
        <v>2</v>
      </c>
      <c r="N191" s="39"/>
      <c r="O191" s="39"/>
      <c r="P191" s="39"/>
      <c r="Q191" s="39"/>
      <c r="R191" s="39"/>
      <c r="S191" s="39"/>
      <c r="T191" s="39" t="s">
        <v>2</v>
      </c>
      <c r="U191" s="39" t="s">
        <v>2</v>
      </c>
      <c r="V191" s="39"/>
      <c r="W191" s="39"/>
      <c r="X191" s="39"/>
      <c r="Y191" s="39"/>
      <c r="Z191" s="39"/>
      <c r="AA191" s="39"/>
      <c r="AB191" s="39" t="s">
        <v>2</v>
      </c>
      <c r="AC191" s="39" t="s">
        <v>2</v>
      </c>
      <c r="AD191" s="39"/>
      <c r="AE191" s="39"/>
      <c r="AF191" s="39"/>
      <c r="AH191" s="20">
        <f t="shared" si="21"/>
        <v>0</v>
      </c>
      <c r="AI191" s="20">
        <f t="shared" si="22"/>
        <v>0</v>
      </c>
    </row>
    <row r="192" spans="1:35" ht="20.100000000000001" customHeight="1"/>
    <row r="193" spans="1:35" s="11" customFormat="1" ht="20.100000000000001" customHeight="1">
      <c r="A193" s="57" t="s">
        <v>13</v>
      </c>
      <c r="B193" s="23">
        <v>1</v>
      </c>
      <c r="C193" s="23">
        <v>2</v>
      </c>
      <c r="D193" s="23">
        <v>3</v>
      </c>
      <c r="E193" s="23">
        <v>4</v>
      </c>
      <c r="F193" s="23">
        <v>5</v>
      </c>
      <c r="G193" s="23">
        <v>6</v>
      </c>
      <c r="H193" s="23">
        <v>7</v>
      </c>
      <c r="I193" s="23">
        <v>8</v>
      </c>
      <c r="J193" s="23">
        <v>9</v>
      </c>
      <c r="K193" s="23">
        <v>10</v>
      </c>
      <c r="L193" s="23">
        <v>11</v>
      </c>
      <c r="M193" s="23">
        <v>12</v>
      </c>
      <c r="N193" s="23">
        <v>13</v>
      </c>
      <c r="O193" s="23">
        <v>14</v>
      </c>
      <c r="P193" s="23">
        <v>15</v>
      </c>
      <c r="Q193" s="23">
        <v>16</v>
      </c>
      <c r="R193" s="23">
        <v>17</v>
      </c>
      <c r="S193" s="23">
        <v>18</v>
      </c>
      <c r="T193" s="23">
        <v>19</v>
      </c>
      <c r="U193" s="23">
        <v>20</v>
      </c>
      <c r="V193" s="23">
        <v>21</v>
      </c>
      <c r="W193" s="23">
        <v>22</v>
      </c>
      <c r="X193" s="23">
        <v>23</v>
      </c>
      <c r="Y193" s="23">
        <v>24</v>
      </c>
      <c r="Z193" s="23">
        <v>25</v>
      </c>
      <c r="AA193" s="23">
        <v>26</v>
      </c>
      <c r="AB193" s="23">
        <v>27</v>
      </c>
      <c r="AC193" s="23">
        <v>28</v>
      </c>
      <c r="AD193" s="23">
        <v>29</v>
      </c>
      <c r="AE193" s="23">
        <v>30</v>
      </c>
      <c r="AH193" s="59" t="s">
        <v>18</v>
      </c>
      <c r="AI193" s="59" t="s">
        <v>19</v>
      </c>
    </row>
    <row r="194" spans="1:35" ht="20.100000000000001" customHeight="1">
      <c r="A194" s="61"/>
      <c r="B194" s="15" t="str">
        <f>'2021'!B68</f>
        <v>Sze</v>
      </c>
      <c r="C194" s="15" t="str">
        <f>'2021'!C68</f>
        <v>Cs</v>
      </c>
      <c r="D194" s="15" t="str">
        <f>'2021'!D68</f>
        <v>P</v>
      </c>
      <c r="E194" s="15" t="str">
        <f>'2021'!E68</f>
        <v>Szo</v>
      </c>
      <c r="F194" s="15" t="str">
        <f>'2021'!F68</f>
        <v>V</v>
      </c>
      <c r="G194" s="15" t="str">
        <f>'2021'!G68</f>
        <v>H</v>
      </c>
      <c r="H194" s="15" t="str">
        <f>'2021'!H68</f>
        <v>K</v>
      </c>
      <c r="I194" s="15" t="str">
        <f>'2021'!I68</f>
        <v>Sze</v>
      </c>
      <c r="J194" s="15" t="str">
        <f>'2021'!J68</f>
        <v>Cs</v>
      </c>
      <c r="K194" s="15" t="str">
        <f>'2021'!K68</f>
        <v>P</v>
      </c>
      <c r="L194" s="15" t="str">
        <f>'2021'!L68</f>
        <v>Szo</v>
      </c>
      <c r="M194" s="15" t="str">
        <f>'2021'!M68</f>
        <v>V</v>
      </c>
      <c r="N194" s="15" t="str">
        <f>'2021'!N68</f>
        <v>H</v>
      </c>
      <c r="O194" s="15" t="str">
        <f>'2021'!O68</f>
        <v>K</v>
      </c>
      <c r="P194" s="15" t="str">
        <f>'2021'!P68</f>
        <v>Sze</v>
      </c>
      <c r="Q194" s="15" t="str">
        <f>'2021'!Q68</f>
        <v>Cs</v>
      </c>
      <c r="R194" s="15" t="str">
        <f>'2021'!R68</f>
        <v>P</v>
      </c>
      <c r="S194" s="15" t="str">
        <f>'2021'!S68</f>
        <v>Szo</v>
      </c>
      <c r="T194" s="15" t="str">
        <f>'2021'!T68</f>
        <v>V</v>
      </c>
      <c r="U194" s="15" t="str">
        <f>'2021'!U68</f>
        <v>H</v>
      </c>
      <c r="V194" s="15" t="str">
        <f>'2021'!V68</f>
        <v>K</v>
      </c>
      <c r="W194" s="15" t="str">
        <f>'2021'!W68</f>
        <v>Sze</v>
      </c>
      <c r="X194" s="15" t="str">
        <f>'2021'!X68</f>
        <v>Cs</v>
      </c>
      <c r="Y194" s="15" t="str">
        <f>'2021'!Y68</f>
        <v>P</v>
      </c>
      <c r="Z194" s="15" t="str">
        <f>'2021'!Z68</f>
        <v>Szo</v>
      </c>
      <c r="AA194" s="15" t="str">
        <f>'2021'!AA68</f>
        <v>V</v>
      </c>
      <c r="AB194" s="15" t="str">
        <f>'2021'!AB68</f>
        <v>H</v>
      </c>
      <c r="AC194" s="15" t="str">
        <f>'2021'!AC68</f>
        <v>K</v>
      </c>
      <c r="AD194" s="15" t="str">
        <f>'2021'!AD68</f>
        <v>Sze</v>
      </c>
      <c r="AE194" s="15" t="str">
        <f>'2021'!AE68</f>
        <v>Cs</v>
      </c>
      <c r="AF194" s="6"/>
      <c r="AH194" s="60"/>
      <c r="AI194" s="60"/>
    </row>
    <row r="195" spans="1:35" ht="20.100000000000001" customHeight="1">
      <c r="A195" s="61"/>
      <c r="B195" s="15">
        <f>'2021'!B72</f>
        <v>1</v>
      </c>
      <c r="C195" s="15">
        <f>'2021'!C72</f>
        <v>1</v>
      </c>
      <c r="D195" s="15">
        <f>'2021'!D72</f>
        <v>1</v>
      </c>
      <c r="E195" s="15" t="str">
        <f>'2021'!E72</f>
        <v>X</v>
      </c>
      <c r="F195" s="15" t="str">
        <f>'2021'!F72</f>
        <v>X</v>
      </c>
      <c r="G195" s="15">
        <f>'2021'!G72</f>
        <v>3</v>
      </c>
      <c r="H195" s="15">
        <f>'2021'!H72</f>
        <v>3</v>
      </c>
      <c r="I195" s="15">
        <f>'2021'!I72</f>
        <v>3</v>
      </c>
      <c r="J195" s="15">
        <f>'2021'!J72</f>
        <v>3</v>
      </c>
      <c r="K195" s="15">
        <f>'2021'!K72</f>
        <v>3</v>
      </c>
      <c r="L195" s="15">
        <f>'2021'!L72</f>
        <v>3</v>
      </c>
      <c r="M195" s="15" t="str">
        <f>'2021'!M72</f>
        <v>X</v>
      </c>
      <c r="N195" s="15" t="str">
        <f>'2021'!N72</f>
        <v>X</v>
      </c>
      <c r="O195" s="15">
        <f>'2021'!O72</f>
        <v>2</v>
      </c>
      <c r="P195" s="15">
        <f>'2021'!P72</f>
        <v>2</v>
      </c>
      <c r="Q195" s="15">
        <f>'2021'!Q72</f>
        <v>2</v>
      </c>
      <c r="R195" s="15">
        <f>'2021'!R72</f>
        <v>2</v>
      </c>
      <c r="S195" s="15">
        <f>'2021'!S72</f>
        <v>2</v>
      </c>
      <c r="T195" s="15">
        <f>'2021'!T72</f>
        <v>2</v>
      </c>
      <c r="U195" s="15" t="str">
        <f>'2021'!U72</f>
        <v>X</v>
      </c>
      <c r="V195" s="15" t="str">
        <f>'2021'!V72</f>
        <v>X</v>
      </c>
      <c r="W195" s="15">
        <f>'2021'!W72</f>
        <v>1</v>
      </c>
      <c r="X195" s="15">
        <f>'2021'!X72</f>
        <v>1</v>
      </c>
      <c r="Y195" s="15">
        <f>'2021'!Y72</f>
        <v>1</v>
      </c>
      <c r="Z195" s="15">
        <f>'2021'!Z72</f>
        <v>1</v>
      </c>
      <c r="AA195" s="15">
        <f>'2021'!AA72</f>
        <v>1</v>
      </c>
      <c r="AB195" s="15">
        <f>'2021'!AB72</f>
        <v>1</v>
      </c>
      <c r="AC195" s="15" t="str">
        <f>'2021'!AC72</f>
        <v>X</v>
      </c>
      <c r="AD195" s="15" t="str">
        <f>'2021'!AD72</f>
        <v>X</v>
      </c>
      <c r="AE195" s="15">
        <f>'2021'!AE72</f>
        <v>3</v>
      </c>
      <c r="AF195" s="6"/>
      <c r="AH195" s="60"/>
      <c r="AI195" s="60"/>
    </row>
    <row r="196" spans="1:35" ht="20.100000000000001" customHeight="1">
      <c r="A196" s="24" t="str">
        <f>ÖSSZES!$A$72</f>
        <v>Daku Gábor</v>
      </c>
      <c r="B196" s="39">
        <f>[1]D!B92</f>
        <v>0</v>
      </c>
      <c r="C196" s="39">
        <f>[1]D!C92</f>
        <v>0</v>
      </c>
      <c r="D196" s="39">
        <f>[1]D!D92</f>
        <v>0</v>
      </c>
      <c r="E196" s="39" t="str">
        <f>[1]D!E92</f>
        <v>X</v>
      </c>
      <c r="F196" s="39" t="str">
        <f>[1]D!F92</f>
        <v>X</v>
      </c>
      <c r="G196" s="39">
        <f>[1]D!G92</f>
        <v>0</v>
      </c>
      <c r="H196" s="39">
        <f>[1]D!H92</f>
        <v>0</v>
      </c>
      <c r="I196" s="39">
        <f>[1]D!I92</f>
        <v>0</v>
      </c>
      <c r="J196" s="39">
        <f>[1]D!J92</f>
        <v>0</v>
      </c>
      <c r="K196" s="39">
        <f>[1]D!K92</f>
        <v>0</v>
      </c>
      <c r="L196" s="39">
        <f>[1]D!L92</f>
        <v>0</v>
      </c>
      <c r="M196" s="39" t="str">
        <f>[1]D!M92</f>
        <v>X</v>
      </c>
      <c r="N196" s="39" t="str">
        <f>[1]D!N92</f>
        <v>X</v>
      </c>
      <c r="O196" s="39">
        <f>[1]D!O92</f>
        <v>0</v>
      </c>
      <c r="P196" s="39">
        <f>[1]D!P92</f>
        <v>0</v>
      </c>
      <c r="Q196" s="39">
        <f>[1]D!Q92</f>
        <v>0</v>
      </c>
      <c r="R196" s="39">
        <f>[1]D!R92</f>
        <v>0</v>
      </c>
      <c r="S196" s="39">
        <f>[1]D!S92</f>
        <v>0</v>
      </c>
      <c r="T196" s="39">
        <f>[1]D!T92</f>
        <v>0</v>
      </c>
      <c r="U196" s="39" t="str">
        <f>[1]D!U92</f>
        <v>X</v>
      </c>
      <c r="V196" s="39" t="str">
        <f>[1]D!V92</f>
        <v>X</v>
      </c>
      <c r="W196" s="39">
        <f>[1]D!W92</f>
        <v>0</v>
      </c>
      <c r="X196" s="39">
        <f>[1]D!X92</f>
        <v>0</v>
      </c>
      <c r="Y196" s="39">
        <f>[1]D!Y92</f>
        <v>0</v>
      </c>
      <c r="Z196" s="39">
        <f>[1]D!Z92</f>
        <v>0</v>
      </c>
      <c r="AA196" s="39">
        <f>[1]D!AA92</f>
        <v>0</v>
      </c>
      <c r="AB196" s="39">
        <f>[1]D!AB92</f>
        <v>0</v>
      </c>
      <c r="AC196" s="39" t="str">
        <f>[1]D!AC92</f>
        <v>X</v>
      </c>
      <c r="AD196" s="39" t="str">
        <f>[1]D!AD92</f>
        <v>X</v>
      </c>
      <c r="AE196" s="39">
        <f>[1]D!AE92</f>
        <v>0</v>
      </c>
      <c r="AF196" s="6"/>
      <c r="AH196" s="20">
        <f>1*COUNTIF(A196:AF196,"+")</f>
        <v>0</v>
      </c>
      <c r="AI196" s="20">
        <f t="shared" ref="AI196" si="23">1*COUNTIF(B196:AF196,"szf")</f>
        <v>0</v>
      </c>
    </row>
    <row r="197" spans="1:35" ht="20.100000000000001" customHeight="1">
      <c r="A197" s="24" t="str">
        <f>ÖSSZES!$A$73</f>
        <v>Borbély Csaba</v>
      </c>
      <c r="B197" s="39">
        <f>[1]D!B93</f>
        <v>0</v>
      </c>
      <c r="C197" s="39">
        <f>[1]D!C93</f>
        <v>0</v>
      </c>
      <c r="D197" s="39">
        <f>[1]D!D93</f>
        <v>0</v>
      </c>
      <c r="E197" s="39" t="str">
        <f>[1]D!E93</f>
        <v>X</v>
      </c>
      <c r="F197" s="39" t="str">
        <f>[1]D!F93</f>
        <v>X</v>
      </c>
      <c r="G197" s="39">
        <f>[1]D!G93</f>
        <v>0</v>
      </c>
      <c r="H197" s="39">
        <f>[1]D!H93</f>
        <v>0</v>
      </c>
      <c r="I197" s="39">
        <f>[1]D!I93</f>
        <v>0</v>
      </c>
      <c r="J197" s="39">
        <f>[1]D!J93</f>
        <v>0</v>
      </c>
      <c r="K197" s="39">
        <f>[1]D!K93</f>
        <v>0</v>
      </c>
      <c r="L197" s="39">
        <f>[1]D!L93</f>
        <v>0</v>
      </c>
      <c r="M197" s="39" t="str">
        <f>[1]D!M93</f>
        <v>X</v>
      </c>
      <c r="N197" s="39" t="str">
        <f>[1]D!N93</f>
        <v>X</v>
      </c>
      <c r="O197" s="39">
        <f>[1]D!O93</f>
        <v>0</v>
      </c>
      <c r="P197" s="39">
        <f>[1]D!P93</f>
        <v>0</v>
      </c>
      <c r="Q197" s="39">
        <f>[1]D!Q93</f>
        <v>0</v>
      </c>
      <c r="R197" s="39">
        <f>[1]D!R93</f>
        <v>0</v>
      </c>
      <c r="S197" s="39">
        <f>[1]D!S93</f>
        <v>0</v>
      </c>
      <c r="T197" s="39">
        <f>[1]D!T93</f>
        <v>0</v>
      </c>
      <c r="U197" s="39" t="str">
        <f>[1]D!U93</f>
        <v>X</v>
      </c>
      <c r="V197" s="39" t="str">
        <f>[1]D!V93</f>
        <v>X</v>
      </c>
      <c r="W197" s="39">
        <f>[1]D!W93</f>
        <v>0</v>
      </c>
      <c r="X197" s="39">
        <f>[1]D!X93</f>
        <v>0</v>
      </c>
      <c r="Y197" s="39">
        <f>[1]D!Y93</f>
        <v>0</v>
      </c>
      <c r="Z197" s="39">
        <f>[1]D!Z93</f>
        <v>0</v>
      </c>
      <c r="AA197" s="39">
        <f>[1]D!AA93</f>
        <v>0</v>
      </c>
      <c r="AB197" s="39">
        <f>[1]D!AB93</f>
        <v>0</v>
      </c>
      <c r="AC197" s="39" t="str">
        <f>[1]D!AC93</f>
        <v>X</v>
      </c>
      <c r="AD197" s="39" t="str">
        <f>[1]D!AD93</f>
        <v>X</v>
      </c>
      <c r="AE197" s="39">
        <f>[1]D!AE93</f>
        <v>0</v>
      </c>
      <c r="AF197" s="6"/>
      <c r="AH197" s="20">
        <f t="shared" ref="AH197:AH215" si="24">1*COUNTIF(A197:AF197,"+")</f>
        <v>0</v>
      </c>
      <c r="AI197" s="20">
        <f t="shared" ref="AI197:AI215" si="25">1*COUNTIF(B197:AF197,"szf")</f>
        <v>0</v>
      </c>
    </row>
    <row r="198" spans="1:35" ht="20.100000000000001" customHeight="1">
      <c r="A198" s="24" t="str">
        <f>ÖSSZES!$A$74</f>
        <v>Erdei Bálint</v>
      </c>
      <c r="B198" s="39">
        <f>[1]D!B94</f>
        <v>0</v>
      </c>
      <c r="C198" s="39">
        <f>[1]D!C94</f>
        <v>0</v>
      </c>
      <c r="D198" s="39">
        <f>[1]D!D94</f>
        <v>0</v>
      </c>
      <c r="E198" s="39" t="str">
        <f>[1]D!E94</f>
        <v>X</v>
      </c>
      <c r="F198" s="39" t="str">
        <f>[1]D!F94</f>
        <v>X</v>
      </c>
      <c r="G198" s="39">
        <f>[1]D!G94</f>
        <v>0</v>
      </c>
      <c r="H198" s="39">
        <f>[1]D!H94</f>
        <v>0</v>
      </c>
      <c r="I198" s="39">
        <f>[1]D!I94</f>
        <v>0</v>
      </c>
      <c r="J198" s="39">
        <f>[1]D!J94</f>
        <v>0</v>
      </c>
      <c r="K198" s="39">
        <f>[1]D!K94</f>
        <v>0</v>
      </c>
      <c r="L198" s="39">
        <f>[1]D!L94</f>
        <v>0</v>
      </c>
      <c r="M198" s="39" t="str">
        <f>[1]D!M94</f>
        <v>X</v>
      </c>
      <c r="N198" s="39" t="str">
        <f>[1]D!N94</f>
        <v>X</v>
      </c>
      <c r="O198" s="39">
        <f>[1]D!O94</f>
        <v>0</v>
      </c>
      <c r="P198" s="39">
        <f>[1]D!P94</f>
        <v>0</v>
      </c>
      <c r="Q198" s="39">
        <f>[1]D!Q94</f>
        <v>0</v>
      </c>
      <c r="R198" s="39">
        <f>[1]D!R94</f>
        <v>0</v>
      </c>
      <c r="S198" s="39">
        <f>[1]D!S94</f>
        <v>0</v>
      </c>
      <c r="T198" s="39">
        <f>[1]D!T94</f>
        <v>0</v>
      </c>
      <c r="U198" s="39" t="str">
        <f>[1]D!U94</f>
        <v>X</v>
      </c>
      <c r="V198" s="39" t="str">
        <f>[1]D!V94</f>
        <v>X</v>
      </c>
      <c r="W198" s="39">
        <f>[1]D!W94</f>
        <v>0</v>
      </c>
      <c r="X198" s="39">
        <f>[1]D!X94</f>
        <v>0</v>
      </c>
      <c r="Y198" s="39">
        <f>[1]D!Y94</f>
        <v>0</v>
      </c>
      <c r="Z198" s="39">
        <f>[1]D!Z94</f>
        <v>0</v>
      </c>
      <c r="AA198" s="39">
        <f>[1]D!AA94</f>
        <v>0</v>
      </c>
      <c r="AB198" s="39">
        <f>[1]D!AB94</f>
        <v>0</v>
      </c>
      <c r="AC198" s="39" t="str">
        <f>[1]D!AC94</f>
        <v>X</v>
      </c>
      <c r="AD198" s="39" t="str">
        <f>[1]D!AD94</f>
        <v>X</v>
      </c>
      <c r="AE198" s="39">
        <f>[1]D!AE94</f>
        <v>0</v>
      </c>
      <c r="AF198" s="6"/>
      <c r="AH198" s="20">
        <f t="shared" si="24"/>
        <v>0</v>
      </c>
      <c r="AI198" s="20">
        <f t="shared" si="25"/>
        <v>0</v>
      </c>
    </row>
    <row r="199" spans="1:35" ht="20.100000000000001" customHeight="1">
      <c r="A199" s="24" t="str">
        <f>ÖSSZES!$A$75</f>
        <v>Fábián Gábor</v>
      </c>
      <c r="B199" s="39">
        <f>[1]D!B95</f>
        <v>0</v>
      </c>
      <c r="C199" s="39">
        <f>[1]D!C95</f>
        <v>0</v>
      </c>
      <c r="D199" s="39">
        <f>[1]D!D95</f>
        <v>0</v>
      </c>
      <c r="E199" s="39" t="str">
        <f>[1]D!E95</f>
        <v>X</v>
      </c>
      <c r="F199" s="39" t="str">
        <f>[1]D!F95</f>
        <v>X</v>
      </c>
      <c r="G199" s="39">
        <f>[1]D!G95</f>
        <v>0</v>
      </c>
      <c r="H199" s="39">
        <f>[1]D!H95</f>
        <v>0</v>
      </c>
      <c r="I199" s="39">
        <f>[1]D!I95</f>
        <v>0</v>
      </c>
      <c r="J199" s="39">
        <f>[1]D!J95</f>
        <v>0</v>
      </c>
      <c r="K199" s="39">
        <f>[1]D!K95</f>
        <v>0</v>
      </c>
      <c r="L199" s="39">
        <f>[1]D!L95</f>
        <v>0</v>
      </c>
      <c r="M199" s="39" t="str">
        <f>[1]D!M95</f>
        <v>X</v>
      </c>
      <c r="N199" s="39" t="str">
        <f>[1]D!N95</f>
        <v>X</v>
      </c>
      <c r="O199" s="39">
        <f>[1]D!O95</f>
        <v>0</v>
      </c>
      <c r="P199" s="39">
        <f>[1]D!P95</f>
        <v>0</v>
      </c>
      <c r="Q199" s="39">
        <f>[1]D!Q95</f>
        <v>0</v>
      </c>
      <c r="R199" s="39">
        <f>[1]D!R95</f>
        <v>0</v>
      </c>
      <c r="S199" s="39">
        <f>[1]D!S95</f>
        <v>0</v>
      </c>
      <c r="T199" s="39">
        <f>[1]D!T95</f>
        <v>0</v>
      </c>
      <c r="U199" s="39" t="str">
        <f>[1]D!U95</f>
        <v>X</v>
      </c>
      <c r="V199" s="39" t="str">
        <f>[1]D!V95</f>
        <v>X</v>
      </c>
      <c r="W199" s="39">
        <f>[1]D!W95</f>
        <v>0</v>
      </c>
      <c r="X199" s="39">
        <f>[1]D!X95</f>
        <v>0</v>
      </c>
      <c r="Y199" s="39">
        <f>[1]D!Y95</f>
        <v>0</v>
      </c>
      <c r="Z199" s="39">
        <f>[1]D!Z95</f>
        <v>0</v>
      </c>
      <c r="AA199" s="39">
        <f>[1]D!AA95</f>
        <v>0</v>
      </c>
      <c r="AB199" s="39">
        <f>[1]D!AB95</f>
        <v>0</v>
      </c>
      <c r="AC199" s="39" t="str">
        <f>[1]D!AC95</f>
        <v>X</v>
      </c>
      <c r="AD199" s="39" t="str">
        <f>[1]D!AD95</f>
        <v>X</v>
      </c>
      <c r="AE199" s="39">
        <f>[1]D!AE95</f>
        <v>0</v>
      </c>
      <c r="AF199" s="6"/>
      <c r="AH199" s="20">
        <f t="shared" si="24"/>
        <v>0</v>
      </c>
      <c r="AI199" s="20">
        <f t="shared" si="25"/>
        <v>0</v>
      </c>
    </row>
    <row r="200" spans="1:35" ht="20.100000000000001" customHeight="1">
      <c r="A200" s="24" t="str">
        <f>ÖSSZES!$A$76</f>
        <v>Gellei Zsolt</v>
      </c>
      <c r="B200" s="39">
        <f>[1]D!B96</f>
        <v>0</v>
      </c>
      <c r="C200" s="39">
        <f>[1]D!C96</f>
        <v>0</v>
      </c>
      <c r="D200" s="39">
        <f>[1]D!D96</f>
        <v>0</v>
      </c>
      <c r="E200" s="39" t="str">
        <f>[1]D!E96</f>
        <v>X</v>
      </c>
      <c r="F200" s="39" t="str">
        <f>[1]D!F96</f>
        <v>X</v>
      </c>
      <c r="G200" s="39">
        <f>[1]D!G96</f>
        <v>0</v>
      </c>
      <c r="H200" s="39">
        <f>[1]D!H96</f>
        <v>0</v>
      </c>
      <c r="I200" s="39">
        <f>[1]D!I96</f>
        <v>0</v>
      </c>
      <c r="J200" s="39">
        <f>[1]D!J96</f>
        <v>0</v>
      </c>
      <c r="K200" s="39">
        <f>[1]D!K96</f>
        <v>0</v>
      </c>
      <c r="L200" s="39">
        <f>[1]D!L96</f>
        <v>0</v>
      </c>
      <c r="M200" s="39" t="str">
        <f>[1]D!M96</f>
        <v>X</v>
      </c>
      <c r="N200" s="39" t="str">
        <f>[1]D!N96</f>
        <v>X</v>
      </c>
      <c r="O200" s="39">
        <f>[1]D!O96</f>
        <v>0</v>
      </c>
      <c r="P200" s="39">
        <f>[1]D!P96</f>
        <v>0</v>
      </c>
      <c r="Q200" s="39">
        <f>[1]D!Q96</f>
        <v>0</v>
      </c>
      <c r="R200" s="39">
        <f>[1]D!R96</f>
        <v>0</v>
      </c>
      <c r="S200" s="39">
        <f>[1]D!S96</f>
        <v>0</v>
      </c>
      <c r="T200" s="39">
        <f>[1]D!T96</f>
        <v>0</v>
      </c>
      <c r="U200" s="39" t="str">
        <f>[1]D!U96</f>
        <v>X</v>
      </c>
      <c r="V200" s="39" t="str">
        <f>[1]D!V96</f>
        <v>X</v>
      </c>
      <c r="W200" s="39">
        <f>[1]D!W96</f>
        <v>0</v>
      </c>
      <c r="X200" s="39">
        <f>[1]D!X96</f>
        <v>0</v>
      </c>
      <c r="Y200" s="39">
        <f>[1]D!Y96</f>
        <v>0</v>
      </c>
      <c r="Z200" s="39">
        <f>[1]D!Z96</f>
        <v>0</v>
      </c>
      <c r="AA200" s="39">
        <f>[1]D!AA96</f>
        <v>0</v>
      </c>
      <c r="AB200" s="39">
        <f>[1]D!AB96</f>
        <v>0</v>
      </c>
      <c r="AC200" s="39" t="str">
        <f>[1]D!AC96</f>
        <v>X</v>
      </c>
      <c r="AD200" s="39" t="str">
        <f>[1]D!AD96</f>
        <v>X</v>
      </c>
      <c r="AE200" s="39">
        <f>[1]D!AE96</f>
        <v>0</v>
      </c>
      <c r="AF200" s="6"/>
      <c r="AH200" s="20">
        <f t="shared" si="24"/>
        <v>0</v>
      </c>
      <c r="AI200" s="20">
        <f t="shared" si="25"/>
        <v>0</v>
      </c>
    </row>
    <row r="201" spans="1:35" ht="20.100000000000001" customHeight="1">
      <c r="A201" s="24" t="str">
        <f>ÖSSZES!$A$77</f>
        <v>Kiss Gyula</v>
      </c>
      <c r="B201" s="39">
        <f>[1]D!B97</f>
        <v>0</v>
      </c>
      <c r="C201" s="39">
        <f>[1]D!C97</f>
        <v>0</v>
      </c>
      <c r="D201" s="39">
        <f>[1]D!D97</f>
        <v>0</v>
      </c>
      <c r="E201" s="39" t="str">
        <f>[1]D!E97</f>
        <v>X</v>
      </c>
      <c r="F201" s="39" t="str">
        <f>[1]D!F97</f>
        <v>X</v>
      </c>
      <c r="G201" s="39">
        <f>[1]D!G97</f>
        <v>0</v>
      </c>
      <c r="H201" s="39">
        <f>[1]D!H97</f>
        <v>0</v>
      </c>
      <c r="I201" s="39">
        <f>[1]D!I97</f>
        <v>0</v>
      </c>
      <c r="J201" s="39">
        <f>[1]D!J97</f>
        <v>0</v>
      </c>
      <c r="K201" s="39">
        <f>[1]D!K97</f>
        <v>0</v>
      </c>
      <c r="L201" s="39">
        <f>[1]D!L97</f>
        <v>0</v>
      </c>
      <c r="M201" s="39" t="str">
        <f>[1]D!M97</f>
        <v>X</v>
      </c>
      <c r="N201" s="39" t="str">
        <f>[1]D!N97</f>
        <v>X</v>
      </c>
      <c r="O201" s="39">
        <f>[1]D!O97</f>
        <v>0</v>
      </c>
      <c r="P201" s="39">
        <f>[1]D!P97</f>
        <v>0</v>
      </c>
      <c r="Q201" s="39">
        <f>[1]D!Q97</f>
        <v>0</v>
      </c>
      <c r="R201" s="39">
        <f>[1]D!R97</f>
        <v>0</v>
      </c>
      <c r="S201" s="39">
        <f>[1]D!S97</f>
        <v>0</v>
      </c>
      <c r="T201" s="39">
        <f>[1]D!T97</f>
        <v>0</v>
      </c>
      <c r="U201" s="39" t="str">
        <f>[1]D!U97</f>
        <v>X</v>
      </c>
      <c r="V201" s="39" t="str">
        <f>[1]D!V97</f>
        <v>X</v>
      </c>
      <c r="W201" s="39">
        <f>[1]D!W97</f>
        <v>0</v>
      </c>
      <c r="X201" s="39">
        <f>[1]D!X97</f>
        <v>0</v>
      </c>
      <c r="Y201" s="39">
        <f>[1]D!Y97</f>
        <v>0</v>
      </c>
      <c r="Z201" s="39">
        <f>[1]D!Z97</f>
        <v>0</v>
      </c>
      <c r="AA201" s="39">
        <f>[1]D!AA97</f>
        <v>0</v>
      </c>
      <c r="AB201" s="39">
        <f>[1]D!AB97</f>
        <v>0</v>
      </c>
      <c r="AC201" s="39" t="str">
        <f>[1]D!AC97</f>
        <v>X</v>
      </c>
      <c r="AD201" s="39" t="str">
        <f>[1]D!AD97</f>
        <v>X</v>
      </c>
      <c r="AE201" s="39">
        <f>[1]D!AE97</f>
        <v>0</v>
      </c>
      <c r="AF201" s="6"/>
      <c r="AH201" s="20">
        <f t="shared" si="24"/>
        <v>0</v>
      </c>
      <c r="AI201" s="20">
        <f t="shared" si="25"/>
        <v>0</v>
      </c>
    </row>
    <row r="202" spans="1:35" ht="20.100000000000001" customHeight="1">
      <c r="A202" s="24" t="str">
        <f>ÖSSZES!$A$78</f>
        <v>Nagy István</v>
      </c>
      <c r="B202" s="39">
        <f>[1]D!B98</f>
        <v>0</v>
      </c>
      <c r="C202" s="39">
        <f>[1]D!C98</f>
        <v>0</v>
      </c>
      <c r="D202" s="39">
        <f>[1]D!D98</f>
        <v>0</v>
      </c>
      <c r="E202" s="39" t="str">
        <f>[1]D!E98</f>
        <v>X</v>
      </c>
      <c r="F202" s="39" t="str">
        <f>[1]D!F98</f>
        <v>X</v>
      </c>
      <c r="G202" s="39">
        <f>[1]D!G98</f>
        <v>0</v>
      </c>
      <c r="H202" s="39">
        <f>[1]D!H98</f>
        <v>0</v>
      </c>
      <c r="I202" s="39">
        <f>[1]D!I98</f>
        <v>0</v>
      </c>
      <c r="J202" s="39">
        <f>[1]D!J98</f>
        <v>0</v>
      </c>
      <c r="K202" s="39">
        <f>[1]D!K98</f>
        <v>0</v>
      </c>
      <c r="L202" s="39">
        <f>[1]D!L98</f>
        <v>0</v>
      </c>
      <c r="M202" s="39" t="str">
        <f>[1]D!M98</f>
        <v>X</v>
      </c>
      <c r="N202" s="39" t="str">
        <f>[1]D!N98</f>
        <v>X</v>
      </c>
      <c r="O202" s="39">
        <f>[1]D!O98</f>
        <v>0</v>
      </c>
      <c r="P202" s="39">
        <f>[1]D!P98</f>
        <v>0</v>
      </c>
      <c r="Q202" s="39">
        <f>[1]D!Q98</f>
        <v>0</v>
      </c>
      <c r="R202" s="39">
        <f>[1]D!R98</f>
        <v>0</v>
      </c>
      <c r="S202" s="39">
        <f>[1]D!S98</f>
        <v>0</v>
      </c>
      <c r="T202" s="39">
        <f>[1]D!T98</f>
        <v>0</v>
      </c>
      <c r="U202" s="39" t="str">
        <f>[1]D!U98</f>
        <v>X</v>
      </c>
      <c r="V202" s="39" t="str">
        <f>[1]D!V98</f>
        <v>X</v>
      </c>
      <c r="W202" s="39">
        <f>[1]D!W98</f>
        <v>0</v>
      </c>
      <c r="X202" s="39">
        <f>[1]D!X98</f>
        <v>0</v>
      </c>
      <c r="Y202" s="39">
        <f>[1]D!Y98</f>
        <v>0</v>
      </c>
      <c r="Z202" s="39">
        <f>[1]D!Z98</f>
        <v>0</v>
      </c>
      <c r="AA202" s="39">
        <f>[1]D!AA98</f>
        <v>0</v>
      </c>
      <c r="AB202" s="39">
        <f>[1]D!AB98</f>
        <v>0</v>
      </c>
      <c r="AC202" s="39" t="str">
        <f>[1]D!AC98</f>
        <v>X</v>
      </c>
      <c r="AD202" s="39" t="str">
        <f>[1]D!AD98</f>
        <v>X</v>
      </c>
      <c r="AE202" s="39">
        <f>[1]D!AE98</f>
        <v>0</v>
      </c>
      <c r="AF202" s="6"/>
      <c r="AH202" s="20">
        <f t="shared" si="24"/>
        <v>0</v>
      </c>
      <c r="AI202" s="20">
        <f t="shared" si="25"/>
        <v>0</v>
      </c>
    </row>
    <row r="203" spans="1:35" ht="20.100000000000001" hidden="1" customHeight="1">
      <c r="A203" s="24" t="str">
        <f>ÖSSZES!$A$79</f>
        <v>Név8</v>
      </c>
      <c r="B203" s="39"/>
      <c r="C203" s="39"/>
      <c r="D203" s="39"/>
      <c r="E203" s="39" t="s">
        <v>2</v>
      </c>
      <c r="F203" s="39" t="s">
        <v>2</v>
      </c>
      <c r="G203" s="39"/>
      <c r="H203" s="39"/>
      <c r="I203" s="39"/>
      <c r="J203" s="39"/>
      <c r="K203" s="39"/>
      <c r="L203" s="39"/>
      <c r="M203" s="39" t="s">
        <v>2</v>
      </c>
      <c r="N203" s="39" t="s">
        <v>2</v>
      </c>
      <c r="O203" s="39"/>
      <c r="P203" s="39"/>
      <c r="Q203" s="39"/>
      <c r="R203" s="39"/>
      <c r="S203" s="39"/>
      <c r="T203" s="39"/>
      <c r="U203" s="39" t="s">
        <v>2</v>
      </c>
      <c r="V203" s="39" t="s">
        <v>2</v>
      </c>
      <c r="W203" s="39"/>
      <c r="X203" s="39"/>
      <c r="Y203" s="39"/>
      <c r="Z203" s="39"/>
      <c r="AA203" s="39"/>
      <c r="AB203" s="39"/>
      <c r="AC203" s="39" t="s">
        <v>2</v>
      </c>
      <c r="AD203" s="39" t="s">
        <v>2</v>
      </c>
      <c r="AE203" s="39"/>
      <c r="AF203" s="6"/>
      <c r="AH203" s="20">
        <f t="shared" si="24"/>
        <v>0</v>
      </c>
      <c r="AI203" s="20">
        <f t="shared" si="25"/>
        <v>0</v>
      </c>
    </row>
    <row r="204" spans="1:35" ht="20.100000000000001" hidden="1" customHeight="1">
      <c r="A204" s="24" t="str">
        <f>ÖSSZES!$A$80</f>
        <v>Név9</v>
      </c>
      <c r="B204" s="39"/>
      <c r="C204" s="39"/>
      <c r="D204" s="39"/>
      <c r="E204" s="39" t="s">
        <v>2</v>
      </c>
      <c r="F204" s="39" t="s">
        <v>2</v>
      </c>
      <c r="G204" s="39"/>
      <c r="H204" s="39"/>
      <c r="I204" s="39"/>
      <c r="J204" s="39"/>
      <c r="K204" s="39"/>
      <c r="L204" s="39"/>
      <c r="M204" s="39" t="s">
        <v>2</v>
      </c>
      <c r="N204" s="39" t="s">
        <v>2</v>
      </c>
      <c r="O204" s="39"/>
      <c r="P204" s="39"/>
      <c r="Q204" s="39"/>
      <c r="R204" s="39"/>
      <c r="S204" s="39"/>
      <c r="T204" s="39"/>
      <c r="U204" s="39" t="s">
        <v>2</v>
      </c>
      <c r="V204" s="39" t="s">
        <v>2</v>
      </c>
      <c r="W204" s="39"/>
      <c r="X204" s="39"/>
      <c r="Y204" s="39"/>
      <c r="Z204" s="39"/>
      <c r="AA204" s="39"/>
      <c r="AB204" s="39"/>
      <c r="AC204" s="39" t="s">
        <v>2</v>
      </c>
      <c r="AD204" s="39" t="s">
        <v>2</v>
      </c>
      <c r="AE204" s="39"/>
      <c r="AF204" s="6"/>
      <c r="AH204" s="20">
        <f t="shared" si="24"/>
        <v>0</v>
      </c>
      <c r="AI204" s="20">
        <f t="shared" si="25"/>
        <v>0</v>
      </c>
    </row>
    <row r="205" spans="1:35" ht="20.100000000000001" hidden="1" customHeight="1">
      <c r="A205" s="24" t="str">
        <f>ÖSSZES!$A$81</f>
        <v>Név10</v>
      </c>
      <c r="B205" s="39"/>
      <c r="C205" s="39"/>
      <c r="D205" s="39"/>
      <c r="E205" s="39" t="s">
        <v>2</v>
      </c>
      <c r="F205" s="39" t="s">
        <v>2</v>
      </c>
      <c r="G205" s="39"/>
      <c r="H205" s="39"/>
      <c r="I205" s="39"/>
      <c r="J205" s="39"/>
      <c r="K205" s="39"/>
      <c r="L205" s="39"/>
      <c r="M205" s="39" t="s">
        <v>2</v>
      </c>
      <c r="N205" s="39" t="s">
        <v>2</v>
      </c>
      <c r="O205" s="39"/>
      <c r="P205" s="39"/>
      <c r="Q205" s="39"/>
      <c r="R205" s="39"/>
      <c r="S205" s="39"/>
      <c r="T205" s="39"/>
      <c r="U205" s="39" t="s">
        <v>2</v>
      </c>
      <c r="V205" s="39" t="s">
        <v>2</v>
      </c>
      <c r="W205" s="39"/>
      <c r="X205" s="39"/>
      <c r="Y205" s="39"/>
      <c r="Z205" s="39"/>
      <c r="AA205" s="39"/>
      <c r="AB205" s="39"/>
      <c r="AC205" s="39" t="s">
        <v>2</v>
      </c>
      <c r="AD205" s="39" t="s">
        <v>2</v>
      </c>
      <c r="AE205" s="39"/>
      <c r="AF205" s="6"/>
      <c r="AH205" s="20">
        <f t="shared" si="24"/>
        <v>0</v>
      </c>
      <c r="AI205" s="20">
        <f t="shared" si="25"/>
        <v>0</v>
      </c>
    </row>
    <row r="206" spans="1:35" ht="20.100000000000001" hidden="1" customHeight="1">
      <c r="A206" s="24" t="str">
        <f>ÖSSZES!$A$82</f>
        <v>Név11</v>
      </c>
      <c r="B206" s="39"/>
      <c r="C206" s="39"/>
      <c r="D206" s="39"/>
      <c r="E206" s="39" t="s">
        <v>2</v>
      </c>
      <c r="F206" s="39" t="s">
        <v>2</v>
      </c>
      <c r="G206" s="39"/>
      <c r="H206" s="39"/>
      <c r="I206" s="39"/>
      <c r="J206" s="39"/>
      <c r="K206" s="39"/>
      <c r="L206" s="39"/>
      <c r="M206" s="39" t="s">
        <v>2</v>
      </c>
      <c r="N206" s="39" t="s">
        <v>2</v>
      </c>
      <c r="O206" s="39"/>
      <c r="P206" s="39"/>
      <c r="Q206" s="39"/>
      <c r="R206" s="39"/>
      <c r="S206" s="39"/>
      <c r="T206" s="39"/>
      <c r="U206" s="39" t="s">
        <v>2</v>
      </c>
      <c r="V206" s="39" t="s">
        <v>2</v>
      </c>
      <c r="W206" s="39"/>
      <c r="X206" s="39"/>
      <c r="Y206" s="39"/>
      <c r="Z206" s="39"/>
      <c r="AA206" s="39"/>
      <c r="AB206" s="39"/>
      <c r="AC206" s="39" t="s">
        <v>2</v>
      </c>
      <c r="AD206" s="39" t="s">
        <v>2</v>
      </c>
      <c r="AE206" s="39"/>
      <c r="AF206" s="6"/>
      <c r="AH206" s="20">
        <f t="shared" si="24"/>
        <v>0</v>
      </c>
      <c r="AI206" s="20">
        <f t="shared" si="25"/>
        <v>0</v>
      </c>
    </row>
    <row r="207" spans="1:35" ht="20.100000000000001" hidden="1" customHeight="1">
      <c r="A207" s="24" t="str">
        <f>ÖSSZES!$A$83</f>
        <v>Név12</v>
      </c>
      <c r="B207" s="39"/>
      <c r="C207" s="39"/>
      <c r="D207" s="39"/>
      <c r="E207" s="39" t="s">
        <v>2</v>
      </c>
      <c r="F207" s="39" t="s">
        <v>2</v>
      </c>
      <c r="G207" s="39"/>
      <c r="H207" s="39"/>
      <c r="I207" s="39"/>
      <c r="J207" s="39"/>
      <c r="K207" s="39"/>
      <c r="L207" s="39"/>
      <c r="M207" s="39" t="s">
        <v>2</v>
      </c>
      <c r="N207" s="39" t="s">
        <v>2</v>
      </c>
      <c r="O207" s="39"/>
      <c r="P207" s="39"/>
      <c r="Q207" s="39"/>
      <c r="R207" s="39"/>
      <c r="S207" s="39"/>
      <c r="T207" s="39"/>
      <c r="U207" s="39" t="s">
        <v>2</v>
      </c>
      <c r="V207" s="39" t="s">
        <v>2</v>
      </c>
      <c r="W207" s="39"/>
      <c r="X207" s="39"/>
      <c r="Y207" s="39"/>
      <c r="Z207" s="39"/>
      <c r="AA207" s="39"/>
      <c r="AB207" s="39"/>
      <c r="AC207" s="39" t="s">
        <v>2</v>
      </c>
      <c r="AD207" s="39" t="s">
        <v>2</v>
      </c>
      <c r="AE207" s="39"/>
      <c r="AF207" s="6"/>
      <c r="AH207" s="20">
        <f t="shared" si="24"/>
        <v>0</v>
      </c>
      <c r="AI207" s="20">
        <f t="shared" si="25"/>
        <v>0</v>
      </c>
    </row>
    <row r="208" spans="1:35" ht="20.100000000000001" hidden="1" customHeight="1">
      <c r="A208" s="24" t="str">
        <f>ÖSSZES!$A$84</f>
        <v>Név13</v>
      </c>
      <c r="B208" s="39"/>
      <c r="C208" s="39"/>
      <c r="D208" s="39"/>
      <c r="E208" s="39" t="s">
        <v>2</v>
      </c>
      <c r="F208" s="39" t="s">
        <v>2</v>
      </c>
      <c r="G208" s="39"/>
      <c r="H208" s="39"/>
      <c r="I208" s="39"/>
      <c r="J208" s="39"/>
      <c r="K208" s="39"/>
      <c r="L208" s="39"/>
      <c r="M208" s="39" t="s">
        <v>2</v>
      </c>
      <c r="N208" s="39" t="s">
        <v>2</v>
      </c>
      <c r="O208" s="39"/>
      <c r="P208" s="39"/>
      <c r="Q208" s="39"/>
      <c r="R208" s="39"/>
      <c r="S208" s="39"/>
      <c r="T208" s="39"/>
      <c r="U208" s="39" t="s">
        <v>2</v>
      </c>
      <c r="V208" s="39" t="s">
        <v>2</v>
      </c>
      <c r="W208" s="39"/>
      <c r="X208" s="39"/>
      <c r="Y208" s="39"/>
      <c r="Z208" s="39"/>
      <c r="AA208" s="39"/>
      <c r="AB208" s="39"/>
      <c r="AC208" s="39" t="s">
        <v>2</v>
      </c>
      <c r="AD208" s="39" t="s">
        <v>2</v>
      </c>
      <c r="AE208" s="39"/>
      <c r="AF208" s="6"/>
      <c r="AH208" s="20">
        <f t="shared" si="24"/>
        <v>0</v>
      </c>
      <c r="AI208" s="20">
        <f t="shared" si="25"/>
        <v>0</v>
      </c>
    </row>
    <row r="209" spans="1:35" ht="20.100000000000001" hidden="1" customHeight="1">
      <c r="A209" s="24" t="str">
        <f>ÖSSZES!$A$85</f>
        <v>Név14</v>
      </c>
      <c r="B209" s="39"/>
      <c r="C209" s="39"/>
      <c r="D209" s="39"/>
      <c r="E209" s="39" t="s">
        <v>2</v>
      </c>
      <c r="F209" s="39" t="s">
        <v>2</v>
      </c>
      <c r="G209" s="39"/>
      <c r="H209" s="39"/>
      <c r="I209" s="39"/>
      <c r="J209" s="39"/>
      <c r="K209" s="39"/>
      <c r="L209" s="39"/>
      <c r="M209" s="39" t="s">
        <v>2</v>
      </c>
      <c r="N209" s="39" t="s">
        <v>2</v>
      </c>
      <c r="O209" s="39"/>
      <c r="P209" s="39"/>
      <c r="Q209" s="39"/>
      <c r="R209" s="39"/>
      <c r="S209" s="39"/>
      <c r="T209" s="39"/>
      <c r="U209" s="39" t="s">
        <v>2</v>
      </c>
      <c r="V209" s="39" t="s">
        <v>2</v>
      </c>
      <c r="W209" s="39"/>
      <c r="X209" s="39"/>
      <c r="Y209" s="39"/>
      <c r="Z209" s="39"/>
      <c r="AA209" s="39"/>
      <c r="AB209" s="39"/>
      <c r="AC209" s="39" t="s">
        <v>2</v>
      </c>
      <c r="AD209" s="39" t="s">
        <v>2</v>
      </c>
      <c r="AE209" s="39"/>
      <c r="AF209" s="6"/>
      <c r="AH209" s="20">
        <f t="shared" si="24"/>
        <v>0</v>
      </c>
      <c r="AI209" s="20">
        <f t="shared" si="25"/>
        <v>0</v>
      </c>
    </row>
    <row r="210" spans="1:35" ht="20.100000000000001" hidden="1" customHeight="1">
      <c r="A210" s="24" t="str">
        <f>ÖSSZES!$A$86</f>
        <v>Név15</v>
      </c>
      <c r="B210" s="39"/>
      <c r="C210" s="39"/>
      <c r="D210" s="39"/>
      <c r="E210" s="39" t="s">
        <v>2</v>
      </c>
      <c r="F210" s="39" t="s">
        <v>2</v>
      </c>
      <c r="G210" s="39"/>
      <c r="H210" s="39"/>
      <c r="I210" s="39"/>
      <c r="J210" s="39"/>
      <c r="K210" s="39"/>
      <c r="L210" s="39"/>
      <c r="M210" s="39" t="s">
        <v>2</v>
      </c>
      <c r="N210" s="39" t="s">
        <v>2</v>
      </c>
      <c r="O210" s="39"/>
      <c r="P210" s="39"/>
      <c r="Q210" s="39"/>
      <c r="R210" s="39"/>
      <c r="S210" s="39"/>
      <c r="T210" s="39"/>
      <c r="U210" s="39" t="s">
        <v>2</v>
      </c>
      <c r="V210" s="39" t="s">
        <v>2</v>
      </c>
      <c r="W210" s="39"/>
      <c r="X210" s="39"/>
      <c r="Y210" s="39"/>
      <c r="Z210" s="39"/>
      <c r="AA210" s="39"/>
      <c r="AB210" s="39"/>
      <c r="AC210" s="39" t="s">
        <v>2</v>
      </c>
      <c r="AD210" s="39" t="s">
        <v>2</v>
      </c>
      <c r="AE210" s="39"/>
      <c r="AF210" s="6"/>
      <c r="AH210" s="20">
        <f t="shared" si="24"/>
        <v>0</v>
      </c>
      <c r="AI210" s="20">
        <f t="shared" si="25"/>
        <v>0</v>
      </c>
    </row>
    <row r="211" spans="1:35" ht="20.100000000000001" hidden="1" customHeight="1">
      <c r="A211" s="24" t="str">
        <f>ÖSSZES!$A$87</f>
        <v>Név16</v>
      </c>
      <c r="B211" s="39"/>
      <c r="C211" s="39"/>
      <c r="D211" s="39"/>
      <c r="E211" s="39" t="s">
        <v>2</v>
      </c>
      <c r="F211" s="39" t="s">
        <v>2</v>
      </c>
      <c r="G211" s="39"/>
      <c r="H211" s="39"/>
      <c r="I211" s="39"/>
      <c r="J211" s="39"/>
      <c r="K211" s="39"/>
      <c r="L211" s="39"/>
      <c r="M211" s="39" t="s">
        <v>2</v>
      </c>
      <c r="N211" s="39" t="s">
        <v>2</v>
      </c>
      <c r="O211" s="39"/>
      <c r="P211" s="39"/>
      <c r="Q211" s="39"/>
      <c r="R211" s="39"/>
      <c r="S211" s="39"/>
      <c r="T211" s="39"/>
      <c r="U211" s="39" t="s">
        <v>2</v>
      </c>
      <c r="V211" s="39" t="s">
        <v>2</v>
      </c>
      <c r="W211" s="39"/>
      <c r="X211" s="39"/>
      <c r="Y211" s="39"/>
      <c r="Z211" s="39"/>
      <c r="AA211" s="39"/>
      <c r="AB211" s="39"/>
      <c r="AC211" s="39" t="s">
        <v>2</v>
      </c>
      <c r="AD211" s="39" t="s">
        <v>2</v>
      </c>
      <c r="AE211" s="39"/>
      <c r="AF211" s="6"/>
      <c r="AH211" s="20">
        <f t="shared" si="24"/>
        <v>0</v>
      </c>
      <c r="AI211" s="20">
        <f t="shared" si="25"/>
        <v>0</v>
      </c>
    </row>
    <row r="212" spans="1:35" ht="20.100000000000001" hidden="1" customHeight="1">
      <c r="A212" s="24" t="str">
        <f>ÖSSZES!$A$88</f>
        <v>Név17</v>
      </c>
      <c r="B212" s="39"/>
      <c r="C212" s="39"/>
      <c r="D212" s="39"/>
      <c r="E212" s="39" t="s">
        <v>2</v>
      </c>
      <c r="F212" s="39" t="s">
        <v>2</v>
      </c>
      <c r="G212" s="39"/>
      <c r="H212" s="39"/>
      <c r="I212" s="39"/>
      <c r="J212" s="39"/>
      <c r="K212" s="39"/>
      <c r="L212" s="39"/>
      <c r="M212" s="39" t="s">
        <v>2</v>
      </c>
      <c r="N212" s="39" t="s">
        <v>2</v>
      </c>
      <c r="O212" s="39"/>
      <c r="P212" s="39"/>
      <c r="Q212" s="39"/>
      <c r="R212" s="39"/>
      <c r="S212" s="39"/>
      <c r="T212" s="39"/>
      <c r="U212" s="39" t="s">
        <v>2</v>
      </c>
      <c r="V212" s="39" t="s">
        <v>2</v>
      </c>
      <c r="W212" s="39"/>
      <c r="X212" s="39"/>
      <c r="Y212" s="39"/>
      <c r="Z212" s="39"/>
      <c r="AA212" s="39"/>
      <c r="AB212" s="39"/>
      <c r="AC212" s="39" t="s">
        <v>2</v>
      </c>
      <c r="AD212" s="39" t="s">
        <v>2</v>
      </c>
      <c r="AE212" s="39"/>
      <c r="AF212" s="6"/>
      <c r="AH212" s="20">
        <f t="shared" si="24"/>
        <v>0</v>
      </c>
      <c r="AI212" s="20">
        <f t="shared" si="25"/>
        <v>0</v>
      </c>
    </row>
    <row r="213" spans="1:35" ht="20.100000000000001" hidden="1" customHeight="1">
      <c r="A213" s="24" t="str">
        <f>ÖSSZES!$A$89</f>
        <v>Név18</v>
      </c>
      <c r="B213" s="39"/>
      <c r="C213" s="39"/>
      <c r="D213" s="39"/>
      <c r="E213" s="39" t="s">
        <v>2</v>
      </c>
      <c r="F213" s="39" t="s">
        <v>2</v>
      </c>
      <c r="G213" s="39"/>
      <c r="H213" s="39"/>
      <c r="I213" s="39"/>
      <c r="J213" s="39"/>
      <c r="K213" s="39"/>
      <c r="L213" s="39"/>
      <c r="M213" s="39" t="s">
        <v>2</v>
      </c>
      <c r="N213" s="39" t="s">
        <v>2</v>
      </c>
      <c r="O213" s="39"/>
      <c r="P213" s="39"/>
      <c r="Q213" s="39"/>
      <c r="R213" s="39"/>
      <c r="S213" s="39"/>
      <c r="T213" s="39"/>
      <c r="U213" s="39" t="s">
        <v>2</v>
      </c>
      <c r="V213" s="39" t="s">
        <v>2</v>
      </c>
      <c r="W213" s="39"/>
      <c r="X213" s="39"/>
      <c r="Y213" s="39"/>
      <c r="Z213" s="39"/>
      <c r="AA213" s="39"/>
      <c r="AB213" s="39"/>
      <c r="AC213" s="39" t="s">
        <v>2</v>
      </c>
      <c r="AD213" s="39" t="s">
        <v>2</v>
      </c>
      <c r="AE213" s="39"/>
      <c r="AF213" s="6"/>
      <c r="AH213" s="20">
        <f t="shared" si="24"/>
        <v>0</v>
      </c>
      <c r="AI213" s="20">
        <f t="shared" si="25"/>
        <v>0</v>
      </c>
    </row>
    <row r="214" spans="1:35" ht="20.100000000000001" hidden="1" customHeight="1">
      <c r="A214" s="24" t="str">
        <f>ÖSSZES!$A$90</f>
        <v>Név19</v>
      </c>
      <c r="B214" s="39"/>
      <c r="C214" s="39"/>
      <c r="D214" s="39"/>
      <c r="E214" s="39" t="s">
        <v>2</v>
      </c>
      <c r="F214" s="39" t="s">
        <v>2</v>
      </c>
      <c r="G214" s="39"/>
      <c r="H214" s="39"/>
      <c r="I214" s="39"/>
      <c r="J214" s="39"/>
      <c r="K214" s="39"/>
      <c r="L214" s="39"/>
      <c r="M214" s="39" t="s">
        <v>2</v>
      </c>
      <c r="N214" s="39" t="s">
        <v>2</v>
      </c>
      <c r="O214" s="39"/>
      <c r="P214" s="39"/>
      <c r="Q214" s="39"/>
      <c r="R214" s="39"/>
      <c r="S214" s="39"/>
      <c r="T214" s="39"/>
      <c r="U214" s="39" t="s">
        <v>2</v>
      </c>
      <c r="V214" s="39" t="s">
        <v>2</v>
      </c>
      <c r="W214" s="39"/>
      <c r="X214" s="39"/>
      <c r="Y214" s="39"/>
      <c r="Z214" s="39"/>
      <c r="AA214" s="39"/>
      <c r="AB214" s="39"/>
      <c r="AC214" s="39" t="s">
        <v>2</v>
      </c>
      <c r="AD214" s="39" t="s">
        <v>2</v>
      </c>
      <c r="AE214" s="39"/>
      <c r="AF214" s="6"/>
      <c r="AH214" s="20">
        <f t="shared" si="24"/>
        <v>0</v>
      </c>
      <c r="AI214" s="20">
        <f t="shared" si="25"/>
        <v>0</v>
      </c>
    </row>
    <row r="215" spans="1:35" ht="20.100000000000001" hidden="1" customHeight="1">
      <c r="A215" s="24" t="str">
        <f>ÖSSZES!$A$91</f>
        <v>Név20</v>
      </c>
      <c r="B215" s="39"/>
      <c r="C215" s="39"/>
      <c r="D215" s="39"/>
      <c r="E215" s="39" t="s">
        <v>2</v>
      </c>
      <c r="F215" s="39" t="s">
        <v>2</v>
      </c>
      <c r="G215" s="39"/>
      <c r="H215" s="39"/>
      <c r="I215" s="39"/>
      <c r="J215" s="39"/>
      <c r="K215" s="39"/>
      <c r="L215" s="39"/>
      <c r="M215" s="39" t="s">
        <v>2</v>
      </c>
      <c r="N215" s="39" t="s">
        <v>2</v>
      </c>
      <c r="O215" s="39"/>
      <c r="P215" s="39"/>
      <c r="Q215" s="39"/>
      <c r="R215" s="39"/>
      <c r="S215" s="39"/>
      <c r="T215" s="39"/>
      <c r="U215" s="39" t="s">
        <v>2</v>
      </c>
      <c r="V215" s="39" t="s">
        <v>2</v>
      </c>
      <c r="W215" s="39"/>
      <c r="X215" s="39"/>
      <c r="Y215" s="39"/>
      <c r="Z215" s="39"/>
      <c r="AA215" s="39"/>
      <c r="AB215" s="39"/>
      <c r="AC215" s="39" t="s">
        <v>2</v>
      </c>
      <c r="AD215" s="39" t="s">
        <v>2</v>
      </c>
      <c r="AE215" s="39"/>
      <c r="AF215" s="6"/>
      <c r="AH215" s="20">
        <f t="shared" si="24"/>
        <v>0</v>
      </c>
      <c r="AI215" s="20">
        <f t="shared" si="25"/>
        <v>0</v>
      </c>
    </row>
    <row r="216" spans="1:35" ht="20.100000000000001" customHeight="1"/>
    <row r="217" spans="1:35" s="11" customFormat="1" ht="20.100000000000001" customHeight="1">
      <c r="A217" s="57" t="s">
        <v>14</v>
      </c>
      <c r="B217" s="23">
        <v>1</v>
      </c>
      <c r="C217" s="23">
        <v>2</v>
      </c>
      <c r="D217" s="23">
        <v>3</v>
      </c>
      <c r="E217" s="23">
        <v>4</v>
      </c>
      <c r="F217" s="23">
        <v>5</v>
      </c>
      <c r="G217" s="23">
        <v>6</v>
      </c>
      <c r="H217" s="23">
        <v>7</v>
      </c>
      <c r="I217" s="23">
        <v>8</v>
      </c>
      <c r="J217" s="23">
        <v>9</v>
      </c>
      <c r="K217" s="23">
        <v>10</v>
      </c>
      <c r="L217" s="23">
        <v>11</v>
      </c>
      <c r="M217" s="23">
        <v>12</v>
      </c>
      <c r="N217" s="23">
        <v>13</v>
      </c>
      <c r="O217" s="23">
        <v>14</v>
      </c>
      <c r="P217" s="23">
        <v>15</v>
      </c>
      <c r="Q217" s="23">
        <v>16</v>
      </c>
      <c r="R217" s="23">
        <v>17</v>
      </c>
      <c r="S217" s="23">
        <v>18</v>
      </c>
      <c r="T217" s="23">
        <v>19</v>
      </c>
      <c r="U217" s="23">
        <v>20</v>
      </c>
      <c r="V217" s="23">
        <v>21</v>
      </c>
      <c r="W217" s="23">
        <v>22</v>
      </c>
      <c r="X217" s="25">
        <v>23</v>
      </c>
      <c r="Y217" s="23">
        <v>24</v>
      </c>
      <c r="Z217" s="23">
        <v>25</v>
      </c>
      <c r="AA217" s="23">
        <v>26</v>
      </c>
      <c r="AB217" s="23">
        <v>27</v>
      </c>
      <c r="AC217" s="23">
        <v>28</v>
      </c>
      <c r="AD217" s="23">
        <v>29</v>
      </c>
      <c r="AE217" s="23">
        <v>30</v>
      </c>
      <c r="AF217" s="23">
        <v>31</v>
      </c>
      <c r="AH217" s="59" t="s">
        <v>18</v>
      </c>
      <c r="AI217" s="59" t="s">
        <v>19</v>
      </c>
    </row>
    <row r="218" spans="1:35" ht="20.100000000000001" customHeight="1">
      <c r="A218" s="61"/>
      <c r="B218" s="15" t="str">
        <f>'2021'!B76</f>
        <v>P</v>
      </c>
      <c r="C218" s="15" t="str">
        <f>'2021'!C76</f>
        <v>Szo</v>
      </c>
      <c r="D218" s="15" t="str">
        <f>'2021'!D76</f>
        <v>V</v>
      </c>
      <c r="E218" s="15" t="str">
        <f>'2021'!E76</f>
        <v>H</v>
      </c>
      <c r="F218" s="15" t="str">
        <f>'2021'!F76</f>
        <v>K</v>
      </c>
      <c r="G218" s="15" t="str">
        <f>'2021'!G76</f>
        <v>Sze</v>
      </c>
      <c r="H218" s="15" t="str">
        <f>'2021'!H76</f>
        <v>Cs</v>
      </c>
      <c r="I218" s="15" t="str">
        <f>'2021'!I76</f>
        <v>P</v>
      </c>
      <c r="J218" s="15" t="str">
        <f>'2021'!J76</f>
        <v>Szo</v>
      </c>
      <c r="K218" s="15" t="str">
        <f>'2021'!K76</f>
        <v>V</v>
      </c>
      <c r="L218" s="15" t="str">
        <f>'2021'!L76</f>
        <v>H</v>
      </c>
      <c r="M218" s="15" t="str">
        <f>'2021'!M76</f>
        <v>K</v>
      </c>
      <c r="N218" s="15" t="str">
        <f>'2021'!N76</f>
        <v>Sze</v>
      </c>
      <c r="O218" s="15" t="str">
        <f>'2021'!O76</f>
        <v>Cs</v>
      </c>
      <c r="P218" s="15" t="str">
        <f>'2021'!P76</f>
        <v>P</v>
      </c>
      <c r="Q218" s="15" t="str">
        <f>'2021'!Q76</f>
        <v>Szo</v>
      </c>
      <c r="R218" s="15" t="str">
        <f>'2021'!R76</f>
        <v>V</v>
      </c>
      <c r="S218" s="15" t="str">
        <f>'2021'!S76</f>
        <v>H</v>
      </c>
      <c r="T218" s="15" t="str">
        <f>'2021'!T76</f>
        <v>K</v>
      </c>
      <c r="U218" s="15" t="str">
        <f>'2021'!U76</f>
        <v>Sze</v>
      </c>
      <c r="V218" s="15" t="str">
        <f>'2021'!V76</f>
        <v>Cs</v>
      </c>
      <c r="W218" s="15" t="str">
        <f>'2021'!W76</f>
        <v>P</v>
      </c>
      <c r="X218" s="15" t="str">
        <f>'2021'!X76</f>
        <v>Szo</v>
      </c>
      <c r="Y218" s="15" t="str">
        <f>'2021'!Y76</f>
        <v>V</v>
      </c>
      <c r="Z218" s="15" t="str">
        <f>'2021'!Z76</f>
        <v>H</v>
      </c>
      <c r="AA218" s="15" t="str">
        <f>'2021'!AA76</f>
        <v>K</v>
      </c>
      <c r="AB218" s="15" t="str">
        <f>'2021'!AB76</f>
        <v>Sze</v>
      </c>
      <c r="AC218" s="15" t="str">
        <f>'2021'!AC76</f>
        <v>Cs</v>
      </c>
      <c r="AD218" s="15" t="str">
        <f>'2021'!AD76</f>
        <v>P</v>
      </c>
      <c r="AE218" s="15" t="str">
        <f>'2021'!AE76</f>
        <v>Szo</v>
      </c>
      <c r="AF218" s="15" t="str">
        <f>'2021'!AF76</f>
        <v>V</v>
      </c>
      <c r="AH218" s="60"/>
      <c r="AI218" s="60"/>
    </row>
    <row r="219" spans="1:35" ht="20.100000000000001" customHeight="1">
      <c r="A219" s="61"/>
      <c r="B219" s="15">
        <f>'2021'!B80</f>
        <v>3</v>
      </c>
      <c r="C219" s="15">
        <f>'2021'!C80</f>
        <v>3</v>
      </c>
      <c r="D219" s="15">
        <f>'2021'!D80</f>
        <v>3</v>
      </c>
      <c r="E219" s="15">
        <f>'2021'!E80</f>
        <v>3</v>
      </c>
      <c r="F219" s="15">
        <f>'2021'!F80</f>
        <v>3</v>
      </c>
      <c r="G219" s="15" t="str">
        <f>'2021'!G80</f>
        <v>X</v>
      </c>
      <c r="H219" s="15" t="str">
        <f>'2021'!H80</f>
        <v>X</v>
      </c>
      <c r="I219" s="15">
        <f>'2021'!I80</f>
        <v>2</v>
      </c>
      <c r="J219" s="15">
        <f>'2021'!J80</f>
        <v>2</v>
      </c>
      <c r="K219" s="15">
        <f>'2021'!K80</f>
        <v>2</v>
      </c>
      <c r="L219" s="15">
        <f>'2021'!L80</f>
        <v>2</v>
      </c>
      <c r="M219" s="15">
        <f>'2021'!M80</f>
        <v>2</v>
      </c>
      <c r="N219" s="15">
        <f>'2021'!N80</f>
        <v>2</v>
      </c>
      <c r="O219" s="15" t="str">
        <f>'2021'!O80</f>
        <v>X</v>
      </c>
      <c r="P219" s="15" t="str">
        <f>'2021'!P80</f>
        <v>X</v>
      </c>
      <c r="Q219" s="15">
        <f>'2021'!Q80</f>
        <v>1</v>
      </c>
      <c r="R219" s="15">
        <f>'2021'!R80</f>
        <v>1</v>
      </c>
      <c r="S219" s="15">
        <f>'2021'!S80</f>
        <v>1</v>
      </c>
      <c r="T219" s="15">
        <f>'2021'!T80</f>
        <v>1</v>
      </c>
      <c r="U219" s="15">
        <f>'2021'!U80</f>
        <v>1</v>
      </c>
      <c r="V219" s="15">
        <f>'2021'!V80</f>
        <v>1</v>
      </c>
      <c r="W219" s="15" t="str">
        <f>'2021'!W80</f>
        <v>X</v>
      </c>
      <c r="X219" s="15" t="str">
        <f>'2021'!X80</f>
        <v>X</v>
      </c>
      <c r="Y219" s="15">
        <f>'2021'!Y80</f>
        <v>3</v>
      </c>
      <c r="Z219" s="15">
        <f>'2021'!Z80</f>
        <v>3</v>
      </c>
      <c r="AA219" s="15">
        <f>'2021'!AA80</f>
        <v>3</v>
      </c>
      <c r="AB219" s="15">
        <f>'2021'!AB80</f>
        <v>3</v>
      </c>
      <c r="AC219" s="15">
        <f>'2021'!AC80</f>
        <v>3</v>
      </c>
      <c r="AD219" s="15">
        <f>'2021'!AD80</f>
        <v>3</v>
      </c>
      <c r="AE219" s="15" t="str">
        <f>'2021'!AE80</f>
        <v>X</v>
      </c>
      <c r="AF219" s="15" t="str">
        <f>'2021'!AF80</f>
        <v>X</v>
      </c>
      <c r="AH219" s="60"/>
      <c r="AI219" s="60"/>
    </row>
    <row r="220" spans="1:35" ht="20.100000000000001" customHeight="1">
      <c r="A220" s="24" t="str">
        <f>ÖSSZES!$A$72</f>
        <v>Daku Gábor</v>
      </c>
      <c r="B220" s="39">
        <f>[1]D!B103</f>
        <v>0</v>
      </c>
      <c r="C220" s="39">
        <f>[1]D!C103</f>
        <v>0</v>
      </c>
      <c r="D220" s="39">
        <f>[1]D!D103</f>
        <v>0</v>
      </c>
      <c r="E220" s="39">
        <f>[1]D!E103</f>
        <v>0</v>
      </c>
      <c r="F220" s="39">
        <f>[1]D!F103</f>
        <v>0</v>
      </c>
      <c r="G220" s="39" t="str">
        <f>[1]D!G103</f>
        <v>X</v>
      </c>
      <c r="H220" s="39" t="str">
        <f>[1]D!H103</f>
        <v>X</v>
      </c>
      <c r="I220" s="39">
        <f>[1]D!I103</f>
        <v>0</v>
      </c>
      <c r="J220" s="39">
        <f>[1]D!J103</f>
        <v>0</v>
      </c>
      <c r="K220" s="39">
        <f>[1]D!K103</f>
        <v>0</v>
      </c>
      <c r="L220" s="39">
        <f>[1]D!L103</f>
        <v>0</v>
      </c>
      <c r="M220" s="39">
        <f>[1]D!M103</f>
        <v>0</v>
      </c>
      <c r="N220" s="39">
        <f>[1]D!N103</f>
        <v>0</v>
      </c>
      <c r="O220" s="39" t="str">
        <f>[1]D!O103</f>
        <v>X</v>
      </c>
      <c r="P220" s="39" t="str">
        <f>[1]D!P103</f>
        <v>X</v>
      </c>
      <c r="Q220" s="39">
        <f>[1]D!Q103</f>
        <v>0</v>
      </c>
      <c r="R220" s="39">
        <f>[1]D!R103</f>
        <v>0</v>
      </c>
      <c r="S220" s="39">
        <f>[1]D!S103</f>
        <v>0</v>
      </c>
      <c r="T220" s="39">
        <f>[1]D!T103</f>
        <v>0</v>
      </c>
      <c r="U220" s="39">
        <f>[1]D!U103</f>
        <v>0</v>
      </c>
      <c r="V220" s="39">
        <f>[1]D!V103</f>
        <v>0</v>
      </c>
      <c r="W220" s="39" t="str">
        <f>[1]D!W103</f>
        <v>X</v>
      </c>
      <c r="X220" s="39" t="str">
        <f>[1]D!X103</f>
        <v>X</v>
      </c>
      <c r="Y220" s="39">
        <f>[1]D!Y103</f>
        <v>0</v>
      </c>
      <c r="Z220" s="39">
        <f>[1]D!Z103</f>
        <v>0</v>
      </c>
      <c r="AA220" s="39">
        <f>[1]D!AA103</f>
        <v>0</v>
      </c>
      <c r="AB220" s="39">
        <f>[1]D!AB103</f>
        <v>0</v>
      </c>
      <c r="AC220" s="39">
        <f>[1]D!AC103</f>
        <v>0</v>
      </c>
      <c r="AD220" s="39">
        <f>[1]D!AD103</f>
        <v>0</v>
      </c>
      <c r="AE220" s="39" t="s">
        <v>2</v>
      </c>
      <c r="AF220" s="39" t="s">
        <v>2</v>
      </c>
      <c r="AH220" s="20">
        <f>1*COUNTIF(A220:AF220,"+")</f>
        <v>0</v>
      </c>
      <c r="AI220" s="20">
        <f t="shared" ref="AI220" si="26">1*COUNTIF(B220:AF220,"szf")</f>
        <v>0</v>
      </c>
    </row>
    <row r="221" spans="1:35" ht="20.100000000000001" customHeight="1">
      <c r="A221" s="24" t="str">
        <f>ÖSSZES!$A$73</f>
        <v>Borbély Csaba</v>
      </c>
      <c r="B221" s="39">
        <f>[1]D!B104</f>
        <v>0</v>
      </c>
      <c r="C221" s="39">
        <f>[1]D!C104</f>
        <v>0</v>
      </c>
      <c r="D221" s="39">
        <f>[1]D!D104</f>
        <v>0</v>
      </c>
      <c r="E221" s="39">
        <f>[1]D!E104</f>
        <v>0</v>
      </c>
      <c r="F221" s="39">
        <f>[1]D!F104</f>
        <v>0</v>
      </c>
      <c r="G221" s="39" t="str">
        <f>[1]D!G104</f>
        <v>X</v>
      </c>
      <c r="H221" s="39" t="str">
        <f>[1]D!H104</f>
        <v>X</v>
      </c>
      <c r="I221" s="39">
        <f>[1]D!I104</f>
        <v>0</v>
      </c>
      <c r="J221" s="39">
        <f>[1]D!J104</f>
        <v>0</v>
      </c>
      <c r="K221" s="39">
        <f>[1]D!K104</f>
        <v>0</v>
      </c>
      <c r="L221" s="39">
        <f>[1]D!L104</f>
        <v>0</v>
      </c>
      <c r="M221" s="39">
        <f>[1]D!M104</f>
        <v>0</v>
      </c>
      <c r="N221" s="39">
        <f>[1]D!N104</f>
        <v>0</v>
      </c>
      <c r="O221" s="39" t="str">
        <f>[1]D!O104</f>
        <v>X</v>
      </c>
      <c r="P221" s="39" t="str">
        <f>[1]D!P104</f>
        <v>X</v>
      </c>
      <c r="Q221" s="39">
        <f>[1]D!Q104</f>
        <v>0</v>
      </c>
      <c r="R221" s="39">
        <f>[1]D!R104</f>
        <v>0</v>
      </c>
      <c r="S221" s="39">
        <f>[1]D!S104</f>
        <v>0</v>
      </c>
      <c r="T221" s="39">
        <f>[1]D!T104</f>
        <v>0</v>
      </c>
      <c r="U221" s="39">
        <f>[1]D!U104</f>
        <v>0</v>
      </c>
      <c r="V221" s="39">
        <f>[1]D!V104</f>
        <v>0</v>
      </c>
      <c r="W221" s="39" t="str">
        <f>[1]D!W104</f>
        <v>X</v>
      </c>
      <c r="X221" s="39" t="str">
        <f>[1]D!X104</f>
        <v>X</v>
      </c>
      <c r="Y221" s="39">
        <f>[1]D!Y104</f>
        <v>0</v>
      </c>
      <c r="Z221" s="39">
        <f>[1]D!Z104</f>
        <v>0</v>
      </c>
      <c r="AA221" s="39">
        <f>[1]D!AA104</f>
        <v>0</v>
      </c>
      <c r="AB221" s="39">
        <f>[1]D!AB104</f>
        <v>0</v>
      </c>
      <c r="AC221" s="39">
        <f>[1]D!AC104</f>
        <v>0</v>
      </c>
      <c r="AD221" s="39">
        <f>[1]D!AD104</f>
        <v>0</v>
      </c>
      <c r="AE221" s="39" t="s">
        <v>2</v>
      </c>
      <c r="AF221" s="39" t="s">
        <v>2</v>
      </c>
      <c r="AH221" s="20">
        <f t="shared" ref="AH221:AH239" si="27">1*COUNTIF(A221:AF221,"+")</f>
        <v>0</v>
      </c>
      <c r="AI221" s="20">
        <f t="shared" ref="AI221:AI239" si="28">1*COUNTIF(B221:AF221,"szf")</f>
        <v>0</v>
      </c>
    </row>
    <row r="222" spans="1:35" ht="20.100000000000001" customHeight="1">
      <c r="A222" s="24" t="str">
        <f>ÖSSZES!$A$74</f>
        <v>Erdei Bálint</v>
      </c>
      <c r="B222" s="39">
        <f>[1]D!B105</f>
        <v>0</v>
      </c>
      <c r="C222" s="39">
        <f>[1]D!C105</f>
        <v>0</v>
      </c>
      <c r="D222" s="39">
        <f>[1]D!D105</f>
        <v>0</v>
      </c>
      <c r="E222" s="39">
        <f>[1]D!E105</f>
        <v>0</v>
      </c>
      <c r="F222" s="39">
        <f>[1]D!F105</f>
        <v>0</v>
      </c>
      <c r="G222" s="39" t="str">
        <f>[1]D!G105</f>
        <v>X</v>
      </c>
      <c r="H222" s="39" t="str">
        <f>[1]D!H105</f>
        <v>X</v>
      </c>
      <c r="I222" s="39">
        <f>[1]D!I105</f>
        <v>0</v>
      </c>
      <c r="J222" s="39">
        <f>[1]D!J105</f>
        <v>0</v>
      </c>
      <c r="K222" s="39">
        <f>[1]D!K105</f>
        <v>0</v>
      </c>
      <c r="L222" s="39">
        <f>[1]D!L105</f>
        <v>0</v>
      </c>
      <c r="M222" s="39">
        <f>[1]D!M105</f>
        <v>0</v>
      </c>
      <c r="N222" s="39">
        <f>[1]D!N105</f>
        <v>0</v>
      </c>
      <c r="O222" s="39" t="str">
        <f>[1]D!O105</f>
        <v>X</v>
      </c>
      <c r="P222" s="39" t="str">
        <f>[1]D!P105</f>
        <v>X</v>
      </c>
      <c r="Q222" s="39">
        <f>[1]D!Q105</f>
        <v>0</v>
      </c>
      <c r="R222" s="39">
        <f>[1]D!R105</f>
        <v>0</v>
      </c>
      <c r="S222" s="39">
        <f>[1]D!S105</f>
        <v>0</v>
      </c>
      <c r="T222" s="39">
        <f>[1]D!T105</f>
        <v>0</v>
      </c>
      <c r="U222" s="39">
        <f>[1]D!U105</f>
        <v>0</v>
      </c>
      <c r="V222" s="39">
        <f>[1]D!V105</f>
        <v>0</v>
      </c>
      <c r="W222" s="39" t="str">
        <f>[1]D!W105</f>
        <v>X</v>
      </c>
      <c r="X222" s="39" t="str">
        <f>[1]D!X105</f>
        <v>X</v>
      </c>
      <c r="Y222" s="39">
        <f>[1]D!Y105</f>
        <v>0</v>
      </c>
      <c r="Z222" s="39">
        <f>[1]D!Z105</f>
        <v>0</v>
      </c>
      <c r="AA222" s="39">
        <f>[1]D!AA105</f>
        <v>0</v>
      </c>
      <c r="AB222" s="39">
        <f>[1]D!AB105</f>
        <v>0</v>
      </c>
      <c r="AC222" s="39">
        <f>[1]D!AC105</f>
        <v>0</v>
      </c>
      <c r="AD222" s="39">
        <f>[1]D!AD105</f>
        <v>0</v>
      </c>
      <c r="AE222" s="39" t="s">
        <v>2</v>
      </c>
      <c r="AF222" s="39" t="s">
        <v>2</v>
      </c>
      <c r="AH222" s="20">
        <f t="shared" si="27"/>
        <v>0</v>
      </c>
      <c r="AI222" s="20">
        <f t="shared" si="28"/>
        <v>0</v>
      </c>
    </row>
    <row r="223" spans="1:35" ht="20.100000000000001" customHeight="1">
      <c r="A223" s="24" t="str">
        <f>ÖSSZES!$A$75</f>
        <v>Fábián Gábor</v>
      </c>
      <c r="B223" s="39">
        <f>[1]D!B106</f>
        <v>0</v>
      </c>
      <c r="C223" s="39">
        <f>[1]D!C106</f>
        <v>0</v>
      </c>
      <c r="D223" s="39">
        <f>[1]D!D106</f>
        <v>0</v>
      </c>
      <c r="E223" s="39">
        <f>[1]D!E106</f>
        <v>0</v>
      </c>
      <c r="F223" s="39">
        <f>[1]D!F106</f>
        <v>0</v>
      </c>
      <c r="G223" s="39" t="str">
        <f>[1]D!G106</f>
        <v>X</v>
      </c>
      <c r="H223" s="39" t="str">
        <f>[1]D!H106</f>
        <v>X</v>
      </c>
      <c r="I223" s="39">
        <f>[1]D!I106</f>
        <v>0</v>
      </c>
      <c r="J223" s="39">
        <f>[1]D!J106</f>
        <v>0</v>
      </c>
      <c r="K223" s="39">
        <f>[1]D!K106</f>
        <v>0</v>
      </c>
      <c r="L223" s="39">
        <f>[1]D!L106</f>
        <v>0</v>
      </c>
      <c r="M223" s="39">
        <f>[1]D!M106</f>
        <v>0</v>
      </c>
      <c r="N223" s="39">
        <f>[1]D!N106</f>
        <v>0</v>
      </c>
      <c r="O223" s="39" t="str">
        <f>[1]D!O106</f>
        <v>X</v>
      </c>
      <c r="P223" s="39" t="str">
        <f>[1]D!P106</f>
        <v>X</v>
      </c>
      <c r="Q223" s="39">
        <f>[1]D!Q106</f>
        <v>0</v>
      </c>
      <c r="R223" s="39">
        <f>[1]D!R106</f>
        <v>0</v>
      </c>
      <c r="S223" s="39">
        <f>[1]D!S106</f>
        <v>0</v>
      </c>
      <c r="T223" s="39">
        <f>[1]D!T106</f>
        <v>0</v>
      </c>
      <c r="U223" s="39">
        <f>[1]D!U106</f>
        <v>0</v>
      </c>
      <c r="V223" s="39">
        <f>[1]D!V106</f>
        <v>0</v>
      </c>
      <c r="W223" s="39" t="str">
        <f>[1]D!W106</f>
        <v>X</v>
      </c>
      <c r="X223" s="39" t="str">
        <f>[1]D!X106</f>
        <v>X</v>
      </c>
      <c r="Y223" s="39">
        <f>[1]D!Y106</f>
        <v>0</v>
      </c>
      <c r="Z223" s="39">
        <f>[1]D!Z106</f>
        <v>0</v>
      </c>
      <c r="AA223" s="39">
        <f>[1]D!AA106</f>
        <v>0</v>
      </c>
      <c r="AB223" s="39">
        <f>[1]D!AB106</f>
        <v>0</v>
      </c>
      <c r="AC223" s="39">
        <f>[1]D!AC106</f>
        <v>0</v>
      </c>
      <c r="AD223" s="39">
        <f>[1]D!AD106</f>
        <v>0</v>
      </c>
      <c r="AE223" s="39" t="s">
        <v>2</v>
      </c>
      <c r="AF223" s="39" t="s">
        <v>2</v>
      </c>
      <c r="AH223" s="20">
        <f t="shared" si="27"/>
        <v>0</v>
      </c>
      <c r="AI223" s="20">
        <f t="shared" si="28"/>
        <v>0</v>
      </c>
    </row>
    <row r="224" spans="1:35" ht="20.100000000000001" customHeight="1">
      <c r="A224" s="24" t="str">
        <f>ÖSSZES!$A$76</f>
        <v>Gellei Zsolt</v>
      </c>
      <c r="B224" s="39">
        <f>[1]D!B107</f>
        <v>0</v>
      </c>
      <c r="C224" s="39">
        <f>[1]D!C107</f>
        <v>0</v>
      </c>
      <c r="D224" s="39">
        <f>[1]D!D107</f>
        <v>0</v>
      </c>
      <c r="E224" s="39">
        <f>[1]D!E107</f>
        <v>0</v>
      </c>
      <c r="F224" s="39">
        <f>[1]D!F107</f>
        <v>0</v>
      </c>
      <c r="G224" s="39" t="str">
        <f>[1]D!G107</f>
        <v>X</v>
      </c>
      <c r="H224" s="39" t="str">
        <f>[1]D!H107</f>
        <v>X</v>
      </c>
      <c r="I224" s="39">
        <f>[1]D!I107</f>
        <v>0</v>
      </c>
      <c r="J224" s="39">
        <f>[1]D!J107</f>
        <v>0</v>
      </c>
      <c r="K224" s="39">
        <f>[1]D!K107</f>
        <v>0</v>
      </c>
      <c r="L224" s="39">
        <f>[1]D!L107</f>
        <v>0</v>
      </c>
      <c r="M224" s="39">
        <f>[1]D!M107</f>
        <v>0</v>
      </c>
      <c r="N224" s="39">
        <f>[1]D!N107</f>
        <v>0</v>
      </c>
      <c r="O224" s="39" t="str">
        <f>[1]D!O107</f>
        <v>X</v>
      </c>
      <c r="P224" s="39" t="str">
        <f>[1]D!P107</f>
        <v>X</v>
      </c>
      <c r="Q224" s="39">
        <f>[1]D!Q107</f>
        <v>0</v>
      </c>
      <c r="R224" s="39">
        <f>[1]D!R107</f>
        <v>0</v>
      </c>
      <c r="S224" s="39">
        <f>[1]D!S107</f>
        <v>0</v>
      </c>
      <c r="T224" s="39">
        <f>[1]D!T107</f>
        <v>0</v>
      </c>
      <c r="U224" s="39">
        <f>[1]D!U107</f>
        <v>0</v>
      </c>
      <c r="V224" s="39">
        <f>[1]D!V107</f>
        <v>0</v>
      </c>
      <c r="W224" s="39" t="str">
        <f>[1]D!W107</f>
        <v>X</v>
      </c>
      <c r="X224" s="39" t="str">
        <f>[1]D!X107</f>
        <v>X</v>
      </c>
      <c r="Y224" s="39">
        <f>[1]D!Y107</f>
        <v>0</v>
      </c>
      <c r="Z224" s="39">
        <f>[1]D!Z107</f>
        <v>0</v>
      </c>
      <c r="AA224" s="39">
        <f>[1]D!AA107</f>
        <v>0</v>
      </c>
      <c r="AB224" s="39">
        <f>[1]D!AB107</f>
        <v>0</v>
      </c>
      <c r="AC224" s="39">
        <f>[1]D!AC107</f>
        <v>0</v>
      </c>
      <c r="AD224" s="39">
        <f>[1]D!AD107</f>
        <v>0</v>
      </c>
      <c r="AE224" s="39" t="s">
        <v>2</v>
      </c>
      <c r="AF224" s="39" t="s">
        <v>2</v>
      </c>
      <c r="AH224" s="20">
        <f t="shared" si="27"/>
        <v>0</v>
      </c>
      <c r="AI224" s="20">
        <f t="shared" si="28"/>
        <v>0</v>
      </c>
    </row>
    <row r="225" spans="1:35" ht="20.100000000000001" customHeight="1">
      <c r="A225" s="24" t="str">
        <f>ÖSSZES!$A$77</f>
        <v>Kiss Gyula</v>
      </c>
      <c r="B225" s="39">
        <f>[1]D!B108</f>
        <v>0</v>
      </c>
      <c r="C225" s="39">
        <f>[1]D!C108</f>
        <v>0</v>
      </c>
      <c r="D225" s="39">
        <f>[1]D!D108</f>
        <v>0</v>
      </c>
      <c r="E225" s="39">
        <f>[1]D!E108</f>
        <v>0</v>
      </c>
      <c r="F225" s="39">
        <f>[1]D!F108</f>
        <v>0</v>
      </c>
      <c r="G225" s="39" t="str">
        <f>[1]D!G108</f>
        <v>X</v>
      </c>
      <c r="H225" s="39" t="str">
        <f>[1]D!H108</f>
        <v>X</v>
      </c>
      <c r="I225" s="39">
        <f>[1]D!I108</f>
        <v>0</v>
      </c>
      <c r="J225" s="39">
        <f>[1]D!J108</f>
        <v>0</v>
      </c>
      <c r="K225" s="39">
        <f>[1]D!K108</f>
        <v>0</v>
      </c>
      <c r="L225" s="39">
        <f>[1]D!L108</f>
        <v>0</v>
      </c>
      <c r="M225" s="39">
        <f>[1]D!M108</f>
        <v>0</v>
      </c>
      <c r="N225" s="39">
        <f>[1]D!N108</f>
        <v>0</v>
      </c>
      <c r="O225" s="39" t="str">
        <f>[1]D!O108</f>
        <v>X</v>
      </c>
      <c r="P225" s="39" t="str">
        <f>[1]D!P108</f>
        <v>X</v>
      </c>
      <c r="Q225" s="39">
        <f>[1]D!Q108</f>
        <v>0</v>
      </c>
      <c r="R225" s="39">
        <f>[1]D!R108</f>
        <v>0</v>
      </c>
      <c r="S225" s="39">
        <f>[1]D!S108</f>
        <v>0</v>
      </c>
      <c r="T225" s="39">
        <f>[1]D!T108</f>
        <v>0</v>
      </c>
      <c r="U225" s="39">
        <f>[1]D!U108</f>
        <v>0</v>
      </c>
      <c r="V225" s="39">
        <f>[1]D!V108</f>
        <v>0</v>
      </c>
      <c r="W225" s="39" t="str">
        <f>[1]D!W108</f>
        <v>X</v>
      </c>
      <c r="X225" s="39" t="str">
        <f>[1]D!X108</f>
        <v>X</v>
      </c>
      <c r="Y225" s="39">
        <f>[1]D!Y108</f>
        <v>0</v>
      </c>
      <c r="Z225" s="39">
        <f>[1]D!Z108</f>
        <v>0</v>
      </c>
      <c r="AA225" s="39">
        <f>[1]D!AA108</f>
        <v>0</v>
      </c>
      <c r="AB225" s="39">
        <f>[1]D!AB108</f>
        <v>0</v>
      </c>
      <c r="AC225" s="39">
        <f>[1]D!AC108</f>
        <v>0</v>
      </c>
      <c r="AD225" s="39">
        <f>[1]D!AD108</f>
        <v>0</v>
      </c>
      <c r="AE225" s="39" t="s">
        <v>2</v>
      </c>
      <c r="AF225" s="39" t="s">
        <v>2</v>
      </c>
      <c r="AH225" s="20">
        <f t="shared" si="27"/>
        <v>0</v>
      </c>
      <c r="AI225" s="20">
        <f t="shared" si="28"/>
        <v>0</v>
      </c>
    </row>
    <row r="226" spans="1:35" ht="20.100000000000001" customHeight="1">
      <c r="A226" s="24" t="str">
        <f>ÖSSZES!$A$78</f>
        <v>Nagy István</v>
      </c>
      <c r="B226" s="39">
        <f>[1]D!B109</f>
        <v>0</v>
      </c>
      <c r="C226" s="39">
        <f>[1]D!C109</f>
        <v>0</v>
      </c>
      <c r="D226" s="39">
        <f>[1]D!D109</f>
        <v>0</v>
      </c>
      <c r="E226" s="39">
        <f>[1]D!E109</f>
        <v>0</v>
      </c>
      <c r="F226" s="39">
        <f>[1]D!F109</f>
        <v>0</v>
      </c>
      <c r="G226" s="39" t="str">
        <f>[1]D!G109</f>
        <v>X</v>
      </c>
      <c r="H226" s="39" t="str">
        <f>[1]D!H109</f>
        <v>X</v>
      </c>
      <c r="I226" s="39">
        <f>[1]D!I109</f>
        <v>0</v>
      </c>
      <c r="J226" s="39">
        <f>[1]D!J109</f>
        <v>0</v>
      </c>
      <c r="K226" s="39">
        <f>[1]D!K109</f>
        <v>0</v>
      </c>
      <c r="L226" s="39">
        <f>[1]D!L109</f>
        <v>0</v>
      </c>
      <c r="M226" s="39">
        <f>[1]D!M109</f>
        <v>0</v>
      </c>
      <c r="N226" s="39">
        <f>[1]D!N109</f>
        <v>0</v>
      </c>
      <c r="O226" s="39" t="str">
        <f>[1]D!O109</f>
        <v>X</v>
      </c>
      <c r="P226" s="39" t="str">
        <f>[1]D!P109</f>
        <v>X</v>
      </c>
      <c r="Q226" s="39">
        <f>[1]D!Q109</f>
        <v>0</v>
      </c>
      <c r="R226" s="39">
        <f>[1]D!R109</f>
        <v>0</v>
      </c>
      <c r="S226" s="39">
        <f>[1]D!S109</f>
        <v>0</v>
      </c>
      <c r="T226" s="39">
        <f>[1]D!T109</f>
        <v>0</v>
      </c>
      <c r="U226" s="39">
        <f>[1]D!U109</f>
        <v>0</v>
      </c>
      <c r="V226" s="39">
        <f>[1]D!V109</f>
        <v>0</v>
      </c>
      <c r="W226" s="39" t="str">
        <f>[1]D!W109</f>
        <v>X</v>
      </c>
      <c r="X226" s="39" t="str">
        <f>[1]D!X109</f>
        <v>X</v>
      </c>
      <c r="Y226" s="39">
        <f>[1]D!Y109</f>
        <v>0</v>
      </c>
      <c r="Z226" s="39">
        <f>[1]D!Z109</f>
        <v>0</v>
      </c>
      <c r="AA226" s="39">
        <f>[1]D!AA109</f>
        <v>0</v>
      </c>
      <c r="AB226" s="39">
        <f>[1]D!AB109</f>
        <v>0</v>
      </c>
      <c r="AC226" s="39">
        <f>[1]D!AC109</f>
        <v>0</v>
      </c>
      <c r="AD226" s="39">
        <f>[1]D!AD109</f>
        <v>0</v>
      </c>
      <c r="AE226" s="39" t="s">
        <v>2</v>
      </c>
      <c r="AF226" s="39" t="s">
        <v>2</v>
      </c>
      <c r="AH226" s="20">
        <f t="shared" si="27"/>
        <v>0</v>
      </c>
      <c r="AI226" s="20">
        <f t="shared" si="28"/>
        <v>0</v>
      </c>
    </row>
    <row r="227" spans="1:35" ht="20.100000000000001" hidden="1" customHeight="1">
      <c r="A227" s="24" t="str">
        <f>ÖSSZES!$A$79</f>
        <v>Név8</v>
      </c>
      <c r="B227" s="39"/>
      <c r="C227" s="39"/>
      <c r="D227" s="39"/>
      <c r="E227" s="39"/>
      <c r="F227" s="39"/>
      <c r="G227" s="39" t="s">
        <v>2</v>
      </c>
      <c r="H227" s="39" t="s">
        <v>2</v>
      </c>
      <c r="I227" s="39"/>
      <c r="J227" s="39"/>
      <c r="K227" s="39"/>
      <c r="L227" s="39"/>
      <c r="M227" s="39"/>
      <c r="N227" s="39"/>
      <c r="O227" s="39" t="s">
        <v>2</v>
      </c>
      <c r="P227" s="39" t="s">
        <v>2</v>
      </c>
      <c r="Q227" s="39"/>
      <c r="R227" s="39"/>
      <c r="S227" s="39"/>
      <c r="T227" s="39"/>
      <c r="U227" s="39"/>
      <c r="V227" s="39"/>
      <c r="W227" s="39" t="s">
        <v>2</v>
      </c>
      <c r="X227" s="39" t="s">
        <v>2</v>
      </c>
      <c r="Y227" s="39"/>
      <c r="Z227" s="39"/>
      <c r="AA227" s="39"/>
      <c r="AB227" s="39"/>
      <c r="AC227" s="39"/>
      <c r="AD227" s="39"/>
      <c r="AE227" s="39" t="s">
        <v>2</v>
      </c>
      <c r="AF227" s="39" t="s">
        <v>2</v>
      </c>
      <c r="AH227" s="20">
        <f t="shared" si="27"/>
        <v>0</v>
      </c>
      <c r="AI227" s="20">
        <f t="shared" si="28"/>
        <v>0</v>
      </c>
    </row>
    <row r="228" spans="1:35" ht="20.100000000000001" hidden="1" customHeight="1">
      <c r="A228" s="24" t="str">
        <f>ÖSSZES!$A$80</f>
        <v>Név9</v>
      </c>
      <c r="B228" s="39"/>
      <c r="C228" s="39"/>
      <c r="D228" s="39"/>
      <c r="E228" s="39"/>
      <c r="F228" s="39"/>
      <c r="G228" s="39" t="s">
        <v>2</v>
      </c>
      <c r="H228" s="39" t="s">
        <v>2</v>
      </c>
      <c r="I228" s="39"/>
      <c r="J228" s="39"/>
      <c r="K228" s="39"/>
      <c r="L228" s="39"/>
      <c r="M228" s="39"/>
      <c r="N228" s="39"/>
      <c r="O228" s="39" t="s">
        <v>2</v>
      </c>
      <c r="P228" s="39" t="s">
        <v>2</v>
      </c>
      <c r="Q228" s="39"/>
      <c r="R228" s="39"/>
      <c r="S228" s="39"/>
      <c r="T228" s="39"/>
      <c r="U228" s="39"/>
      <c r="V228" s="39"/>
      <c r="W228" s="39" t="s">
        <v>2</v>
      </c>
      <c r="X228" s="39" t="s">
        <v>2</v>
      </c>
      <c r="Y228" s="39"/>
      <c r="Z228" s="39"/>
      <c r="AA228" s="39"/>
      <c r="AB228" s="39"/>
      <c r="AC228" s="39"/>
      <c r="AD228" s="39"/>
      <c r="AE228" s="39" t="s">
        <v>2</v>
      </c>
      <c r="AF228" s="39" t="s">
        <v>2</v>
      </c>
      <c r="AH228" s="20">
        <f t="shared" si="27"/>
        <v>0</v>
      </c>
      <c r="AI228" s="20">
        <f t="shared" si="28"/>
        <v>0</v>
      </c>
    </row>
    <row r="229" spans="1:35" ht="20.100000000000001" hidden="1" customHeight="1">
      <c r="A229" s="24" t="str">
        <f>ÖSSZES!$A$81</f>
        <v>Név10</v>
      </c>
      <c r="B229" s="39"/>
      <c r="C229" s="39"/>
      <c r="D229" s="39"/>
      <c r="E229" s="39"/>
      <c r="F229" s="39"/>
      <c r="G229" s="39" t="s">
        <v>2</v>
      </c>
      <c r="H229" s="39" t="s">
        <v>2</v>
      </c>
      <c r="I229" s="39"/>
      <c r="J229" s="39"/>
      <c r="K229" s="39"/>
      <c r="L229" s="39"/>
      <c r="M229" s="39"/>
      <c r="N229" s="39"/>
      <c r="O229" s="39" t="s">
        <v>2</v>
      </c>
      <c r="P229" s="39" t="s">
        <v>2</v>
      </c>
      <c r="Q229" s="39"/>
      <c r="R229" s="39"/>
      <c r="S229" s="39"/>
      <c r="T229" s="39"/>
      <c r="U229" s="39"/>
      <c r="V229" s="39"/>
      <c r="W229" s="39" t="s">
        <v>2</v>
      </c>
      <c r="X229" s="39" t="s">
        <v>2</v>
      </c>
      <c r="Y229" s="39"/>
      <c r="Z229" s="39"/>
      <c r="AA229" s="39"/>
      <c r="AB229" s="39"/>
      <c r="AC229" s="39"/>
      <c r="AD229" s="39"/>
      <c r="AE229" s="39" t="s">
        <v>2</v>
      </c>
      <c r="AF229" s="39" t="s">
        <v>2</v>
      </c>
      <c r="AH229" s="20">
        <f t="shared" si="27"/>
        <v>0</v>
      </c>
      <c r="AI229" s="20">
        <f t="shared" si="28"/>
        <v>0</v>
      </c>
    </row>
    <row r="230" spans="1:35" ht="20.100000000000001" hidden="1" customHeight="1">
      <c r="A230" s="24" t="str">
        <f>ÖSSZES!$A$82</f>
        <v>Név11</v>
      </c>
      <c r="B230" s="39"/>
      <c r="C230" s="39"/>
      <c r="D230" s="39"/>
      <c r="E230" s="39"/>
      <c r="F230" s="39"/>
      <c r="G230" s="39" t="s">
        <v>2</v>
      </c>
      <c r="H230" s="39" t="s">
        <v>2</v>
      </c>
      <c r="I230" s="39"/>
      <c r="J230" s="39"/>
      <c r="K230" s="39"/>
      <c r="L230" s="39"/>
      <c r="M230" s="39"/>
      <c r="N230" s="39"/>
      <c r="O230" s="39" t="s">
        <v>2</v>
      </c>
      <c r="P230" s="39" t="s">
        <v>2</v>
      </c>
      <c r="Q230" s="39"/>
      <c r="R230" s="39"/>
      <c r="S230" s="39"/>
      <c r="T230" s="39"/>
      <c r="U230" s="39"/>
      <c r="V230" s="39"/>
      <c r="W230" s="39" t="s">
        <v>2</v>
      </c>
      <c r="X230" s="39" t="s">
        <v>2</v>
      </c>
      <c r="Y230" s="39"/>
      <c r="Z230" s="39"/>
      <c r="AA230" s="39"/>
      <c r="AB230" s="39"/>
      <c r="AC230" s="39"/>
      <c r="AD230" s="39"/>
      <c r="AE230" s="39" t="s">
        <v>2</v>
      </c>
      <c r="AF230" s="39" t="s">
        <v>2</v>
      </c>
      <c r="AH230" s="20">
        <f t="shared" si="27"/>
        <v>0</v>
      </c>
      <c r="AI230" s="20">
        <f t="shared" si="28"/>
        <v>0</v>
      </c>
    </row>
    <row r="231" spans="1:35" ht="20.100000000000001" hidden="1" customHeight="1">
      <c r="A231" s="24" t="str">
        <f>ÖSSZES!$A$83</f>
        <v>Név12</v>
      </c>
      <c r="B231" s="39"/>
      <c r="C231" s="39"/>
      <c r="D231" s="39"/>
      <c r="E231" s="39"/>
      <c r="F231" s="39"/>
      <c r="G231" s="39" t="s">
        <v>2</v>
      </c>
      <c r="H231" s="39" t="s">
        <v>2</v>
      </c>
      <c r="I231" s="39"/>
      <c r="J231" s="39"/>
      <c r="K231" s="39"/>
      <c r="L231" s="39"/>
      <c r="M231" s="39"/>
      <c r="N231" s="39"/>
      <c r="O231" s="39" t="s">
        <v>2</v>
      </c>
      <c r="P231" s="39" t="s">
        <v>2</v>
      </c>
      <c r="Q231" s="39"/>
      <c r="R231" s="39"/>
      <c r="S231" s="39"/>
      <c r="T231" s="39"/>
      <c r="U231" s="39"/>
      <c r="V231" s="39"/>
      <c r="W231" s="39" t="s">
        <v>2</v>
      </c>
      <c r="X231" s="39" t="s">
        <v>2</v>
      </c>
      <c r="Y231" s="39"/>
      <c r="Z231" s="39"/>
      <c r="AA231" s="39"/>
      <c r="AB231" s="39"/>
      <c r="AC231" s="39"/>
      <c r="AD231" s="39"/>
      <c r="AE231" s="39" t="s">
        <v>2</v>
      </c>
      <c r="AF231" s="39" t="s">
        <v>2</v>
      </c>
      <c r="AH231" s="20">
        <f t="shared" si="27"/>
        <v>0</v>
      </c>
      <c r="AI231" s="20">
        <f t="shared" si="28"/>
        <v>0</v>
      </c>
    </row>
    <row r="232" spans="1:35" ht="20.100000000000001" hidden="1" customHeight="1">
      <c r="A232" s="24" t="str">
        <f>ÖSSZES!$A$84</f>
        <v>Név13</v>
      </c>
      <c r="B232" s="39"/>
      <c r="C232" s="39"/>
      <c r="D232" s="39"/>
      <c r="E232" s="39"/>
      <c r="F232" s="39"/>
      <c r="G232" s="39" t="s">
        <v>2</v>
      </c>
      <c r="H232" s="39" t="s">
        <v>2</v>
      </c>
      <c r="I232" s="39"/>
      <c r="J232" s="39"/>
      <c r="K232" s="39"/>
      <c r="L232" s="39"/>
      <c r="M232" s="39"/>
      <c r="N232" s="39"/>
      <c r="O232" s="39" t="s">
        <v>2</v>
      </c>
      <c r="P232" s="39" t="s">
        <v>2</v>
      </c>
      <c r="Q232" s="39"/>
      <c r="R232" s="39"/>
      <c r="S232" s="39"/>
      <c r="T232" s="39"/>
      <c r="U232" s="39"/>
      <c r="V232" s="39"/>
      <c r="W232" s="39" t="s">
        <v>2</v>
      </c>
      <c r="X232" s="39" t="s">
        <v>2</v>
      </c>
      <c r="Y232" s="39"/>
      <c r="Z232" s="39"/>
      <c r="AA232" s="39"/>
      <c r="AB232" s="39"/>
      <c r="AC232" s="39"/>
      <c r="AD232" s="39"/>
      <c r="AE232" s="39" t="s">
        <v>2</v>
      </c>
      <c r="AF232" s="39" t="s">
        <v>2</v>
      </c>
      <c r="AH232" s="20">
        <f t="shared" si="27"/>
        <v>0</v>
      </c>
      <c r="AI232" s="20">
        <f t="shared" si="28"/>
        <v>0</v>
      </c>
    </row>
    <row r="233" spans="1:35" ht="20.100000000000001" hidden="1" customHeight="1">
      <c r="A233" s="24" t="str">
        <f>ÖSSZES!$A$85</f>
        <v>Név14</v>
      </c>
      <c r="B233" s="39"/>
      <c r="C233" s="39"/>
      <c r="D233" s="39"/>
      <c r="E233" s="39"/>
      <c r="F233" s="39"/>
      <c r="G233" s="39" t="s">
        <v>2</v>
      </c>
      <c r="H233" s="39" t="s">
        <v>2</v>
      </c>
      <c r="I233" s="39"/>
      <c r="J233" s="39"/>
      <c r="K233" s="39"/>
      <c r="L233" s="39"/>
      <c r="M233" s="39"/>
      <c r="N233" s="39"/>
      <c r="O233" s="39" t="s">
        <v>2</v>
      </c>
      <c r="P233" s="39" t="s">
        <v>2</v>
      </c>
      <c r="Q233" s="39"/>
      <c r="R233" s="39"/>
      <c r="S233" s="39"/>
      <c r="T233" s="39"/>
      <c r="U233" s="39"/>
      <c r="V233" s="39"/>
      <c r="W233" s="39" t="s">
        <v>2</v>
      </c>
      <c r="X233" s="39" t="s">
        <v>2</v>
      </c>
      <c r="Y233" s="39"/>
      <c r="Z233" s="39"/>
      <c r="AA233" s="39"/>
      <c r="AB233" s="39"/>
      <c r="AC233" s="39"/>
      <c r="AD233" s="39"/>
      <c r="AE233" s="39" t="s">
        <v>2</v>
      </c>
      <c r="AF233" s="39" t="s">
        <v>2</v>
      </c>
      <c r="AH233" s="20">
        <f t="shared" si="27"/>
        <v>0</v>
      </c>
      <c r="AI233" s="20">
        <f t="shared" si="28"/>
        <v>0</v>
      </c>
    </row>
    <row r="234" spans="1:35" ht="20.100000000000001" hidden="1" customHeight="1">
      <c r="A234" s="24" t="str">
        <f>ÖSSZES!$A$86</f>
        <v>Név15</v>
      </c>
      <c r="B234" s="39"/>
      <c r="C234" s="39"/>
      <c r="D234" s="39"/>
      <c r="E234" s="39"/>
      <c r="F234" s="39"/>
      <c r="G234" s="39" t="s">
        <v>2</v>
      </c>
      <c r="H234" s="39" t="s">
        <v>2</v>
      </c>
      <c r="I234" s="39"/>
      <c r="J234" s="39"/>
      <c r="K234" s="39"/>
      <c r="L234" s="39"/>
      <c r="M234" s="39"/>
      <c r="N234" s="39"/>
      <c r="O234" s="39" t="s">
        <v>2</v>
      </c>
      <c r="P234" s="39" t="s">
        <v>2</v>
      </c>
      <c r="Q234" s="39"/>
      <c r="R234" s="39"/>
      <c r="S234" s="39"/>
      <c r="T234" s="39"/>
      <c r="U234" s="39"/>
      <c r="V234" s="39"/>
      <c r="W234" s="39" t="s">
        <v>2</v>
      </c>
      <c r="X234" s="39" t="s">
        <v>2</v>
      </c>
      <c r="Y234" s="39"/>
      <c r="Z234" s="39"/>
      <c r="AA234" s="39"/>
      <c r="AB234" s="39"/>
      <c r="AC234" s="39"/>
      <c r="AD234" s="39"/>
      <c r="AE234" s="39" t="s">
        <v>2</v>
      </c>
      <c r="AF234" s="39" t="s">
        <v>2</v>
      </c>
      <c r="AH234" s="20">
        <f t="shared" si="27"/>
        <v>0</v>
      </c>
      <c r="AI234" s="20">
        <f t="shared" si="28"/>
        <v>0</v>
      </c>
    </row>
    <row r="235" spans="1:35" ht="20.100000000000001" hidden="1" customHeight="1">
      <c r="A235" s="24" t="str">
        <f>ÖSSZES!$A$87</f>
        <v>Név16</v>
      </c>
      <c r="B235" s="39"/>
      <c r="C235" s="39"/>
      <c r="D235" s="39"/>
      <c r="E235" s="39"/>
      <c r="F235" s="39"/>
      <c r="G235" s="39" t="s">
        <v>2</v>
      </c>
      <c r="H235" s="39" t="s">
        <v>2</v>
      </c>
      <c r="I235" s="39"/>
      <c r="J235" s="39"/>
      <c r="K235" s="39"/>
      <c r="L235" s="39"/>
      <c r="M235" s="39"/>
      <c r="N235" s="39"/>
      <c r="O235" s="39" t="s">
        <v>2</v>
      </c>
      <c r="P235" s="39" t="s">
        <v>2</v>
      </c>
      <c r="Q235" s="39"/>
      <c r="R235" s="39"/>
      <c r="S235" s="39"/>
      <c r="T235" s="39"/>
      <c r="U235" s="39"/>
      <c r="V235" s="39"/>
      <c r="W235" s="39" t="s">
        <v>2</v>
      </c>
      <c r="X235" s="39" t="s">
        <v>2</v>
      </c>
      <c r="Y235" s="39"/>
      <c r="Z235" s="39"/>
      <c r="AA235" s="39"/>
      <c r="AB235" s="39"/>
      <c r="AC235" s="39"/>
      <c r="AD235" s="39"/>
      <c r="AE235" s="39" t="s">
        <v>2</v>
      </c>
      <c r="AF235" s="39" t="s">
        <v>2</v>
      </c>
      <c r="AH235" s="20">
        <f t="shared" si="27"/>
        <v>0</v>
      </c>
      <c r="AI235" s="20">
        <f t="shared" si="28"/>
        <v>0</v>
      </c>
    </row>
    <row r="236" spans="1:35" ht="20.100000000000001" hidden="1" customHeight="1">
      <c r="A236" s="24" t="str">
        <f>ÖSSZES!$A$88</f>
        <v>Név17</v>
      </c>
      <c r="B236" s="39"/>
      <c r="C236" s="39"/>
      <c r="D236" s="39"/>
      <c r="E236" s="39"/>
      <c r="F236" s="39"/>
      <c r="G236" s="39" t="s">
        <v>2</v>
      </c>
      <c r="H236" s="39" t="s">
        <v>2</v>
      </c>
      <c r="I236" s="39"/>
      <c r="J236" s="39"/>
      <c r="K236" s="39"/>
      <c r="L236" s="39"/>
      <c r="M236" s="39"/>
      <c r="N236" s="39"/>
      <c r="O236" s="39" t="s">
        <v>2</v>
      </c>
      <c r="P236" s="39" t="s">
        <v>2</v>
      </c>
      <c r="Q236" s="39"/>
      <c r="R236" s="39"/>
      <c r="S236" s="39"/>
      <c r="T236" s="39"/>
      <c r="U236" s="39"/>
      <c r="V236" s="39"/>
      <c r="W236" s="39" t="s">
        <v>2</v>
      </c>
      <c r="X236" s="39" t="s">
        <v>2</v>
      </c>
      <c r="Y236" s="39"/>
      <c r="Z236" s="39"/>
      <c r="AA236" s="39"/>
      <c r="AB236" s="39"/>
      <c r="AC236" s="39"/>
      <c r="AD236" s="39"/>
      <c r="AE236" s="39" t="s">
        <v>2</v>
      </c>
      <c r="AF236" s="39" t="s">
        <v>2</v>
      </c>
      <c r="AH236" s="20">
        <f t="shared" si="27"/>
        <v>0</v>
      </c>
      <c r="AI236" s="20">
        <f t="shared" si="28"/>
        <v>0</v>
      </c>
    </row>
    <row r="237" spans="1:35" ht="20.100000000000001" hidden="1" customHeight="1">
      <c r="A237" s="24" t="str">
        <f>ÖSSZES!$A$89</f>
        <v>Név18</v>
      </c>
      <c r="B237" s="39"/>
      <c r="C237" s="39"/>
      <c r="D237" s="39"/>
      <c r="E237" s="39"/>
      <c r="F237" s="39"/>
      <c r="G237" s="39" t="s">
        <v>2</v>
      </c>
      <c r="H237" s="39" t="s">
        <v>2</v>
      </c>
      <c r="I237" s="39"/>
      <c r="J237" s="39"/>
      <c r="K237" s="39"/>
      <c r="L237" s="39"/>
      <c r="M237" s="39"/>
      <c r="N237" s="39"/>
      <c r="O237" s="39" t="s">
        <v>2</v>
      </c>
      <c r="P237" s="39" t="s">
        <v>2</v>
      </c>
      <c r="Q237" s="39"/>
      <c r="R237" s="39"/>
      <c r="S237" s="39"/>
      <c r="T237" s="39"/>
      <c r="U237" s="39"/>
      <c r="V237" s="39"/>
      <c r="W237" s="39" t="s">
        <v>2</v>
      </c>
      <c r="X237" s="39" t="s">
        <v>2</v>
      </c>
      <c r="Y237" s="39"/>
      <c r="Z237" s="39"/>
      <c r="AA237" s="39"/>
      <c r="AB237" s="39"/>
      <c r="AC237" s="39"/>
      <c r="AD237" s="39"/>
      <c r="AE237" s="39" t="s">
        <v>2</v>
      </c>
      <c r="AF237" s="39" t="s">
        <v>2</v>
      </c>
      <c r="AH237" s="20">
        <f t="shared" si="27"/>
        <v>0</v>
      </c>
      <c r="AI237" s="20">
        <f t="shared" si="28"/>
        <v>0</v>
      </c>
    </row>
    <row r="238" spans="1:35" ht="20.100000000000001" hidden="1" customHeight="1">
      <c r="A238" s="24" t="str">
        <f>ÖSSZES!$A$90</f>
        <v>Név19</v>
      </c>
      <c r="B238" s="39"/>
      <c r="C238" s="39"/>
      <c r="D238" s="39"/>
      <c r="E238" s="39"/>
      <c r="F238" s="39"/>
      <c r="G238" s="39" t="s">
        <v>2</v>
      </c>
      <c r="H238" s="39" t="s">
        <v>2</v>
      </c>
      <c r="I238" s="39"/>
      <c r="J238" s="39"/>
      <c r="K238" s="39"/>
      <c r="L238" s="39"/>
      <c r="M238" s="39"/>
      <c r="N238" s="39"/>
      <c r="O238" s="39" t="s">
        <v>2</v>
      </c>
      <c r="P238" s="39" t="s">
        <v>2</v>
      </c>
      <c r="Q238" s="39"/>
      <c r="R238" s="39"/>
      <c r="S238" s="39"/>
      <c r="T238" s="39"/>
      <c r="U238" s="39"/>
      <c r="V238" s="39"/>
      <c r="W238" s="39" t="s">
        <v>2</v>
      </c>
      <c r="X238" s="39" t="s">
        <v>2</v>
      </c>
      <c r="Y238" s="39"/>
      <c r="Z238" s="39"/>
      <c r="AA238" s="39"/>
      <c r="AB238" s="39"/>
      <c r="AC238" s="39"/>
      <c r="AD238" s="39"/>
      <c r="AE238" s="39" t="s">
        <v>2</v>
      </c>
      <c r="AF238" s="39" t="s">
        <v>2</v>
      </c>
      <c r="AH238" s="20">
        <f t="shared" si="27"/>
        <v>0</v>
      </c>
      <c r="AI238" s="20">
        <f t="shared" si="28"/>
        <v>0</v>
      </c>
    </row>
    <row r="239" spans="1:35" ht="20.100000000000001" hidden="1" customHeight="1">
      <c r="A239" s="24" t="str">
        <f>ÖSSZES!$A$91</f>
        <v>Név20</v>
      </c>
      <c r="B239" s="39"/>
      <c r="C239" s="39"/>
      <c r="D239" s="39"/>
      <c r="E239" s="39"/>
      <c r="F239" s="39"/>
      <c r="G239" s="39" t="s">
        <v>2</v>
      </c>
      <c r="H239" s="39" t="s">
        <v>2</v>
      </c>
      <c r="I239" s="39"/>
      <c r="J239" s="39"/>
      <c r="K239" s="39"/>
      <c r="L239" s="39"/>
      <c r="M239" s="39"/>
      <c r="N239" s="39"/>
      <c r="O239" s="39" t="s">
        <v>2</v>
      </c>
      <c r="P239" s="39" t="s">
        <v>2</v>
      </c>
      <c r="Q239" s="39"/>
      <c r="R239" s="39"/>
      <c r="S239" s="39"/>
      <c r="T239" s="39"/>
      <c r="U239" s="39"/>
      <c r="V239" s="39"/>
      <c r="W239" s="39" t="s">
        <v>2</v>
      </c>
      <c r="X239" s="39" t="s">
        <v>2</v>
      </c>
      <c r="Y239" s="39"/>
      <c r="Z239" s="39"/>
      <c r="AA239" s="39"/>
      <c r="AB239" s="39"/>
      <c r="AC239" s="39"/>
      <c r="AD239" s="39"/>
      <c r="AE239" s="39" t="s">
        <v>2</v>
      </c>
      <c r="AF239" s="39" t="s">
        <v>2</v>
      </c>
      <c r="AH239" s="20">
        <f t="shared" si="27"/>
        <v>0</v>
      </c>
      <c r="AI239" s="20">
        <f t="shared" si="28"/>
        <v>0</v>
      </c>
    </row>
    <row r="240" spans="1:35" ht="20.100000000000001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H240" s="14"/>
      <c r="AI240" s="14"/>
    </row>
    <row r="241" spans="1:35" s="11" customFormat="1" ht="20.100000000000001" customHeight="1">
      <c r="A241" s="57" t="s">
        <v>15</v>
      </c>
      <c r="B241" s="25">
        <v>1</v>
      </c>
      <c r="C241" s="23">
        <v>2</v>
      </c>
      <c r="D241" s="23">
        <v>3</v>
      </c>
      <c r="E241" s="23">
        <v>4</v>
      </c>
      <c r="F241" s="23">
        <v>5</v>
      </c>
      <c r="G241" s="23">
        <v>6</v>
      </c>
      <c r="H241" s="23">
        <v>7</v>
      </c>
      <c r="I241" s="23">
        <v>8</v>
      </c>
      <c r="J241" s="23">
        <v>9</v>
      </c>
      <c r="K241" s="23">
        <v>10</v>
      </c>
      <c r="L241" s="23">
        <v>11</v>
      </c>
      <c r="M241" s="23">
        <v>12</v>
      </c>
      <c r="N241" s="23">
        <v>13</v>
      </c>
      <c r="O241" s="23">
        <v>14</v>
      </c>
      <c r="P241" s="23">
        <v>15</v>
      </c>
      <c r="Q241" s="23">
        <v>16</v>
      </c>
      <c r="R241" s="23">
        <v>17</v>
      </c>
      <c r="S241" s="23">
        <v>18</v>
      </c>
      <c r="T241" s="23">
        <v>19</v>
      </c>
      <c r="U241" s="23">
        <v>20</v>
      </c>
      <c r="V241" s="23">
        <v>21</v>
      </c>
      <c r="W241" s="23">
        <v>22</v>
      </c>
      <c r="X241" s="23">
        <v>23</v>
      </c>
      <c r="Y241" s="23">
        <v>24</v>
      </c>
      <c r="Z241" s="23">
        <v>25</v>
      </c>
      <c r="AA241" s="23">
        <v>26</v>
      </c>
      <c r="AB241" s="23">
        <v>27</v>
      </c>
      <c r="AC241" s="23">
        <v>28</v>
      </c>
      <c r="AD241" s="23">
        <v>29</v>
      </c>
      <c r="AE241" s="23">
        <v>30</v>
      </c>
      <c r="AH241" s="59" t="s">
        <v>18</v>
      </c>
      <c r="AI241" s="59" t="s">
        <v>19</v>
      </c>
    </row>
    <row r="242" spans="1:35" ht="20.100000000000001" customHeight="1">
      <c r="A242" s="61"/>
      <c r="B242" s="15" t="str">
        <f>'2021'!B84</f>
        <v>H</v>
      </c>
      <c r="C242" s="15" t="str">
        <f>'2021'!C84</f>
        <v>K</v>
      </c>
      <c r="D242" s="15" t="str">
        <f>'2021'!D84</f>
        <v>Sze</v>
      </c>
      <c r="E242" s="15" t="str">
        <f>'2021'!E84</f>
        <v>Cs</v>
      </c>
      <c r="F242" s="15" t="str">
        <f>'2021'!F84</f>
        <v>P</v>
      </c>
      <c r="G242" s="15" t="str">
        <f>'2021'!G84</f>
        <v>Szo</v>
      </c>
      <c r="H242" s="15" t="str">
        <f>'2021'!H84</f>
        <v>V</v>
      </c>
      <c r="I242" s="15" t="str">
        <f>'2021'!I84</f>
        <v>H</v>
      </c>
      <c r="J242" s="15" t="str">
        <f>'2021'!J84</f>
        <v>K</v>
      </c>
      <c r="K242" s="15" t="str">
        <f>'2021'!K84</f>
        <v>Sze</v>
      </c>
      <c r="L242" s="15" t="str">
        <f>'2021'!L84</f>
        <v>Cs</v>
      </c>
      <c r="M242" s="15" t="str">
        <f>'2021'!M84</f>
        <v>P</v>
      </c>
      <c r="N242" s="15" t="str">
        <f>'2021'!N84</f>
        <v>Szo</v>
      </c>
      <c r="O242" s="15" t="str">
        <f>'2021'!O84</f>
        <v>V</v>
      </c>
      <c r="P242" s="15" t="str">
        <f>'2021'!P84</f>
        <v>H</v>
      </c>
      <c r="Q242" s="15" t="str">
        <f>'2021'!Q84</f>
        <v>K</v>
      </c>
      <c r="R242" s="15" t="str">
        <f>'2021'!R84</f>
        <v>Sze</v>
      </c>
      <c r="S242" s="15" t="str">
        <f>'2021'!S84</f>
        <v>Cs</v>
      </c>
      <c r="T242" s="15" t="str">
        <f>'2021'!T84</f>
        <v>P</v>
      </c>
      <c r="U242" s="15" t="str">
        <f>'2021'!U84</f>
        <v>Szo</v>
      </c>
      <c r="V242" s="15" t="str">
        <f>'2021'!V84</f>
        <v>V</v>
      </c>
      <c r="W242" s="15" t="str">
        <f>'2021'!W84</f>
        <v>H</v>
      </c>
      <c r="X242" s="15" t="str">
        <f>'2021'!X84</f>
        <v>K</v>
      </c>
      <c r="Y242" s="15" t="str">
        <f>'2021'!Y84</f>
        <v>Sze</v>
      </c>
      <c r="Z242" s="15" t="str">
        <f>'2021'!Z84</f>
        <v>Cs</v>
      </c>
      <c r="AA242" s="15" t="str">
        <f>'2021'!AA84</f>
        <v>P</v>
      </c>
      <c r="AB242" s="15" t="str">
        <f>'2021'!AB84</f>
        <v>Szo</v>
      </c>
      <c r="AC242" s="15" t="str">
        <f>'2021'!AC84</f>
        <v>V</v>
      </c>
      <c r="AD242" s="15" t="str">
        <f>'2021'!AD84</f>
        <v>H</v>
      </c>
      <c r="AE242" s="15" t="str">
        <f>'2021'!AE84</f>
        <v>K</v>
      </c>
      <c r="AF242" s="6"/>
      <c r="AH242" s="60"/>
      <c r="AI242" s="60"/>
    </row>
    <row r="243" spans="1:35" ht="20.100000000000001" customHeight="1">
      <c r="A243" s="61"/>
      <c r="B243" s="15">
        <f>'2021'!B88</f>
        <v>2</v>
      </c>
      <c r="C243" s="15">
        <f>'2021'!C88</f>
        <v>2</v>
      </c>
      <c r="D243" s="15">
        <f>'2021'!D88</f>
        <v>2</v>
      </c>
      <c r="E243" s="15">
        <f>'2021'!E88</f>
        <v>2</v>
      </c>
      <c r="F243" s="15">
        <f>'2021'!F88</f>
        <v>2</v>
      </c>
      <c r="G243" s="15">
        <f>'2021'!G88</f>
        <v>2</v>
      </c>
      <c r="H243" s="15" t="str">
        <f>'2021'!H88</f>
        <v>X</v>
      </c>
      <c r="I243" s="15" t="str">
        <f>'2021'!I88</f>
        <v>X</v>
      </c>
      <c r="J243" s="15">
        <f>'2021'!J88</f>
        <v>1</v>
      </c>
      <c r="K243" s="15">
        <f>'2021'!K88</f>
        <v>1</v>
      </c>
      <c r="L243" s="15">
        <f>'2021'!L88</f>
        <v>1</v>
      </c>
      <c r="M243" s="15">
        <f>'2021'!M88</f>
        <v>1</v>
      </c>
      <c r="N243" s="15">
        <f>'2021'!N88</f>
        <v>1</v>
      </c>
      <c r="O243" s="15">
        <f>'2021'!O88</f>
        <v>1</v>
      </c>
      <c r="P243" s="15" t="str">
        <f>'2021'!P88</f>
        <v>X</v>
      </c>
      <c r="Q243" s="15" t="str">
        <f>'2021'!Q88</f>
        <v>X</v>
      </c>
      <c r="R243" s="15">
        <f>'2021'!R88</f>
        <v>3</v>
      </c>
      <c r="S243" s="15">
        <f>'2021'!S88</f>
        <v>3</v>
      </c>
      <c r="T243" s="15">
        <f>'2021'!T88</f>
        <v>3</v>
      </c>
      <c r="U243" s="15">
        <f>'2021'!U88</f>
        <v>3</v>
      </c>
      <c r="V243" s="15">
        <f>'2021'!V88</f>
        <v>3</v>
      </c>
      <c r="W243" s="15">
        <f>'2021'!W88</f>
        <v>3</v>
      </c>
      <c r="X243" s="15" t="str">
        <f>'2021'!X88</f>
        <v>X</v>
      </c>
      <c r="Y243" s="15" t="str">
        <f>'2021'!Y88</f>
        <v>X</v>
      </c>
      <c r="Z243" s="15">
        <f>'2021'!Z88</f>
        <v>2</v>
      </c>
      <c r="AA243" s="15">
        <f>'2021'!AA88</f>
        <v>2</v>
      </c>
      <c r="AB243" s="15">
        <f>'2021'!AB88</f>
        <v>2</v>
      </c>
      <c r="AC243" s="15">
        <f>'2021'!AC88</f>
        <v>2</v>
      </c>
      <c r="AD243" s="15">
        <f>'2021'!AD88</f>
        <v>2</v>
      </c>
      <c r="AE243" s="15">
        <f>'2021'!AE88</f>
        <v>2</v>
      </c>
      <c r="AF243" s="6"/>
      <c r="AH243" s="60"/>
      <c r="AI243" s="60"/>
    </row>
    <row r="244" spans="1:35" ht="20.100000000000001" customHeight="1">
      <c r="A244" s="24" t="str">
        <f>ÖSSZES!$A$72</f>
        <v>Daku Gábor</v>
      </c>
      <c r="B244" s="39">
        <f>[1]D!B114</f>
        <v>0</v>
      </c>
      <c r="C244" s="39">
        <f>[1]D!C114</f>
        <v>0</v>
      </c>
      <c r="D244" s="39">
        <f>[1]D!D114</f>
        <v>0</v>
      </c>
      <c r="E244" s="39">
        <f>[1]D!E114</f>
        <v>0</v>
      </c>
      <c r="F244" s="39">
        <f>[1]D!F114</f>
        <v>0</v>
      </c>
      <c r="G244" s="39">
        <f>[1]D!G114</f>
        <v>0</v>
      </c>
      <c r="H244" s="39" t="str">
        <f>[1]D!H114</f>
        <v>X</v>
      </c>
      <c r="I244" s="39" t="str">
        <f>[1]D!I114</f>
        <v>X</v>
      </c>
      <c r="J244" s="39">
        <f>[1]D!J114</f>
        <v>0</v>
      </c>
      <c r="K244" s="39">
        <f>[1]D!K114</f>
        <v>0</v>
      </c>
      <c r="L244" s="39">
        <f>[1]D!L114</f>
        <v>0</v>
      </c>
      <c r="M244" s="39">
        <f>[1]D!M114</f>
        <v>0</v>
      </c>
      <c r="N244" s="39">
        <f>[1]D!N114</f>
        <v>0</v>
      </c>
      <c r="O244" s="39">
        <f>[1]D!O114</f>
        <v>0</v>
      </c>
      <c r="P244" s="39" t="str">
        <f>[1]D!P114</f>
        <v>X</v>
      </c>
      <c r="Q244" s="39" t="str">
        <f>[1]D!Q114</f>
        <v>X</v>
      </c>
      <c r="R244" s="39">
        <f>[1]D!R114</f>
        <v>0</v>
      </c>
      <c r="S244" s="39">
        <f>[1]D!S114</f>
        <v>0</v>
      </c>
      <c r="T244" s="39">
        <f>[1]D!T114</f>
        <v>0</v>
      </c>
      <c r="U244" s="39">
        <f>[1]D!U114</f>
        <v>0</v>
      </c>
      <c r="V244" s="39">
        <f>[1]D!V114</f>
        <v>0</v>
      </c>
      <c r="W244" s="39">
        <f>[1]D!W114</f>
        <v>0</v>
      </c>
      <c r="X244" s="39" t="str">
        <f>[1]D!X114</f>
        <v>X</v>
      </c>
      <c r="Y244" s="39" t="str">
        <f>[1]D!Y114</f>
        <v>X</v>
      </c>
      <c r="Z244" s="39">
        <f>[1]D!Z114</f>
        <v>0</v>
      </c>
      <c r="AA244" s="39">
        <f>[1]D!AA114</f>
        <v>0</v>
      </c>
      <c r="AB244" s="39">
        <f>[1]D!AB114</f>
        <v>0</v>
      </c>
      <c r="AC244" s="39">
        <f>[1]D!AC114</f>
        <v>0</v>
      </c>
      <c r="AD244" s="39">
        <f>[1]D!AD114</f>
        <v>0</v>
      </c>
      <c r="AE244" s="39">
        <f>[1]D!AE114</f>
        <v>0</v>
      </c>
      <c r="AF244" s="6"/>
      <c r="AH244" s="20">
        <f>1*COUNTIF(A244:AF244,"+")</f>
        <v>0</v>
      </c>
      <c r="AI244" s="20">
        <f t="shared" ref="AI244" si="29">1*COUNTIF(B244:AF244,"szf")</f>
        <v>0</v>
      </c>
    </row>
    <row r="245" spans="1:35" ht="20.100000000000001" customHeight="1">
      <c r="A245" s="24" t="str">
        <f>ÖSSZES!$A$73</f>
        <v>Borbély Csaba</v>
      </c>
      <c r="B245" s="39">
        <f>[1]D!B115</f>
        <v>0</v>
      </c>
      <c r="C245" s="39">
        <f>[1]D!C115</f>
        <v>0</v>
      </c>
      <c r="D245" s="39">
        <f>[1]D!D115</f>
        <v>0</v>
      </c>
      <c r="E245" s="39">
        <f>[1]D!E115</f>
        <v>0</v>
      </c>
      <c r="F245" s="39">
        <f>[1]D!F115</f>
        <v>0</v>
      </c>
      <c r="G245" s="39">
        <f>[1]D!G115</f>
        <v>0</v>
      </c>
      <c r="H245" s="39" t="str">
        <f>[1]D!H115</f>
        <v>X</v>
      </c>
      <c r="I245" s="39" t="str">
        <f>[1]D!I115</f>
        <v>X</v>
      </c>
      <c r="J245" s="39">
        <f>[1]D!J115</f>
        <v>0</v>
      </c>
      <c r="K245" s="39">
        <f>[1]D!K115</f>
        <v>0</v>
      </c>
      <c r="L245" s="39">
        <f>[1]D!L115</f>
        <v>0</v>
      </c>
      <c r="M245" s="39">
        <f>[1]D!M115</f>
        <v>0</v>
      </c>
      <c r="N245" s="39">
        <f>[1]D!N115</f>
        <v>0</v>
      </c>
      <c r="O245" s="39">
        <f>[1]D!O115</f>
        <v>0</v>
      </c>
      <c r="P245" s="39" t="str">
        <f>[1]D!P115</f>
        <v>X</v>
      </c>
      <c r="Q245" s="39" t="str">
        <f>[1]D!Q115</f>
        <v>X</v>
      </c>
      <c r="R245" s="39">
        <f>[1]D!R115</f>
        <v>0</v>
      </c>
      <c r="S245" s="39">
        <f>[1]D!S115</f>
        <v>0</v>
      </c>
      <c r="T245" s="39">
        <f>[1]D!T115</f>
        <v>0</v>
      </c>
      <c r="U245" s="39">
        <f>[1]D!U115</f>
        <v>0</v>
      </c>
      <c r="V245" s="39">
        <f>[1]D!V115</f>
        <v>0</v>
      </c>
      <c r="W245" s="39">
        <f>[1]D!W115</f>
        <v>0</v>
      </c>
      <c r="X245" s="39" t="str">
        <f>[1]D!X115</f>
        <v>X</v>
      </c>
      <c r="Y245" s="39" t="str">
        <f>[1]D!Y115</f>
        <v>X</v>
      </c>
      <c r="Z245" s="39">
        <f>[1]D!Z115</f>
        <v>0</v>
      </c>
      <c r="AA245" s="39">
        <f>[1]D!AA115</f>
        <v>0</v>
      </c>
      <c r="AB245" s="39">
        <f>[1]D!AB115</f>
        <v>0</v>
      </c>
      <c r="AC245" s="39">
        <f>[1]D!AC115</f>
        <v>0</v>
      </c>
      <c r="AD245" s="39">
        <f>[1]D!AD115</f>
        <v>0</v>
      </c>
      <c r="AE245" s="39">
        <f>[1]D!AE115</f>
        <v>0</v>
      </c>
      <c r="AF245" s="6"/>
      <c r="AH245" s="20">
        <f t="shared" ref="AH245:AH263" si="30">1*COUNTIF(A245:AF245,"+")</f>
        <v>0</v>
      </c>
      <c r="AI245" s="20">
        <f t="shared" ref="AI245:AI263" si="31">1*COUNTIF(B245:AF245,"szf")</f>
        <v>0</v>
      </c>
    </row>
    <row r="246" spans="1:35" ht="20.100000000000001" customHeight="1">
      <c r="A246" s="24" t="str">
        <f>ÖSSZES!$A$74</f>
        <v>Erdei Bálint</v>
      </c>
      <c r="B246" s="39">
        <f>[1]D!B116</f>
        <v>0</v>
      </c>
      <c r="C246" s="39">
        <f>[1]D!C116</f>
        <v>0</v>
      </c>
      <c r="D246" s="39">
        <f>[1]D!D116</f>
        <v>0</v>
      </c>
      <c r="E246" s="39">
        <f>[1]D!E116</f>
        <v>0</v>
      </c>
      <c r="F246" s="39">
        <f>[1]D!F116</f>
        <v>0</v>
      </c>
      <c r="G246" s="39">
        <f>[1]D!G116</f>
        <v>0</v>
      </c>
      <c r="H246" s="39" t="str">
        <f>[1]D!H116</f>
        <v>X</v>
      </c>
      <c r="I246" s="39" t="str">
        <f>[1]D!I116</f>
        <v>X</v>
      </c>
      <c r="J246" s="39">
        <f>[1]D!J116</f>
        <v>0</v>
      </c>
      <c r="K246" s="39">
        <f>[1]D!K116</f>
        <v>0</v>
      </c>
      <c r="L246" s="39">
        <f>[1]D!L116</f>
        <v>0</v>
      </c>
      <c r="M246" s="39">
        <f>[1]D!M116</f>
        <v>0</v>
      </c>
      <c r="N246" s="39">
        <f>[1]D!N116</f>
        <v>0</v>
      </c>
      <c r="O246" s="39">
        <f>[1]D!O116</f>
        <v>0</v>
      </c>
      <c r="P246" s="39" t="str">
        <f>[1]D!P116</f>
        <v>X</v>
      </c>
      <c r="Q246" s="39" t="str">
        <f>[1]D!Q116</f>
        <v>X</v>
      </c>
      <c r="R246" s="39">
        <f>[1]D!R116</f>
        <v>0</v>
      </c>
      <c r="S246" s="39">
        <f>[1]D!S116</f>
        <v>0</v>
      </c>
      <c r="T246" s="39">
        <f>[1]D!T116</f>
        <v>0</v>
      </c>
      <c r="U246" s="39">
        <f>[1]D!U116</f>
        <v>0</v>
      </c>
      <c r="V246" s="39">
        <f>[1]D!V116</f>
        <v>0</v>
      </c>
      <c r="W246" s="39">
        <f>[1]D!W116</f>
        <v>0</v>
      </c>
      <c r="X246" s="39" t="str">
        <f>[1]D!X116</f>
        <v>X</v>
      </c>
      <c r="Y246" s="39" t="str">
        <f>[1]D!Y116</f>
        <v>X</v>
      </c>
      <c r="Z246" s="39">
        <f>[1]D!Z116</f>
        <v>0</v>
      </c>
      <c r="AA246" s="39">
        <f>[1]D!AA116</f>
        <v>0</v>
      </c>
      <c r="AB246" s="39">
        <f>[1]D!AB116</f>
        <v>0</v>
      </c>
      <c r="AC246" s="39">
        <f>[1]D!AC116</f>
        <v>0</v>
      </c>
      <c r="AD246" s="39">
        <f>[1]D!AD116</f>
        <v>0</v>
      </c>
      <c r="AE246" s="39">
        <f>[1]D!AE116</f>
        <v>0</v>
      </c>
      <c r="AF246" s="6"/>
      <c r="AH246" s="20">
        <f t="shared" si="30"/>
        <v>0</v>
      </c>
      <c r="AI246" s="20">
        <f t="shared" si="31"/>
        <v>0</v>
      </c>
    </row>
    <row r="247" spans="1:35" ht="20.100000000000001" customHeight="1">
      <c r="A247" s="24" t="str">
        <f>ÖSSZES!$A$75</f>
        <v>Fábián Gábor</v>
      </c>
      <c r="B247" s="39">
        <f>[1]D!B117</f>
        <v>0</v>
      </c>
      <c r="C247" s="39">
        <f>[1]D!C117</f>
        <v>0</v>
      </c>
      <c r="D247" s="39">
        <f>[1]D!D117</f>
        <v>0</v>
      </c>
      <c r="E247" s="39">
        <f>[1]D!E117</f>
        <v>0</v>
      </c>
      <c r="F247" s="39">
        <f>[1]D!F117</f>
        <v>0</v>
      </c>
      <c r="G247" s="39">
        <f>[1]D!G117</f>
        <v>0</v>
      </c>
      <c r="H247" s="39" t="str">
        <f>[1]D!H117</f>
        <v>X</v>
      </c>
      <c r="I247" s="39" t="str">
        <f>[1]D!I117</f>
        <v>X</v>
      </c>
      <c r="J247" s="39">
        <f>[1]D!J117</f>
        <v>0</v>
      </c>
      <c r="K247" s="39">
        <f>[1]D!K117</f>
        <v>0</v>
      </c>
      <c r="L247" s="39">
        <f>[1]D!L117</f>
        <v>0</v>
      </c>
      <c r="M247" s="39">
        <f>[1]D!M117</f>
        <v>0</v>
      </c>
      <c r="N247" s="39">
        <f>[1]D!N117</f>
        <v>0</v>
      </c>
      <c r="O247" s="39">
        <f>[1]D!O117</f>
        <v>0</v>
      </c>
      <c r="P247" s="39" t="str">
        <f>[1]D!P117</f>
        <v>X</v>
      </c>
      <c r="Q247" s="39" t="str">
        <f>[1]D!Q117</f>
        <v>X</v>
      </c>
      <c r="R247" s="39">
        <f>[1]D!R117</f>
        <v>0</v>
      </c>
      <c r="S247" s="39">
        <f>[1]D!S117</f>
        <v>0</v>
      </c>
      <c r="T247" s="39">
        <f>[1]D!T117</f>
        <v>0</v>
      </c>
      <c r="U247" s="39">
        <f>[1]D!U117</f>
        <v>0</v>
      </c>
      <c r="V247" s="39">
        <f>[1]D!V117</f>
        <v>0</v>
      </c>
      <c r="W247" s="39">
        <f>[1]D!W117</f>
        <v>0</v>
      </c>
      <c r="X247" s="39" t="str">
        <f>[1]D!X117</f>
        <v>X</v>
      </c>
      <c r="Y247" s="39" t="str">
        <f>[1]D!Y117</f>
        <v>X</v>
      </c>
      <c r="Z247" s="39">
        <f>[1]D!Z117</f>
        <v>0</v>
      </c>
      <c r="AA247" s="39">
        <f>[1]D!AA117</f>
        <v>0</v>
      </c>
      <c r="AB247" s="39">
        <f>[1]D!AB117</f>
        <v>0</v>
      </c>
      <c r="AC247" s="39">
        <f>[1]D!AC117</f>
        <v>0</v>
      </c>
      <c r="AD247" s="39">
        <f>[1]D!AD117</f>
        <v>0</v>
      </c>
      <c r="AE247" s="39">
        <f>[1]D!AE117</f>
        <v>0</v>
      </c>
      <c r="AF247" s="6"/>
      <c r="AH247" s="20">
        <f t="shared" si="30"/>
        <v>0</v>
      </c>
      <c r="AI247" s="20">
        <f t="shared" si="31"/>
        <v>0</v>
      </c>
    </row>
    <row r="248" spans="1:35" ht="20.100000000000001" customHeight="1">
      <c r="A248" s="24" t="str">
        <f>ÖSSZES!$A$76</f>
        <v>Gellei Zsolt</v>
      </c>
      <c r="B248" s="39">
        <f>[1]D!B118</f>
        <v>0</v>
      </c>
      <c r="C248" s="39">
        <f>[1]D!C118</f>
        <v>0</v>
      </c>
      <c r="D248" s="39">
        <f>[1]D!D118</f>
        <v>0</v>
      </c>
      <c r="E248" s="39">
        <f>[1]D!E118</f>
        <v>0</v>
      </c>
      <c r="F248" s="39">
        <f>[1]D!F118</f>
        <v>0</v>
      </c>
      <c r="G248" s="39">
        <f>[1]D!G118</f>
        <v>0</v>
      </c>
      <c r="H248" s="39" t="str">
        <f>[1]D!H118</f>
        <v>X</v>
      </c>
      <c r="I248" s="39" t="str">
        <f>[1]D!I118</f>
        <v>X</v>
      </c>
      <c r="J248" s="39">
        <f>[1]D!J118</f>
        <v>0</v>
      </c>
      <c r="K248" s="39">
        <f>[1]D!K118</f>
        <v>0</v>
      </c>
      <c r="L248" s="39">
        <f>[1]D!L118</f>
        <v>0</v>
      </c>
      <c r="M248" s="39">
        <f>[1]D!M118</f>
        <v>0</v>
      </c>
      <c r="N248" s="39">
        <f>[1]D!N118</f>
        <v>0</v>
      </c>
      <c r="O248" s="39">
        <f>[1]D!O118</f>
        <v>0</v>
      </c>
      <c r="P248" s="39" t="str">
        <f>[1]D!P118</f>
        <v>X</v>
      </c>
      <c r="Q248" s="39" t="str">
        <f>[1]D!Q118</f>
        <v>X</v>
      </c>
      <c r="R248" s="39">
        <f>[1]D!R118</f>
        <v>0</v>
      </c>
      <c r="S248" s="39">
        <f>[1]D!S118</f>
        <v>0</v>
      </c>
      <c r="T248" s="39">
        <f>[1]D!T118</f>
        <v>0</v>
      </c>
      <c r="U248" s="39">
        <f>[1]D!U118</f>
        <v>0</v>
      </c>
      <c r="V248" s="39">
        <f>[1]D!V118</f>
        <v>0</v>
      </c>
      <c r="W248" s="39">
        <f>[1]D!W118</f>
        <v>0</v>
      </c>
      <c r="X248" s="39" t="str">
        <f>[1]D!X118</f>
        <v>X</v>
      </c>
      <c r="Y248" s="39" t="str">
        <f>[1]D!Y118</f>
        <v>X</v>
      </c>
      <c r="Z248" s="39">
        <f>[1]D!Z118</f>
        <v>0</v>
      </c>
      <c r="AA248" s="39">
        <f>[1]D!AA118</f>
        <v>0</v>
      </c>
      <c r="AB248" s="39">
        <f>[1]D!AB118</f>
        <v>0</v>
      </c>
      <c r="AC248" s="39">
        <f>[1]D!AC118</f>
        <v>0</v>
      </c>
      <c r="AD248" s="39">
        <f>[1]D!AD118</f>
        <v>0</v>
      </c>
      <c r="AE248" s="39">
        <f>[1]D!AE118</f>
        <v>0</v>
      </c>
      <c r="AF248" s="6"/>
      <c r="AH248" s="20">
        <f t="shared" si="30"/>
        <v>0</v>
      </c>
      <c r="AI248" s="20">
        <f t="shared" si="31"/>
        <v>0</v>
      </c>
    </row>
    <row r="249" spans="1:35" ht="20.100000000000001" customHeight="1">
      <c r="A249" s="24" t="str">
        <f>ÖSSZES!$A$77</f>
        <v>Kiss Gyula</v>
      </c>
      <c r="B249" s="39">
        <f>[1]D!B119</f>
        <v>0</v>
      </c>
      <c r="C249" s="39">
        <f>[1]D!C119</f>
        <v>0</v>
      </c>
      <c r="D249" s="39">
        <f>[1]D!D119</f>
        <v>0</v>
      </c>
      <c r="E249" s="39">
        <f>[1]D!E119</f>
        <v>0</v>
      </c>
      <c r="F249" s="39">
        <f>[1]D!F119</f>
        <v>0</v>
      </c>
      <c r="G249" s="39">
        <f>[1]D!G119</f>
        <v>0</v>
      </c>
      <c r="H249" s="39" t="str">
        <f>[1]D!H119</f>
        <v>X</v>
      </c>
      <c r="I249" s="39" t="str">
        <f>[1]D!I119</f>
        <v>X</v>
      </c>
      <c r="J249" s="39">
        <f>[1]D!J119</f>
        <v>0</v>
      </c>
      <c r="K249" s="39">
        <f>[1]D!K119</f>
        <v>0</v>
      </c>
      <c r="L249" s="39">
        <f>[1]D!L119</f>
        <v>0</v>
      </c>
      <c r="M249" s="39">
        <f>[1]D!M119</f>
        <v>0</v>
      </c>
      <c r="N249" s="39">
        <f>[1]D!N119</f>
        <v>0</v>
      </c>
      <c r="O249" s="39">
        <f>[1]D!O119</f>
        <v>0</v>
      </c>
      <c r="P249" s="39" t="str">
        <f>[1]D!P119</f>
        <v>X</v>
      </c>
      <c r="Q249" s="39" t="str">
        <f>[1]D!Q119</f>
        <v>X</v>
      </c>
      <c r="R249" s="39">
        <f>[1]D!R119</f>
        <v>0</v>
      </c>
      <c r="S249" s="39">
        <f>[1]D!S119</f>
        <v>0</v>
      </c>
      <c r="T249" s="39">
        <f>[1]D!T119</f>
        <v>0</v>
      </c>
      <c r="U249" s="39">
        <f>[1]D!U119</f>
        <v>0</v>
      </c>
      <c r="V249" s="39">
        <f>[1]D!V119</f>
        <v>0</v>
      </c>
      <c r="W249" s="39">
        <f>[1]D!W119</f>
        <v>0</v>
      </c>
      <c r="X249" s="39" t="str">
        <f>[1]D!X119</f>
        <v>X</v>
      </c>
      <c r="Y249" s="39" t="str">
        <f>[1]D!Y119</f>
        <v>X</v>
      </c>
      <c r="Z249" s="39">
        <f>[1]D!Z119</f>
        <v>0</v>
      </c>
      <c r="AA249" s="39">
        <f>[1]D!AA119</f>
        <v>0</v>
      </c>
      <c r="AB249" s="39">
        <f>[1]D!AB119</f>
        <v>0</v>
      </c>
      <c r="AC249" s="39">
        <f>[1]D!AC119</f>
        <v>0</v>
      </c>
      <c r="AD249" s="39">
        <f>[1]D!AD119</f>
        <v>0</v>
      </c>
      <c r="AE249" s="39">
        <f>[1]D!AE119</f>
        <v>0</v>
      </c>
      <c r="AF249" s="6"/>
      <c r="AH249" s="20">
        <f t="shared" si="30"/>
        <v>0</v>
      </c>
      <c r="AI249" s="20">
        <f t="shared" si="31"/>
        <v>0</v>
      </c>
    </row>
    <row r="250" spans="1:35" ht="20.100000000000001" customHeight="1">
      <c r="A250" s="24" t="str">
        <f>ÖSSZES!$A$78</f>
        <v>Nagy István</v>
      </c>
      <c r="B250" s="39">
        <f>[1]D!B120</f>
        <v>0</v>
      </c>
      <c r="C250" s="39">
        <f>[1]D!C120</f>
        <v>0</v>
      </c>
      <c r="D250" s="39">
        <f>[1]D!D120</f>
        <v>0</v>
      </c>
      <c r="E250" s="39">
        <f>[1]D!E120</f>
        <v>0</v>
      </c>
      <c r="F250" s="39">
        <f>[1]D!F120</f>
        <v>0</v>
      </c>
      <c r="G250" s="39">
        <f>[1]D!G120</f>
        <v>0</v>
      </c>
      <c r="H250" s="39" t="str">
        <f>[1]D!H120</f>
        <v>X</v>
      </c>
      <c r="I250" s="39" t="str">
        <f>[1]D!I120</f>
        <v>X</v>
      </c>
      <c r="J250" s="39">
        <f>[1]D!J120</f>
        <v>0</v>
      </c>
      <c r="K250" s="39">
        <f>[1]D!K120</f>
        <v>0</v>
      </c>
      <c r="L250" s="39">
        <f>[1]D!L120</f>
        <v>0</v>
      </c>
      <c r="M250" s="39">
        <f>[1]D!M120</f>
        <v>0</v>
      </c>
      <c r="N250" s="39">
        <f>[1]D!N120</f>
        <v>0</v>
      </c>
      <c r="O250" s="39">
        <f>[1]D!O120</f>
        <v>0</v>
      </c>
      <c r="P250" s="39" t="str">
        <f>[1]D!P120</f>
        <v>X</v>
      </c>
      <c r="Q250" s="39" t="str">
        <f>[1]D!Q120</f>
        <v>X</v>
      </c>
      <c r="R250" s="39">
        <f>[1]D!R120</f>
        <v>0</v>
      </c>
      <c r="S250" s="39">
        <f>[1]D!S120</f>
        <v>0</v>
      </c>
      <c r="T250" s="39">
        <f>[1]D!T120</f>
        <v>0</v>
      </c>
      <c r="U250" s="39">
        <f>[1]D!U120</f>
        <v>0</v>
      </c>
      <c r="V250" s="39">
        <f>[1]D!V120</f>
        <v>0</v>
      </c>
      <c r="W250" s="39">
        <f>[1]D!W120</f>
        <v>0</v>
      </c>
      <c r="X250" s="39" t="str">
        <f>[1]D!X120</f>
        <v>X</v>
      </c>
      <c r="Y250" s="39" t="str">
        <f>[1]D!Y120</f>
        <v>X</v>
      </c>
      <c r="Z250" s="39">
        <f>[1]D!Z120</f>
        <v>0</v>
      </c>
      <c r="AA250" s="39">
        <f>[1]D!AA120</f>
        <v>0</v>
      </c>
      <c r="AB250" s="39">
        <f>[1]D!AB120</f>
        <v>0</v>
      </c>
      <c r="AC250" s="39">
        <f>[1]D!AC120</f>
        <v>0</v>
      </c>
      <c r="AD250" s="39">
        <f>[1]D!AD120</f>
        <v>0</v>
      </c>
      <c r="AE250" s="39">
        <f>[1]D!AE120</f>
        <v>0</v>
      </c>
      <c r="AF250" s="6"/>
      <c r="AH250" s="20">
        <f t="shared" si="30"/>
        <v>0</v>
      </c>
      <c r="AI250" s="20">
        <f t="shared" si="31"/>
        <v>0</v>
      </c>
    </row>
    <row r="251" spans="1:35" ht="20.100000000000001" hidden="1" customHeight="1">
      <c r="A251" s="24" t="str">
        <f>ÖSSZES!$A$79</f>
        <v>Név8</v>
      </c>
      <c r="B251" s="39"/>
      <c r="C251" s="39"/>
      <c r="D251" s="39"/>
      <c r="E251" s="39"/>
      <c r="F251" s="39"/>
      <c r="G251" s="39"/>
      <c r="H251" s="39" t="s">
        <v>2</v>
      </c>
      <c r="I251" s="39" t="s">
        <v>2</v>
      </c>
      <c r="J251" s="39"/>
      <c r="K251" s="39"/>
      <c r="L251" s="39"/>
      <c r="M251" s="39"/>
      <c r="N251" s="39"/>
      <c r="O251" s="39"/>
      <c r="P251" s="39" t="s">
        <v>2</v>
      </c>
      <c r="Q251" s="39" t="s">
        <v>2</v>
      </c>
      <c r="R251" s="39"/>
      <c r="S251" s="39"/>
      <c r="T251" s="39"/>
      <c r="U251" s="39"/>
      <c r="V251" s="39"/>
      <c r="W251" s="39"/>
      <c r="X251" s="39" t="s">
        <v>2</v>
      </c>
      <c r="Y251" s="39" t="s">
        <v>2</v>
      </c>
      <c r="Z251" s="39"/>
      <c r="AA251" s="39"/>
      <c r="AB251" s="39"/>
      <c r="AC251" s="39"/>
      <c r="AD251" s="39"/>
      <c r="AE251" s="39"/>
      <c r="AF251" s="6"/>
      <c r="AH251" s="20">
        <f t="shared" si="30"/>
        <v>0</v>
      </c>
      <c r="AI251" s="20">
        <f t="shared" si="31"/>
        <v>0</v>
      </c>
    </row>
    <row r="252" spans="1:35" ht="20.100000000000001" hidden="1" customHeight="1">
      <c r="A252" s="24" t="str">
        <f>ÖSSZES!$A$80</f>
        <v>Név9</v>
      </c>
      <c r="B252" s="39"/>
      <c r="C252" s="39"/>
      <c r="D252" s="39"/>
      <c r="E252" s="39"/>
      <c r="F252" s="39"/>
      <c r="G252" s="39"/>
      <c r="H252" s="39" t="s">
        <v>2</v>
      </c>
      <c r="I252" s="39" t="s">
        <v>2</v>
      </c>
      <c r="J252" s="39"/>
      <c r="K252" s="39"/>
      <c r="L252" s="39"/>
      <c r="M252" s="39"/>
      <c r="N252" s="39"/>
      <c r="O252" s="39"/>
      <c r="P252" s="39" t="s">
        <v>2</v>
      </c>
      <c r="Q252" s="39" t="s">
        <v>2</v>
      </c>
      <c r="R252" s="39"/>
      <c r="S252" s="39"/>
      <c r="T252" s="39"/>
      <c r="U252" s="39"/>
      <c r="V252" s="39"/>
      <c r="W252" s="39"/>
      <c r="X252" s="39" t="s">
        <v>2</v>
      </c>
      <c r="Y252" s="39" t="s">
        <v>2</v>
      </c>
      <c r="Z252" s="39"/>
      <c r="AA252" s="39"/>
      <c r="AB252" s="39"/>
      <c r="AC252" s="39"/>
      <c r="AD252" s="39"/>
      <c r="AE252" s="39"/>
      <c r="AF252" s="6"/>
      <c r="AH252" s="20">
        <f t="shared" si="30"/>
        <v>0</v>
      </c>
      <c r="AI252" s="20">
        <f t="shared" si="31"/>
        <v>0</v>
      </c>
    </row>
    <row r="253" spans="1:35" ht="20.100000000000001" hidden="1" customHeight="1">
      <c r="A253" s="24" t="str">
        <f>ÖSSZES!$A$81</f>
        <v>Név10</v>
      </c>
      <c r="B253" s="39"/>
      <c r="C253" s="39"/>
      <c r="D253" s="39"/>
      <c r="E253" s="39"/>
      <c r="F253" s="39"/>
      <c r="G253" s="39"/>
      <c r="H253" s="39" t="s">
        <v>2</v>
      </c>
      <c r="I253" s="39" t="s">
        <v>2</v>
      </c>
      <c r="J253" s="39"/>
      <c r="K253" s="39"/>
      <c r="L253" s="39"/>
      <c r="M253" s="39"/>
      <c r="N253" s="39"/>
      <c r="O253" s="39"/>
      <c r="P253" s="39" t="s">
        <v>2</v>
      </c>
      <c r="Q253" s="39" t="s">
        <v>2</v>
      </c>
      <c r="R253" s="39"/>
      <c r="S253" s="39"/>
      <c r="T253" s="39"/>
      <c r="U253" s="39"/>
      <c r="V253" s="39"/>
      <c r="W253" s="39"/>
      <c r="X253" s="39" t="s">
        <v>2</v>
      </c>
      <c r="Y253" s="39" t="s">
        <v>2</v>
      </c>
      <c r="Z253" s="39"/>
      <c r="AA253" s="39"/>
      <c r="AB253" s="39"/>
      <c r="AC253" s="39"/>
      <c r="AD253" s="39"/>
      <c r="AE253" s="39"/>
      <c r="AF253" s="6"/>
      <c r="AH253" s="20">
        <f t="shared" si="30"/>
        <v>0</v>
      </c>
      <c r="AI253" s="20">
        <f t="shared" si="31"/>
        <v>0</v>
      </c>
    </row>
    <row r="254" spans="1:35" ht="20.100000000000001" hidden="1" customHeight="1">
      <c r="A254" s="24" t="str">
        <f>ÖSSZES!$A$82</f>
        <v>Név11</v>
      </c>
      <c r="B254" s="39"/>
      <c r="C254" s="39"/>
      <c r="D254" s="39"/>
      <c r="E254" s="39"/>
      <c r="F254" s="39"/>
      <c r="G254" s="39"/>
      <c r="H254" s="39" t="s">
        <v>2</v>
      </c>
      <c r="I254" s="39" t="s">
        <v>2</v>
      </c>
      <c r="J254" s="39"/>
      <c r="K254" s="39"/>
      <c r="L254" s="39"/>
      <c r="M254" s="39"/>
      <c r="N254" s="39"/>
      <c r="O254" s="39"/>
      <c r="P254" s="39" t="s">
        <v>2</v>
      </c>
      <c r="Q254" s="39" t="s">
        <v>2</v>
      </c>
      <c r="R254" s="39"/>
      <c r="S254" s="39"/>
      <c r="T254" s="39"/>
      <c r="U254" s="39"/>
      <c r="V254" s="39"/>
      <c r="W254" s="39"/>
      <c r="X254" s="39" t="s">
        <v>2</v>
      </c>
      <c r="Y254" s="39" t="s">
        <v>2</v>
      </c>
      <c r="Z254" s="39"/>
      <c r="AA254" s="39"/>
      <c r="AB254" s="39"/>
      <c r="AC254" s="39"/>
      <c r="AD254" s="39"/>
      <c r="AE254" s="39"/>
      <c r="AF254" s="6"/>
      <c r="AH254" s="20">
        <f t="shared" si="30"/>
        <v>0</v>
      </c>
      <c r="AI254" s="20">
        <f t="shared" si="31"/>
        <v>0</v>
      </c>
    </row>
    <row r="255" spans="1:35" ht="20.100000000000001" hidden="1" customHeight="1">
      <c r="A255" s="24" t="str">
        <f>ÖSSZES!$A$83</f>
        <v>Név12</v>
      </c>
      <c r="B255" s="39"/>
      <c r="C255" s="39"/>
      <c r="D255" s="39"/>
      <c r="E255" s="39"/>
      <c r="F255" s="39"/>
      <c r="G255" s="39"/>
      <c r="H255" s="39" t="s">
        <v>2</v>
      </c>
      <c r="I255" s="39" t="s">
        <v>2</v>
      </c>
      <c r="J255" s="39"/>
      <c r="K255" s="39"/>
      <c r="L255" s="39"/>
      <c r="M255" s="39"/>
      <c r="N255" s="39"/>
      <c r="O255" s="39"/>
      <c r="P255" s="39" t="s">
        <v>2</v>
      </c>
      <c r="Q255" s="39" t="s">
        <v>2</v>
      </c>
      <c r="R255" s="39"/>
      <c r="S255" s="39"/>
      <c r="T255" s="39"/>
      <c r="U255" s="39"/>
      <c r="V255" s="39"/>
      <c r="W255" s="39"/>
      <c r="X255" s="39" t="s">
        <v>2</v>
      </c>
      <c r="Y255" s="39" t="s">
        <v>2</v>
      </c>
      <c r="Z255" s="39"/>
      <c r="AA255" s="39"/>
      <c r="AB255" s="39"/>
      <c r="AC255" s="39"/>
      <c r="AD255" s="39"/>
      <c r="AE255" s="39"/>
      <c r="AF255" s="6"/>
      <c r="AH255" s="20">
        <f t="shared" si="30"/>
        <v>0</v>
      </c>
      <c r="AI255" s="20">
        <f t="shared" si="31"/>
        <v>0</v>
      </c>
    </row>
    <row r="256" spans="1:35" ht="20.100000000000001" hidden="1" customHeight="1">
      <c r="A256" s="24" t="str">
        <f>ÖSSZES!$A$84</f>
        <v>Név13</v>
      </c>
      <c r="B256" s="39"/>
      <c r="C256" s="39"/>
      <c r="D256" s="39"/>
      <c r="E256" s="39"/>
      <c r="F256" s="39"/>
      <c r="G256" s="39"/>
      <c r="H256" s="39" t="s">
        <v>2</v>
      </c>
      <c r="I256" s="39" t="s">
        <v>2</v>
      </c>
      <c r="J256" s="39"/>
      <c r="K256" s="39"/>
      <c r="L256" s="39"/>
      <c r="M256" s="39"/>
      <c r="N256" s="39"/>
      <c r="O256" s="39"/>
      <c r="P256" s="39" t="s">
        <v>2</v>
      </c>
      <c r="Q256" s="39" t="s">
        <v>2</v>
      </c>
      <c r="R256" s="39"/>
      <c r="S256" s="39"/>
      <c r="T256" s="39"/>
      <c r="U256" s="39"/>
      <c r="V256" s="39"/>
      <c r="W256" s="39"/>
      <c r="X256" s="39" t="s">
        <v>2</v>
      </c>
      <c r="Y256" s="39" t="s">
        <v>2</v>
      </c>
      <c r="Z256" s="39"/>
      <c r="AA256" s="39"/>
      <c r="AB256" s="39"/>
      <c r="AC256" s="39"/>
      <c r="AD256" s="39"/>
      <c r="AE256" s="39"/>
      <c r="AF256" s="6"/>
      <c r="AH256" s="20">
        <f t="shared" si="30"/>
        <v>0</v>
      </c>
      <c r="AI256" s="20">
        <f t="shared" si="31"/>
        <v>0</v>
      </c>
    </row>
    <row r="257" spans="1:35" ht="20.100000000000001" hidden="1" customHeight="1">
      <c r="A257" s="24" t="str">
        <f>ÖSSZES!$A$85</f>
        <v>Név14</v>
      </c>
      <c r="B257" s="39"/>
      <c r="C257" s="39"/>
      <c r="D257" s="39"/>
      <c r="E257" s="39"/>
      <c r="F257" s="39"/>
      <c r="G257" s="39"/>
      <c r="H257" s="39" t="s">
        <v>2</v>
      </c>
      <c r="I257" s="39" t="s">
        <v>2</v>
      </c>
      <c r="J257" s="39"/>
      <c r="K257" s="39"/>
      <c r="L257" s="39"/>
      <c r="M257" s="39"/>
      <c r="N257" s="39"/>
      <c r="O257" s="39"/>
      <c r="P257" s="39" t="s">
        <v>2</v>
      </c>
      <c r="Q257" s="39" t="s">
        <v>2</v>
      </c>
      <c r="R257" s="39"/>
      <c r="S257" s="39"/>
      <c r="T257" s="39"/>
      <c r="U257" s="39"/>
      <c r="V257" s="39"/>
      <c r="W257" s="39"/>
      <c r="X257" s="39" t="s">
        <v>2</v>
      </c>
      <c r="Y257" s="39" t="s">
        <v>2</v>
      </c>
      <c r="Z257" s="39"/>
      <c r="AA257" s="39"/>
      <c r="AB257" s="39"/>
      <c r="AC257" s="39"/>
      <c r="AD257" s="39"/>
      <c r="AE257" s="39"/>
      <c r="AF257" s="6"/>
      <c r="AH257" s="20">
        <f t="shared" si="30"/>
        <v>0</v>
      </c>
      <c r="AI257" s="20">
        <f t="shared" si="31"/>
        <v>0</v>
      </c>
    </row>
    <row r="258" spans="1:35" ht="20.100000000000001" hidden="1" customHeight="1">
      <c r="A258" s="24" t="str">
        <f>ÖSSZES!$A$86</f>
        <v>Név15</v>
      </c>
      <c r="B258" s="39"/>
      <c r="C258" s="39"/>
      <c r="D258" s="39"/>
      <c r="E258" s="39"/>
      <c r="F258" s="39"/>
      <c r="G258" s="39"/>
      <c r="H258" s="39" t="s">
        <v>2</v>
      </c>
      <c r="I258" s="39" t="s">
        <v>2</v>
      </c>
      <c r="J258" s="39"/>
      <c r="K258" s="39"/>
      <c r="L258" s="39"/>
      <c r="M258" s="39"/>
      <c r="N258" s="39"/>
      <c r="O258" s="39"/>
      <c r="P258" s="39" t="s">
        <v>2</v>
      </c>
      <c r="Q258" s="39" t="s">
        <v>2</v>
      </c>
      <c r="R258" s="39"/>
      <c r="S258" s="39"/>
      <c r="T258" s="39"/>
      <c r="U258" s="39"/>
      <c r="V258" s="39"/>
      <c r="W258" s="39"/>
      <c r="X258" s="39" t="s">
        <v>2</v>
      </c>
      <c r="Y258" s="39" t="s">
        <v>2</v>
      </c>
      <c r="Z258" s="39"/>
      <c r="AA258" s="39"/>
      <c r="AB258" s="39"/>
      <c r="AC258" s="39"/>
      <c r="AD258" s="39"/>
      <c r="AE258" s="39"/>
      <c r="AF258" s="6"/>
      <c r="AH258" s="20">
        <f t="shared" si="30"/>
        <v>0</v>
      </c>
      <c r="AI258" s="20">
        <f t="shared" si="31"/>
        <v>0</v>
      </c>
    </row>
    <row r="259" spans="1:35" ht="20.100000000000001" hidden="1" customHeight="1">
      <c r="A259" s="24" t="str">
        <f>ÖSSZES!$A$87</f>
        <v>Név16</v>
      </c>
      <c r="B259" s="39"/>
      <c r="C259" s="39"/>
      <c r="D259" s="39"/>
      <c r="E259" s="39"/>
      <c r="F259" s="39"/>
      <c r="G259" s="39"/>
      <c r="H259" s="39" t="s">
        <v>2</v>
      </c>
      <c r="I259" s="39" t="s">
        <v>2</v>
      </c>
      <c r="J259" s="39"/>
      <c r="K259" s="39"/>
      <c r="L259" s="39"/>
      <c r="M259" s="39"/>
      <c r="N259" s="39"/>
      <c r="O259" s="39"/>
      <c r="P259" s="39" t="s">
        <v>2</v>
      </c>
      <c r="Q259" s="39" t="s">
        <v>2</v>
      </c>
      <c r="R259" s="39"/>
      <c r="S259" s="39"/>
      <c r="T259" s="39"/>
      <c r="U259" s="39"/>
      <c r="V259" s="39"/>
      <c r="W259" s="39"/>
      <c r="X259" s="39" t="s">
        <v>2</v>
      </c>
      <c r="Y259" s="39" t="s">
        <v>2</v>
      </c>
      <c r="Z259" s="39"/>
      <c r="AA259" s="39"/>
      <c r="AB259" s="39"/>
      <c r="AC259" s="39"/>
      <c r="AD259" s="39"/>
      <c r="AE259" s="39"/>
      <c r="AF259" s="6"/>
      <c r="AH259" s="20">
        <f t="shared" si="30"/>
        <v>0</v>
      </c>
      <c r="AI259" s="20">
        <f t="shared" si="31"/>
        <v>0</v>
      </c>
    </row>
    <row r="260" spans="1:35" ht="20.100000000000001" hidden="1" customHeight="1">
      <c r="A260" s="24" t="str">
        <f>ÖSSZES!$A$88</f>
        <v>Név17</v>
      </c>
      <c r="B260" s="39"/>
      <c r="C260" s="39"/>
      <c r="D260" s="39"/>
      <c r="E260" s="39"/>
      <c r="F260" s="39"/>
      <c r="G260" s="39"/>
      <c r="H260" s="39" t="s">
        <v>2</v>
      </c>
      <c r="I260" s="39" t="s">
        <v>2</v>
      </c>
      <c r="J260" s="39"/>
      <c r="K260" s="39"/>
      <c r="L260" s="39"/>
      <c r="M260" s="39"/>
      <c r="N260" s="39"/>
      <c r="O260" s="39"/>
      <c r="P260" s="39" t="s">
        <v>2</v>
      </c>
      <c r="Q260" s="39" t="s">
        <v>2</v>
      </c>
      <c r="R260" s="39"/>
      <c r="S260" s="39"/>
      <c r="T260" s="39"/>
      <c r="U260" s="39"/>
      <c r="V260" s="39"/>
      <c r="W260" s="39"/>
      <c r="X260" s="39" t="s">
        <v>2</v>
      </c>
      <c r="Y260" s="39" t="s">
        <v>2</v>
      </c>
      <c r="Z260" s="39"/>
      <c r="AA260" s="39"/>
      <c r="AB260" s="39"/>
      <c r="AC260" s="39"/>
      <c r="AD260" s="39"/>
      <c r="AE260" s="39"/>
      <c r="AF260" s="6"/>
      <c r="AH260" s="20">
        <f t="shared" si="30"/>
        <v>0</v>
      </c>
      <c r="AI260" s="20">
        <f t="shared" si="31"/>
        <v>0</v>
      </c>
    </row>
    <row r="261" spans="1:35" ht="20.100000000000001" hidden="1" customHeight="1">
      <c r="A261" s="24" t="str">
        <f>ÖSSZES!$A$89</f>
        <v>Név18</v>
      </c>
      <c r="B261" s="39"/>
      <c r="C261" s="39"/>
      <c r="D261" s="39"/>
      <c r="E261" s="39"/>
      <c r="F261" s="39"/>
      <c r="G261" s="39"/>
      <c r="H261" s="39" t="s">
        <v>2</v>
      </c>
      <c r="I261" s="39" t="s">
        <v>2</v>
      </c>
      <c r="J261" s="39"/>
      <c r="K261" s="39"/>
      <c r="L261" s="39"/>
      <c r="M261" s="39"/>
      <c r="N261" s="39"/>
      <c r="O261" s="39"/>
      <c r="P261" s="39" t="s">
        <v>2</v>
      </c>
      <c r="Q261" s="39" t="s">
        <v>2</v>
      </c>
      <c r="R261" s="39"/>
      <c r="S261" s="39"/>
      <c r="T261" s="39"/>
      <c r="U261" s="39"/>
      <c r="V261" s="39"/>
      <c r="W261" s="39"/>
      <c r="X261" s="39" t="s">
        <v>2</v>
      </c>
      <c r="Y261" s="39" t="s">
        <v>2</v>
      </c>
      <c r="Z261" s="39"/>
      <c r="AA261" s="39"/>
      <c r="AB261" s="39"/>
      <c r="AC261" s="39"/>
      <c r="AD261" s="39"/>
      <c r="AE261" s="39"/>
      <c r="AF261" s="6"/>
      <c r="AH261" s="20">
        <f t="shared" si="30"/>
        <v>0</v>
      </c>
      <c r="AI261" s="20">
        <f t="shared" si="31"/>
        <v>0</v>
      </c>
    </row>
    <row r="262" spans="1:35" ht="20.100000000000001" hidden="1" customHeight="1">
      <c r="A262" s="24" t="str">
        <f>ÖSSZES!$A$90</f>
        <v>Név19</v>
      </c>
      <c r="B262" s="39"/>
      <c r="C262" s="39"/>
      <c r="D262" s="39"/>
      <c r="E262" s="39"/>
      <c r="F262" s="39"/>
      <c r="G262" s="39"/>
      <c r="H262" s="39" t="s">
        <v>2</v>
      </c>
      <c r="I262" s="39" t="s">
        <v>2</v>
      </c>
      <c r="J262" s="39"/>
      <c r="K262" s="39"/>
      <c r="L262" s="39"/>
      <c r="M262" s="39"/>
      <c r="N262" s="39"/>
      <c r="O262" s="39"/>
      <c r="P262" s="39" t="s">
        <v>2</v>
      </c>
      <c r="Q262" s="39" t="s">
        <v>2</v>
      </c>
      <c r="R262" s="39"/>
      <c r="S262" s="39"/>
      <c r="T262" s="39"/>
      <c r="U262" s="39"/>
      <c r="V262" s="39"/>
      <c r="W262" s="39"/>
      <c r="X262" s="39" t="s">
        <v>2</v>
      </c>
      <c r="Y262" s="39" t="s">
        <v>2</v>
      </c>
      <c r="Z262" s="39"/>
      <c r="AA262" s="39"/>
      <c r="AB262" s="39"/>
      <c r="AC262" s="39"/>
      <c r="AD262" s="39"/>
      <c r="AE262" s="39"/>
      <c r="AF262" s="6"/>
      <c r="AH262" s="20">
        <f t="shared" si="30"/>
        <v>0</v>
      </c>
      <c r="AI262" s="20">
        <f t="shared" si="31"/>
        <v>0</v>
      </c>
    </row>
    <row r="263" spans="1:35" ht="20.100000000000001" hidden="1" customHeight="1">
      <c r="A263" s="24" t="str">
        <f>ÖSSZES!$A$91</f>
        <v>Név20</v>
      </c>
      <c r="B263" s="39"/>
      <c r="C263" s="39"/>
      <c r="D263" s="39"/>
      <c r="E263" s="39"/>
      <c r="F263" s="39"/>
      <c r="G263" s="39"/>
      <c r="H263" s="39" t="s">
        <v>2</v>
      </c>
      <c r="I263" s="39" t="s">
        <v>2</v>
      </c>
      <c r="J263" s="39"/>
      <c r="K263" s="39"/>
      <c r="L263" s="39"/>
      <c r="M263" s="39"/>
      <c r="N263" s="39"/>
      <c r="O263" s="39"/>
      <c r="P263" s="39" t="s">
        <v>2</v>
      </c>
      <c r="Q263" s="39" t="s">
        <v>2</v>
      </c>
      <c r="R263" s="39"/>
      <c r="S263" s="39"/>
      <c r="T263" s="39"/>
      <c r="U263" s="39"/>
      <c r="V263" s="39"/>
      <c r="W263" s="39"/>
      <c r="X263" s="39" t="s">
        <v>2</v>
      </c>
      <c r="Y263" s="39" t="s">
        <v>2</v>
      </c>
      <c r="Z263" s="39"/>
      <c r="AA263" s="39"/>
      <c r="AB263" s="39"/>
      <c r="AC263" s="39"/>
      <c r="AD263" s="39"/>
      <c r="AE263" s="39"/>
      <c r="AF263" s="6"/>
      <c r="AH263" s="20">
        <f t="shared" si="30"/>
        <v>0</v>
      </c>
      <c r="AI263" s="20">
        <f t="shared" si="31"/>
        <v>0</v>
      </c>
    </row>
    <row r="264" spans="1:35" s="18" customFormat="1" ht="20.100000000000001" customHeight="1">
      <c r="A264" s="1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H264" s="14"/>
      <c r="AI264" s="14"/>
    </row>
    <row r="265" spans="1:35" s="11" customFormat="1" ht="20.100000000000001" customHeight="1">
      <c r="A265" s="57" t="s">
        <v>16</v>
      </c>
      <c r="B265" s="23">
        <v>1</v>
      </c>
      <c r="C265" s="23">
        <v>2</v>
      </c>
      <c r="D265" s="23">
        <v>3</v>
      </c>
      <c r="E265" s="23">
        <v>4</v>
      </c>
      <c r="F265" s="23">
        <v>5</v>
      </c>
      <c r="G265" s="23">
        <v>6</v>
      </c>
      <c r="H265" s="23">
        <v>7</v>
      </c>
      <c r="I265" s="23">
        <v>8</v>
      </c>
      <c r="J265" s="23">
        <v>9</v>
      </c>
      <c r="K265" s="23">
        <v>10</v>
      </c>
      <c r="L265" s="23">
        <v>11</v>
      </c>
      <c r="M265" s="23">
        <v>12</v>
      </c>
      <c r="N265" s="23">
        <v>13</v>
      </c>
      <c r="O265" s="23">
        <v>14</v>
      </c>
      <c r="P265" s="23">
        <v>15</v>
      </c>
      <c r="Q265" s="23">
        <v>16</v>
      </c>
      <c r="R265" s="23">
        <v>17</v>
      </c>
      <c r="S265" s="23">
        <v>18</v>
      </c>
      <c r="T265" s="23">
        <v>19</v>
      </c>
      <c r="U265" s="23">
        <v>20</v>
      </c>
      <c r="V265" s="23">
        <v>21</v>
      </c>
      <c r="W265" s="23">
        <v>22</v>
      </c>
      <c r="X265" s="23">
        <v>23</v>
      </c>
      <c r="Y265" s="23">
        <v>24</v>
      </c>
      <c r="Z265" s="25">
        <v>25</v>
      </c>
      <c r="AA265" s="25">
        <v>26</v>
      </c>
      <c r="AB265" s="23">
        <v>27</v>
      </c>
      <c r="AC265" s="23">
        <v>28</v>
      </c>
      <c r="AD265" s="23">
        <v>29</v>
      </c>
      <c r="AE265" s="23">
        <v>30</v>
      </c>
      <c r="AF265" s="23">
        <v>31</v>
      </c>
      <c r="AH265" s="59" t="s">
        <v>18</v>
      </c>
      <c r="AI265" s="59" t="s">
        <v>19</v>
      </c>
    </row>
    <row r="266" spans="1:35" ht="20.100000000000001" customHeight="1">
      <c r="A266" s="61"/>
      <c r="B266" s="15" t="str">
        <f>'2021'!B92</f>
        <v>Sze</v>
      </c>
      <c r="C266" s="15" t="str">
        <f>'2021'!C92</f>
        <v>Cs</v>
      </c>
      <c r="D266" s="15" t="str">
        <f>'2021'!D92</f>
        <v>P</v>
      </c>
      <c r="E266" s="15" t="str">
        <f>'2021'!E92</f>
        <v>Szo</v>
      </c>
      <c r="F266" s="15" t="str">
        <f>'2021'!F92</f>
        <v>V</v>
      </c>
      <c r="G266" s="15" t="str">
        <f>'2021'!G92</f>
        <v>H</v>
      </c>
      <c r="H266" s="15" t="str">
        <f>'2021'!H92</f>
        <v>K</v>
      </c>
      <c r="I266" s="15" t="str">
        <f>'2021'!I92</f>
        <v>Sze</v>
      </c>
      <c r="J266" s="15" t="str">
        <f>'2021'!J92</f>
        <v>Cs</v>
      </c>
      <c r="K266" s="15" t="str">
        <f>'2021'!K92</f>
        <v>P</v>
      </c>
      <c r="L266" s="15" t="str">
        <f>'2021'!L92</f>
        <v>Szo</v>
      </c>
      <c r="M266" s="15" t="str">
        <f>'2021'!M92</f>
        <v>V</v>
      </c>
      <c r="N266" s="15" t="str">
        <f>'2021'!N92</f>
        <v>H</v>
      </c>
      <c r="O266" s="15" t="str">
        <f>'2021'!O92</f>
        <v>K</v>
      </c>
      <c r="P266" s="15" t="str">
        <f>'2021'!P92</f>
        <v>Sze</v>
      </c>
      <c r="Q266" s="15" t="str">
        <f>'2021'!Q92</f>
        <v>Cs</v>
      </c>
      <c r="R266" s="15" t="str">
        <f>'2021'!R92</f>
        <v>P</v>
      </c>
      <c r="S266" s="15" t="str">
        <f>'2021'!S92</f>
        <v>Szo</v>
      </c>
      <c r="T266" s="15" t="str">
        <f>'2021'!T92</f>
        <v>V</v>
      </c>
      <c r="U266" s="15" t="str">
        <f>'2021'!U92</f>
        <v>H</v>
      </c>
      <c r="V266" s="15" t="str">
        <f>'2021'!V92</f>
        <v>K</v>
      </c>
      <c r="W266" s="15" t="str">
        <f>'2021'!W92</f>
        <v>Sze</v>
      </c>
      <c r="X266" s="15" t="str">
        <f>'2021'!X92</f>
        <v>Cs</v>
      </c>
      <c r="Y266" s="15" t="str">
        <f>'2021'!Y92</f>
        <v>P</v>
      </c>
      <c r="Z266" s="15" t="str">
        <f>'2021'!Z92</f>
        <v>Szo</v>
      </c>
      <c r="AA266" s="15" t="str">
        <f>'2021'!AA92</f>
        <v>V</v>
      </c>
      <c r="AB266" s="15" t="str">
        <f>'2021'!AB92</f>
        <v>H</v>
      </c>
      <c r="AC266" s="15" t="str">
        <f>'2021'!AC92</f>
        <v>K</v>
      </c>
      <c r="AD266" s="15" t="str">
        <f>'2021'!AD92</f>
        <v>Sze</v>
      </c>
      <c r="AE266" s="15" t="str">
        <f>'2021'!AE92</f>
        <v>Cs</v>
      </c>
      <c r="AF266" s="15" t="str">
        <f>'2021'!AF92</f>
        <v>P</v>
      </c>
      <c r="AH266" s="60"/>
      <c r="AI266" s="60"/>
    </row>
    <row r="267" spans="1:35" ht="20.100000000000001" customHeight="1">
      <c r="A267" s="61"/>
      <c r="B267" s="15" t="str">
        <f>'2021'!B96</f>
        <v>X</v>
      </c>
      <c r="C267" s="15" t="str">
        <f>'2021'!C96</f>
        <v>X</v>
      </c>
      <c r="D267" s="15">
        <f>'2021'!D96</f>
        <v>1</v>
      </c>
      <c r="E267" s="15">
        <f>'2021'!E96</f>
        <v>1</v>
      </c>
      <c r="F267" s="15">
        <f>'2021'!F96</f>
        <v>1</v>
      </c>
      <c r="G267" s="15">
        <f>'2021'!G96</f>
        <v>1</v>
      </c>
      <c r="H267" s="15">
        <f>'2021'!H96</f>
        <v>1</v>
      </c>
      <c r="I267" s="15">
        <f>'2021'!I96</f>
        <v>1</v>
      </c>
      <c r="J267" s="15" t="str">
        <f>'2021'!J96</f>
        <v>X</v>
      </c>
      <c r="K267" s="15" t="str">
        <f>'2021'!K96</f>
        <v>X</v>
      </c>
      <c r="L267" s="15">
        <f>'2021'!L96</f>
        <v>3</v>
      </c>
      <c r="M267" s="15">
        <f>'2021'!M96</f>
        <v>3</v>
      </c>
      <c r="N267" s="15">
        <f>'2021'!N96</f>
        <v>3</v>
      </c>
      <c r="O267" s="15">
        <f>'2021'!O96</f>
        <v>3</v>
      </c>
      <c r="P267" s="15">
        <f>'2021'!P96</f>
        <v>3</v>
      </c>
      <c r="Q267" s="15">
        <f>'2021'!Q96</f>
        <v>3</v>
      </c>
      <c r="R267" s="15" t="str">
        <f>'2021'!R96</f>
        <v>X</v>
      </c>
      <c r="S267" s="15" t="str">
        <f>'2021'!S96</f>
        <v>X</v>
      </c>
      <c r="T267" s="15">
        <f>'2021'!T96</f>
        <v>2</v>
      </c>
      <c r="U267" s="15">
        <f>'2021'!U96</f>
        <v>2</v>
      </c>
      <c r="V267" s="15">
        <f>'2021'!V96</f>
        <v>2</v>
      </c>
      <c r="W267" s="15">
        <f>'2021'!W96</f>
        <v>2</v>
      </c>
      <c r="X267" s="15">
        <f>'2021'!X96</f>
        <v>2</v>
      </c>
      <c r="Y267" s="15">
        <f>'2021'!Y96</f>
        <v>2</v>
      </c>
      <c r="Z267" s="15" t="str">
        <f>'2021'!Z96</f>
        <v>X</v>
      </c>
      <c r="AA267" s="15" t="str">
        <f>'2021'!AA96</f>
        <v>X</v>
      </c>
      <c r="AB267" s="15">
        <f>'2021'!AB96</f>
        <v>1</v>
      </c>
      <c r="AC267" s="15">
        <f>'2021'!AC96</f>
        <v>1</v>
      </c>
      <c r="AD267" s="15">
        <f>'2021'!AD96</f>
        <v>1</v>
      </c>
      <c r="AE267" s="15">
        <f>'2021'!AE96</f>
        <v>1</v>
      </c>
      <c r="AF267" s="15">
        <f>'2021'!AF96</f>
        <v>1</v>
      </c>
      <c r="AH267" s="60"/>
      <c r="AI267" s="60"/>
    </row>
    <row r="268" spans="1:35" ht="20.100000000000001" customHeight="1">
      <c r="A268" s="24" t="str">
        <f>ÖSSZES!$A$72</f>
        <v>Daku Gábor</v>
      </c>
      <c r="B268" s="39" t="s">
        <v>2</v>
      </c>
      <c r="C268" s="39" t="s">
        <v>2</v>
      </c>
      <c r="D268" s="39">
        <f>[1]D!D125</f>
        <v>0</v>
      </c>
      <c r="E268" s="39">
        <f>[1]D!E125</f>
        <v>0</v>
      </c>
      <c r="F268" s="39">
        <f>[1]D!F125</f>
        <v>0</v>
      </c>
      <c r="G268" s="39">
        <f>[1]D!G125</f>
        <v>0</v>
      </c>
      <c r="H268" s="39">
        <f>[1]D!H125</f>
        <v>0</v>
      </c>
      <c r="I268" s="39">
        <f>[1]D!I125</f>
        <v>0</v>
      </c>
      <c r="J268" s="39" t="str">
        <f>[1]D!J125</f>
        <v>X</v>
      </c>
      <c r="K268" s="39" t="str">
        <f>[1]D!K125</f>
        <v>X</v>
      </c>
      <c r="L268" s="39">
        <f>[1]D!L125</f>
        <v>0</v>
      </c>
      <c r="M268" s="39">
        <f>[1]D!M125</f>
        <v>0</v>
      </c>
      <c r="N268" s="39">
        <f>[1]D!N125</f>
        <v>0</v>
      </c>
      <c r="O268" s="39">
        <f>[1]D!O125</f>
        <v>0</v>
      </c>
      <c r="P268" s="39">
        <f>[1]D!P125</f>
        <v>0</v>
      </c>
      <c r="Q268" s="39">
        <f>[1]D!Q125</f>
        <v>0</v>
      </c>
      <c r="R268" s="39" t="str">
        <f>[1]D!R125</f>
        <v>X</v>
      </c>
      <c r="S268" s="39" t="str">
        <f>[1]D!S125</f>
        <v>X</v>
      </c>
      <c r="T268" s="39">
        <f>[1]D!T125</f>
        <v>0</v>
      </c>
      <c r="U268" s="39">
        <f>[1]D!U125</f>
        <v>0</v>
      </c>
      <c r="V268" s="39">
        <f>[1]D!V125</f>
        <v>0</v>
      </c>
      <c r="W268" s="39">
        <f>[1]D!W125</f>
        <v>0</v>
      </c>
      <c r="X268" s="39">
        <f>[1]D!X125</f>
        <v>0</v>
      </c>
      <c r="Y268" s="39">
        <f>[1]D!Y125</f>
        <v>0</v>
      </c>
      <c r="Z268" s="39" t="str">
        <f>[1]D!Z125</f>
        <v>X</v>
      </c>
      <c r="AA268" s="39" t="str">
        <f>[1]D!AA125</f>
        <v>X</v>
      </c>
      <c r="AB268" s="39">
        <f>[1]D!AB125</f>
        <v>0</v>
      </c>
      <c r="AC268" s="39">
        <f>[1]D!AC125</f>
        <v>0</v>
      </c>
      <c r="AD268" s="39">
        <f>[1]D!AD125</f>
        <v>0</v>
      </c>
      <c r="AE268" s="39">
        <f>[1]D!AE125</f>
        <v>0</v>
      </c>
      <c r="AF268" s="39">
        <f>[1]D!AF125</f>
        <v>0</v>
      </c>
      <c r="AH268" s="20">
        <f>1*COUNTIF(A268:AF268,"+")</f>
        <v>0</v>
      </c>
      <c r="AI268" s="20">
        <f t="shared" ref="AI268" si="32">1*COUNTIF(B268:AF268,"szf")</f>
        <v>0</v>
      </c>
    </row>
    <row r="269" spans="1:35" ht="20.100000000000001" customHeight="1">
      <c r="A269" s="24" t="str">
        <f>ÖSSZES!$A$73</f>
        <v>Borbély Csaba</v>
      </c>
      <c r="B269" s="39" t="s">
        <v>2</v>
      </c>
      <c r="C269" s="39" t="s">
        <v>2</v>
      </c>
      <c r="D269" s="39">
        <f>[1]D!D126</f>
        <v>0</v>
      </c>
      <c r="E269" s="39">
        <f>[1]D!E126</f>
        <v>0</v>
      </c>
      <c r="F269" s="39">
        <f>[1]D!F126</f>
        <v>0</v>
      </c>
      <c r="G269" s="39">
        <f>[1]D!G126</f>
        <v>0</v>
      </c>
      <c r="H269" s="39">
        <f>[1]D!H126</f>
        <v>0</v>
      </c>
      <c r="I269" s="39">
        <f>[1]D!I126</f>
        <v>0</v>
      </c>
      <c r="J269" s="39" t="str">
        <f>[1]D!J126</f>
        <v>X</v>
      </c>
      <c r="K269" s="39" t="str">
        <f>[1]D!K126</f>
        <v>X</v>
      </c>
      <c r="L269" s="39">
        <f>[1]D!L126</f>
        <v>0</v>
      </c>
      <c r="M269" s="39">
        <f>[1]D!M126</f>
        <v>0</v>
      </c>
      <c r="N269" s="39">
        <f>[1]D!N126</f>
        <v>0</v>
      </c>
      <c r="O269" s="39">
        <f>[1]D!O126</f>
        <v>0</v>
      </c>
      <c r="P269" s="39">
        <f>[1]D!P126</f>
        <v>0</v>
      </c>
      <c r="Q269" s="39">
        <f>[1]D!Q126</f>
        <v>0</v>
      </c>
      <c r="R269" s="39" t="str">
        <f>[1]D!R126</f>
        <v>X</v>
      </c>
      <c r="S269" s="39" t="str">
        <f>[1]D!S126</f>
        <v>X</v>
      </c>
      <c r="T269" s="39">
        <f>[1]D!T126</f>
        <v>0</v>
      </c>
      <c r="U269" s="39">
        <f>[1]D!U126</f>
        <v>0</v>
      </c>
      <c r="V269" s="39">
        <f>[1]D!V126</f>
        <v>0</v>
      </c>
      <c r="W269" s="39">
        <f>[1]D!W126</f>
        <v>0</v>
      </c>
      <c r="X269" s="39">
        <f>[1]D!X126</f>
        <v>0</v>
      </c>
      <c r="Y269" s="39">
        <f>[1]D!Y126</f>
        <v>0</v>
      </c>
      <c r="Z269" s="39" t="str">
        <f>[1]D!Z126</f>
        <v>X</v>
      </c>
      <c r="AA269" s="39" t="str">
        <f>[1]D!AA126</f>
        <v>X</v>
      </c>
      <c r="AB269" s="39">
        <f>[1]D!AB126</f>
        <v>0</v>
      </c>
      <c r="AC269" s="39">
        <f>[1]D!AC126</f>
        <v>0</v>
      </c>
      <c r="AD269" s="39">
        <f>[1]D!AD126</f>
        <v>0</v>
      </c>
      <c r="AE269" s="39">
        <f>[1]D!AE126</f>
        <v>0</v>
      </c>
      <c r="AF269" s="39">
        <f>[1]D!AF126</f>
        <v>0</v>
      </c>
      <c r="AH269" s="20">
        <f t="shared" ref="AH269:AH287" si="33">1*COUNTIF(A269:AF269,"+")</f>
        <v>0</v>
      </c>
      <c r="AI269" s="20">
        <f t="shared" ref="AI269:AI287" si="34">1*COUNTIF(B269:AF269,"szf")</f>
        <v>0</v>
      </c>
    </row>
    <row r="270" spans="1:35" ht="20.100000000000001" customHeight="1">
      <c r="A270" s="24" t="str">
        <f>ÖSSZES!$A$74</f>
        <v>Erdei Bálint</v>
      </c>
      <c r="B270" s="39" t="s">
        <v>2</v>
      </c>
      <c r="C270" s="39" t="s">
        <v>2</v>
      </c>
      <c r="D270" s="39">
        <f>[1]D!D127</f>
        <v>0</v>
      </c>
      <c r="E270" s="39">
        <f>[1]D!E127</f>
        <v>0</v>
      </c>
      <c r="F270" s="39">
        <f>[1]D!F127</f>
        <v>0</v>
      </c>
      <c r="G270" s="39">
        <f>[1]D!G127</f>
        <v>0</v>
      </c>
      <c r="H270" s="39">
        <f>[1]D!H127</f>
        <v>0</v>
      </c>
      <c r="I270" s="39">
        <f>[1]D!I127</f>
        <v>0</v>
      </c>
      <c r="J270" s="39" t="str">
        <f>[1]D!J127</f>
        <v>X</v>
      </c>
      <c r="K270" s="39" t="str">
        <f>[1]D!K127</f>
        <v>X</v>
      </c>
      <c r="L270" s="39">
        <f>[1]D!L127</f>
        <v>0</v>
      </c>
      <c r="M270" s="39">
        <f>[1]D!M127</f>
        <v>0</v>
      </c>
      <c r="N270" s="39">
        <f>[1]D!N127</f>
        <v>0</v>
      </c>
      <c r="O270" s="39">
        <f>[1]D!O127</f>
        <v>0</v>
      </c>
      <c r="P270" s="39">
        <f>[1]D!P127</f>
        <v>0</v>
      </c>
      <c r="Q270" s="39">
        <f>[1]D!Q127</f>
        <v>0</v>
      </c>
      <c r="R270" s="39" t="str">
        <f>[1]D!R127</f>
        <v>X</v>
      </c>
      <c r="S270" s="39" t="str">
        <f>[1]D!S127</f>
        <v>X</v>
      </c>
      <c r="T270" s="39">
        <f>[1]D!T127</f>
        <v>0</v>
      </c>
      <c r="U270" s="39">
        <f>[1]D!U127</f>
        <v>0</v>
      </c>
      <c r="V270" s="39">
        <f>[1]D!V127</f>
        <v>0</v>
      </c>
      <c r="W270" s="39">
        <f>[1]D!W127</f>
        <v>0</v>
      </c>
      <c r="X270" s="39">
        <f>[1]D!X127</f>
        <v>0</v>
      </c>
      <c r="Y270" s="39">
        <f>[1]D!Y127</f>
        <v>0</v>
      </c>
      <c r="Z270" s="39" t="str">
        <f>[1]D!Z127</f>
        <v>X</v>
      </c>
      <c r="AA270" s="39" t="str">
        <f>[1]D!AA127</f>
        <v>X</v>
      </c>
      <c r="AB270" s="39">
        <f>[1]D!AB127</f>
        <v>0</v>
      </c>
      <c r="AC270" s="39">
        <f>[1]D!AC127</f>
        <v>0</v>
      </c>
      <c r="AD270" s="39">
        <f>[1]D!AD127</f>
        <v>0</v>
      </c>
      <c r="AE270" s="39">
        <f>[1]D!AE127</f>
        <v>0</v>
      </c>
      <c r="AF270" s="39">
        <f>[1]D!AF127</f>
        <v>0</v>
      </c>
      <c r="AH270" s="20">
        <f t="shared" si="33"/>
        <v>0</v>
      </c>
      <c r="AI270" s="20">
        <f t="shared" si="34"/>
        <v>0</v>
      </c>
    </row>
    <row r="271" spans="1:35" ht="20.100000000000001" customHeight="1">
      <c r="A271" s="24" t="str">
        <f>ÖSSZES!$A$75</f>
        <v>Fábián Gábor</v>
      </c>
      <c r="B271" s="39" t="s">
        <v>2</v>
      </c>
      <c r="C271" s="39" t="s">
        <v>2</v>
      </c>
      <c r="D271" s="39">
        <f>[1]D!D128</f>
        <v>0</v>
      </c>
      <c r="E271" s="39">
        <f>[1]D!E128</f>
        <v>0</v>
      </c>
      <c r="F271" s="39">
        <f>[1]D!F128</f>
        <v>0</v>
      </c>
      <c r="G271" s="39">
        <f>[1]D!G128</f>
        <v>0</v>
      </c>
      <c r="H271" s="39">
        <f>[1]D!H128</f>
        <v>0</v>
      </c>
      <c r="I271" s="39">
        <f>[1]D!I128</f>
        <v>0</v>
      </c>
      <c r="J271" s="39" t="str">
        <f>[1]D!J128</f>
        <v>X</v>
      </c>
      <c r="K271" s="39" t="str">
        <f>[1]D!K128</f>
        <v>X</v>
      </c>
      <c r="L271" s="39">
        <f>[1]D!L128</f>
        <v>0</v>
      </c>
      <c r="M271" s="39">
        <f>[1]D!M128</f>
        <v>0</v>
      </c>
      <c r="N271" s="39">
        <f>[1]D!N128</f>
        <v>0</v>
      </c>
      <c r="O271" s="39">
        <f>[1]D!O128</f>
        <v>0</v>
      </c>
      <c r="P271" s="39">
        <f>[1]D!P128</f>
        <v>0</v>
      </c>
      <c r="Q271" s="39">
        <f>[1]D!Q128</f>
        <v>0</v>
      </c>
      <c r="R271" s="39" t="str">
        <f>[1]D!R128</f>
        <v>X</v>
      </c>
      <c r="S271" s="39" t="str">
        <f>[1]D!S128</f>
        <v>X</v>
      </c>
      <c r="T271" s="39">
        <f>[1]D!T128</f>
        <v>0</v>
      </c>
      <c r="U271" s="39">
        <f>[1]D!U128</f>
        <v>0</v>
      </c>
      <c r="V271" s="39">
        <f>[1]D!V128</f>
        <v>0</v>
      </c>
      <c r="W271" s="39">
        <f>[1]D!W128</f>
        <v>0</v>
      </c>
      <c r="X271" s="39">
        <f>[1]D!X128</f>
        <v>0</v>
      </c>
      <c r="Y271" s="39">
        <f>[1]D!Y128</f>
        <v>0</v>
      </c>
      <c r="Z271" s="39" t="str">
        <f>[1]D!Z128</f>
        <v>X</v>
      </c>
      <c r="AA271" s="39" t="str">
        <f>[1]D!AA128</f>
        <v>X</v>
      </c>
      <c r="AB271" s="39">
        <f>[1]D!AB128</f>
        <v>0</v>
      </c>
      <c r="AC271" s="39">
        <f>[1]D!AC128</f>
        <v>0</v>
      </c>
      <c r="AD271" s="39">
        <f>[1]D!AD128</f>
        <v>0</v>
      </c>
      <c r="AE271" s="39">
        <f>[1]D!AE128</f>
        <v>0</v>
      </c>
      <c r="AF271" s="39">
        <f>[1]D!AF128</f>
        <v>0</v>
      </c>
      <c r="AH271" s="20">
        <f t="shared" si="33"/>
        <v>0</v>
      </c>
      <c r="AI271" s="20">
        <f t="shared" si="34"/>
        <v>0</v>
      </c>
    </row>
    <row r="272" spans="1:35" ht="20.100000000000001" customHeight="1">
      <c r="A272" s="24" t="str">
        <f>ÖSSZES!$A$76</f>
        <v>Gellei Zsolt</v>
      </c>
      <c r="B272" s="39" t="s">
        <v>2</v>
      </c>
      <c r="C272" s="39" t="s">
        <v>2</v>
      </c>
      <c r="D272" s="39">
        <f>[1]D!D129</f>
        <v>0</v>
      </c>
      <c r="E272" s="39">
        <f>[1]D!E129</f>
        <v>0</v>
      </c>
      <c r="F272" s="39">
        <f>[1]D!F129</f>
        <v>0</v>
      </c>
      <c r="G272" s="39">
        <f>[1]D!G129</f>
        <v>0</v>
      </c>
      <c r="H272" s="39">
        <f>[1]D!H129</f>
        <v>0</v>
      </c>
      <c r="I272" s="39">
        <f>[1]D!I129</f>
        <v>0</v>
      </c>
      <c r="J272" s="39" t="str">
        <f>[1]D!J129</f>
        <v>X</v>
      </c>
      <c r="K272" s="39" t="str">
        <f>[1]D!K129</f>
        <v>X</v>
      </c>
      <c r="L272" s="39">
        <f>[1]D!L129</f>
        <v>0</v>
      </c>
      <c r="M272" s="39">
        <f>[1]D!M129</f>
        <v>0</v>
      </c>
      <c r="N272" s="39">
        <f>[1]D!N129</f>
        <v>0</v>
      </c>
      <c r="O272" s="39">
        <f>[1]D!O129</f>
        <v>0</v>
      </c>
      <c r="P272" s="39">
        <f>[1]D!P129</f>
        <v>0</v>
      </c>
      <c r="Q272" s="39">
        <f>[1]D!Q129</f>
        <v>0</v>
      </c>
      <c r="R272" s="39" t="str">
        <f>[1]D!R129</f>
        <v>X</v>
      </c>
      <c r="S272" s="39" t="str">
        <f>[1]D!S129</f>
        <v>X</v>
      </c>
      <c r="T272" s="39">
        <f>[1]D!T129</f>
        <v>0</v>
      </c>
      <c r="U272" s="39">
        <f>[1]D!U129</f>
        <v>0</v>
      </c>
      <c r="V272" s="39">
        <f>[1]D!V129</f>
        <v>0</v>
      </c>
      <c r="W272" s="39">
        <f>[1]D!W129</f>
        <v>0</v>
      </c>
      <c r="X272" s="39">
        <f>[1]D!X129</f>
        <v>0</v>
      </c>
      <c r="Y272" s="39">
        <f>[1]D!Y129</f>
        <v>0</v>
      </c>
      <c r="Z272" s="39" t="str">
        <f>[1]D!Z129</f>
        <v>X</v>
      </c>
      <c r="AA272" s="39" t="str">
        <f>[1]D!AA129</f>
        <v>X</v>
      </c>
      <c r="AB272" s="39">
        <f>[1]D!AB129</f>
        <v>0</v>
      </c>
      <c r="AC272" s="39">
        <f>[1]D!AC129</f>
        <v>0</v>
      </c>
      <c r="AD272" s="39">
        <f>[1]D!AD129</f>
        <v>0</v>
      </c>
      <c r="AE272" s="39">
        <f>[1]D!AE129</f>
        <v>0</v>
      </c>
      <c r="AF272" s="39">
        <f>[1]D!AF129</f>
        <v>0</v>
      </c>
      <c r="AH272" s="20">
        <f t="shared" si="33"/>
        <v>0</v>
      </c>
      <c r="AI272" s="20">
        <f t="shared" si="34"/>
        <v>0</v>
      </c>
    </row>
    <row r="273" spans="1:35" ht="20.100000000000001" customHeight="1">
      <c r="A273" s="24" t="str">
        <f>ÖSSZES!$A$77</f>
        <v>Kiss Gyula</v>
      </c>
      <c r="B273" s="39" t="s">
        <v>2</v>
      </c>
      <c r="C273" s="39" t="s">
        <v>2</v>
      </c>
      <c r="D273" s="39">
        <f>[1]D!D130</f>
        <v>0</v>
      </c>
      <c r="E273" s="39">
        <f>[1]D!E130</f>
        <v>0</v>
      </c>
      <c r="F273" s="39">
        <f>[1]D!F130</f>
        <v>0</v>
      </c>
      <c r="G273" s="39">
        <f>[1]D!G130</f>
        <v>0</v>
      </c>
      <c r="H273" s="39">
        <f>[1]D!H130</f>
        <v>0</v>
      </c>
      <c r="I273" s="39">
        <f>[1]D!I130</f>
        <v>0</v>
      </c>
      <c r="J273" s="39" t="str">
        <f>[1]D!J130</f>
        <v>X</v>
      </c>
      <c r="K273" s="39" t="str">
        <f>[1]D!K130</f>
        <v>X</v>
      </c>
      <c r="L273" s="39">
        <f>[1]D!L130</f>
        <v>0</v>
      </c>
      <c r="M273" s="39">
        <f>[1]D!M130</f>
        <v>0</v>
      </c>
      <c r="N273" s="39">
        <f>[1]D!N130</f>
        <v>0</v>
      </c>
      <c r="O273" s="39">
        <f>[1]D!O130</f>
        <v>0</v>
      </c>
      <c r="P273" s="39">
        <f>[1]D!P130</f>
        <v>0</v>
      </c>
      <c r="Q273" s="39">
        <f>[1]D!Q130</f>
        <v>0</v>
      </c>
      <c r="R273" s="39" t="str">
        <f>[1]D!R130</f>
        <v>X</v>
      </c>
      <c r="S273" s="39" t="str">
        <f>[1]D!S130</f>
        <v>X</v>
      </c>
      <c r="T273" s="39">
        <f>[1]D!T130</f>
        <v>0</v>
      </c>
      <c r="U273" s="39">
        <f>[1]D!U130</f>
        <v>0</v>
      </c>
      <c r="V273" s="39">
        <f>[1]D!V130</f>
        <v>0</v>
      </c>
      <c r="W273" s="39">
        <f>[1]D!W130</f>
        <v>0</v>
      </c>
      <c r="X273" s="39">
        <f>[1]D!X130</f>
        <v>0</v>
      </c>
      <c r="Y273" s="39">
        <f>[1]D!Y130</f>
        <v>0</v>
      </c>
      <c r="Z273" s="39" t="str">
        <f>[1]D!Z130</f>
        <v>X</v>
      </c>
      <c r="AA273" s="39" t="str">
        <f>[1]D!AA130</f>
        <v>X</v>
      </c>
      <c r="AB273" s="39">
        <f>[1]D!AB130</f>
        <v>0</v>
      </c>
      <c r="AC273" s="39">
        <f>[1]D!AC130</f>
        <v>0</v>
      </c>
      <c r="AD273" s="39">
        <f>[1]D!AD130</f>
        <v>0</v>
      </c>
      <c r="AE273" s="39">
        <f>[1]D!AE130</f>
        <v>0</v>
      </c>
      <c r="AF273" s="39">
        <f>[1]D!AF130</f>
        <v>0</v>
      </c>
      <c r="AH273" s="20">
        <f t="shared" si="33"/>
        <v>0</v>
      </c>
      <c r="AI273" s="20">
        <f t="shared" si="34"/>
        <v>0</v>
      </c>
    </row>
    <row r="274" spans="1:35" ht="20.100000000000001" customHeight="1">
      <c r="A274" s="24" t="str">
        <f>ÖSSZES!$A$78</f>
        <v>Nagy István</v>
      </c>
      <c r="B274" s="39" t="s">
        <v>2</v>
      </c>
      <c r="C274" s="39" t="s">
        <v>2</v>
      </c>
      <c r="D274" s="39">
        <f>[1]D!D131</f>
        <v>0</v>
      </c>
      <c r="E274" s="39">
        <f>[1]D!E131</f>
        <v>0</v>
      </c>
      <c r="F274" s="39">
        <f>[1]D!F131</f>
        <v>0</v>
      </c>
      <c r="G274" s="39">
        <f>[1]D!G131</f>
        <v>0</v>
      </c>
      <c r="H274" s="39">
        <f>[1]D!H131</f>
        <v>0</v>
      </c>
      <c r="I274" s="39">
        <f>[1]D!I131</f>
        <v>0</v>
      </c>
      <c r="J274" s="39" t="str">
        <f>[1]D!J131</f>
        <v>X</v>
      </c>
      <c r="K274" s="39" t="str">
        <f>[1]D!K131</f>
        <v>X</v>
      </c>
      <c r="L274" s="39">
        <f>[1]D!L131</f>
        <v>0</v>
      </c>
      <c r="M274" s="39">
        <f>[1]D!M131</f>
        <v>0</v>
      </c>
      <c r="N274" s="39">
        <f>[1]D!N131</f>
        <v>0</v>
      </c>
      <c r="O274" s="39">
        <f>[1]D!O131</f>
        <v>0</v>
      </c>
      <c r="P274" s="39">
        <f>[1]D!P131</f>
        <v>0</v>
      </c>
      <c r="Q274" s="39">
        <f>[1]D!Q131</f>
        <v>0</v>
      </c>
      <c r="R274" s="39" t="str">
        <f>[1]D!R131</f>
        <v>X</v>
      </c>
      <c r="S274" s="39" t="str">
        <f>[1]D!S131</f>
        <v>X</v>
      </c>
      <c r="T274" s="39">
        <f>[1]D!T131</f>
        <v>0</v>
      </c>
      <c r="U274" s="39">
        <f>[1]D!U131</f>
        <v>0</v>
      </c>
      <c r="V274" s="39">
        <f>[1]D!V131</f>
        <v>0</v>
      </c>
      <c r="W274" s="39">
        <f>[1]D!W131</f>
        <v>0</v>
      </c>
      <c r="X274" s="39">
        <f>[1]D!X131</f>
        <v>0</v>
      </c>
      <c r="Y274" s="39">
        <f>[1]D!Y131</f>
        <v>0</v>
      </c>
      <c r="Z274" s="39" t="str">
        <f>[1]D!Z131</f>
        <v>X</v>
      </c>
      <c r="AA274" s="39" t="str">
        <f>[1]D!AA131</f>
        <v>X</v>
      </c>
      <c r="AB274" s="39">
        <f>[1]D!AB131</f>
        <v>0</v>
      </c>
      <c r="AC274" s="39">
        <f>[1]D!AC131</f>
        <v>0</v>
      </c>
      <c r="AD274" s="39">
        <f>[1]D!AD131</f>
        <v>0</v>
      </c>
      <c r="AE274" s="39">
        <f>[1]D!AE131</f>
        <v>0</v>
      </c>
      <c r="AF274" s="39">
        <f>[1]D!AF131</f>
        <v>0</v>
      </c>
      <c r="AH274" s="20">
        <f t="shared" si="33"/>
        <v>0</v>
      </c>
      <c r="AI274" s="20">
        <f t="shared" si="34"/>
        <v>0</v>
      </c>
    </row>
    <row r="275" spans="1:35" ht="20.100000000000001" hidden="1" customHeight="1">
      <c r="A275" s="24" t="str">
        <f>ÖSSZES!$A$79</f>
        <v>Név8</v>
      </c>
      <c r="B275" s="39" t="s">
        <v>2</v>
      </c>
      <c r="C275" s="39" t="s">
        <v>2</v>
      </c>
      <c r="D275" s="39"/>
      <c r="E275" s="39"/>
      <c r="F275" s="39"/>
      <c r="G275" s="39"/>
      <c r="H275" s="39"/>
      <c r="I275" s="39"/>
      <c r="J275" s="39" t="s">
        <v>2</v>
      </c>
      <c r="K275" s="39" t="s">
        <v>2</v>
      </c>
      <c r="L275" s="39"/>
      <c r="M275" s="39"/>
      <c r="N275" s="39"/>
      <c r="O275" s="39"/>
      <c r="P275" s="39"/>
      <c r="Q275" s="39"/>
      <c r="R275" s="39" t="s">
        <v>2</v>
      </c>
      <c r="S275" s="39" t="s">
        <v>2</v>
      </c>
      <c r="T275" s="39"/>
      <c r="U275" s="39"/>
      <c r="V275" s="39"/>
      <c r="W275" s="39"/>
      <c r="X275" s="39"/>
      <c r="Y275" s="39"/>
      <c r="Z275" s="39" t="s">
        <v>2</v>
      </c>
      <c r="AA275" s="39" t="s">
        <v>2</v>
      </c>
      <c r="AB275" s="39"/>
      <c r="AC275" s="39"/>
      <c r="AD275" s="39"/>
      <c r="AE275" s="39"/>
      <c r="AF275" s="39"/>
      <c r="AH275" s="20">
        <f t="shared" si="33"/>
        <v>0</v>
      </c>
      <c r="AI275" s="20">
        <f t="shared" si="34"/>
        <v>0</v>
      </c>
    </row>
    <row r="276" spans="1:35" ht="20.100000000000001" hidden="1" customHeight="1">
      <c r="A276" s="24" t="str">
        <f>ÖSSZES!$A$80</f>
        <v>Név9</v>
      </c>
      <c r="B276" s="39" t="s">
        <v>2</v>
      </c>
      <c r="C276" s="39" t="s">
        <v>2</v>
      </c>
      <c r="D276" s="39"/>
      <c r="E276" s="39"/>
      <c r="F276" s="39"/>
      <c r="G276" s="39"/>
      <c r="H276" s="39"/>
      <c r="I276" s="39"/>
      <c r="J276" s="39" t="s">
        <v>2</v>
      </c>
      <c r="K276" s="39" t="s">
        <v>2</v>
      </c>
      <c r="L276" s="39"/>
      <c r="M276" s="39"/>
      <c r="N276" s="39"/>
      <c r="O276" s="39"/>
      <c r="P276" s="39"/>
      <c r="Q276" s="39"/>
      <c r="R276" s="39" t="s">
        <v>2</v>
      </c>
      <c r="S276" s="39" t="s">
        <v>2</v>
      </c>
      <c r="T276" s="39"/>
      <c r="U276" s="39"/>
      <c r="V276" s="39"/>
      <c r="W276" s="39"/>
      <c r="X276" s="39"/>
      <c r="Y276" s="39"/>
      <c r="Z276" s="39" t="s">
        <v>2</v>
      </c>
      <c r="AA276" s="39" t="s">
        <v>2</v>
      </c>
      <c r="AB276" s="39"/>
      <c r="AC276" s="39"/>
      <c r="AD276" s="39"/>
      <c r="AE276" s="39"/>
      <c r="AF276" s="39"/>
      <c r="AH276" s="20">
        <f t="shared" si="33"/>
        <v>0</v>
      </c>
      <c r="AI276" s="20">
        <f t="shared" si="34"/>
        <v>0</v>
      </c>
    </row>
    <row r="277" spans="1:35" ht="20.100000000000001" hidden="1" customHeight="1">
      <c r="A277" s="24" t="str">
        <f>ÖSSZES!$A$81</f>
        <v>Név10</v>
      </c>
      <c r="B277" s="39" t="s">
        <v>2</v>
      </c>
      <c r="C277" s="39" t="s">
        <v>2</v>
      </c>
      <c r="D277" s="39"/>
      <c r="E277" s="39"/>
      <c r="F277" s="39"/>
      <c r="G277" s="39"/>
      <c r="H277" s="39"/>
      <c r="I277" s="39"/>
      <c r="J277" s="39" t="s">
        <v>2</v>
      </c>
      <c r="K277" s="39" t="s">
        <v>2</v>
      </c>
      <c r="L277" s="39"/>
      <c r="M277" s="39"/>
      <c r="N277" s="39"/>
      <c r="O277" s="39"/>
      <c r="P277" s="39"/>
      <c r="Q277" s="39"/>
      <c r="R277" s="39" t="s">
        <v>2</v>
      </c>
      <c r="S277" s="39" t="s">
        <v>2</v>
      </c>
      <c r="T277" s="39"/>
      <c r="U277" s="39"/>
      <c r="V277" s="39"/>
      <c r="W277" s="39"/>
      <c r="X277" s="39"/>
      <c r="Y277" s="39"/>
      <c r="Z277" s="39" t="s">
        <v>2</v>
      </c>
      <c r="AA277" s="39" t="s">
        <v>2</v>
      </c>
      <c r="AB277" s="39"/>
      <c r="AC277" s="39"/>
      <c r="AD277" s="39"/>
      <c r="AE277" s="39"/>
      <c r="AF277" s="39"/>
      <c r="AH277" s="20">
        <f t="shared" si="33"/>
        <v>0</v>
      </c>
      <c r="AI277" s="20">
        <f t="shared" si="34"/>
        <v>0</v>
      </c>
    </row>
    <row r="278" spans="1:35" ht="20.100000000000001" hidden="1" customHeight="1">
      <c r="A278" s="24" t="str">
        <f>ÖSSZES!$A$82</f>
        <v>Név11</v>
      </c>
      <c r="B278" s="39" t="s">
        <v>2</v>
      </c>
      <c r="C278" s="39" t="s">
        <v>2</v>
      </c>
      <c r="D278" s="39"/>
      <c r="E278" s="39"/>
      <c r="F278" s="39"/>
      <c r="G278" s="39"/>
      <c r="H278" s="39"/>
      <c r="I278" s="39"/>
      <c r="J278" s="39" t="s">
        <v>2</v>
      </c>
      <c r="K278" s="39" t="s">
        <v>2</v>
      </c>
      <c r="L278" s="39"/>
      <c r="M278" s="39"/>
      <c r="N278" s="39"/>
      <c r="O278" s="39"/>
      <c r="P278" s="39"/>
      <c r="Q278" s="39"/>
      <c r="R278" s="39" t="s">
        <v>2</v>
      </c>
      <c r="S278" s="39" t="s">
        <v>2</v>
      </c>
      <c r="T278" s="39"/>
      <c r="U278" s="39"/>
      <c r="V278" s="39"/>
      <c r="W278" s="39"/>
      <c r="X278" s="39"/>
      <c r="Y278" s="39"/>
      <c r="Z278" s="39" t="s">
        <v>2</v>
      </c>
      <c r="AA278" s="39" t="s">
        <v>2</v>
      </c>
      <c r="AB278" s="39"/>
      <c r="AC278" s="39"/>
      <c r="AD278" s="39"/>
      <c r="AE278" s="39"/>
      <c r="AF278" s="39"/>
      <c r="AH278" s="20">
        <f t="shared" si="33"/>
        <v>0</v>
      </c>
      <c r="AI278" s="20">
        <f t="shared" si="34"/>
        <v>0</v>
      </c>
    </row>
    <row r="279" spans="1:35" ht="20.100000000000001" hidden="1" customHeight="1">
      <c r="A279" s="24" t="str">
        <f>ÖSSZES!$A$83</f>
        <v>Név12</v>
      </c>
      <c r="B279" s="39" t="s">
        <v>2</v>
      </c>
      <c r="C279" s="39" t="s">
        <v>2</v>
      </c>
      <c r="D279" s="39"/>
      <c r="E279" s="39"/>
      <c r="F279" s="39"/>
      <c r="G279" s="39"/>
      <c r="H279" s="39"/>
      <c r="I279" s="39"/>
      <c r="J279" s="39" t="s">
        <v>2</v>
      </c>
      <c r="K279" s="39" t="s">
        <v>2</v>
      </c>
      <c r="L279" s="39"/>
      <c r="M279" s="39"/>
      <c r="N279" s="39"/>
      <c r="O279" s="39"/>
      <c r="P279" s="39"/>
      <c r="Q279" s="39"/>
      <c r="R279" s="39" t="s">
        <v>2</v>
      </c>
      <c r="S279" s="39" t="s">
        <v>2</v>
      </c>
      <c r="T279" s="39"/>
      <c r="U279" s="39"/>
      <c r="V279" s="39"/>
      <c r="W279" s="39"/>
      <c r="X279" s="39"/>
      <c r="Y279" s="39"/>
      <c r="Z279" s="39" t="s">
        <v>2</v>
      </c>
      <c r="AA279" s="39" t="s">
        <v>2</v>
      </c>
      <c r="AB279" s="39"/>
      <c r="AC279" s="39"/>
      <c r="AD279" s="39"/>
      <c r="AE279" s="39"/>
      <c r="AF279" s="39"/>
      <c r="AH279" s="20">
        <f t="shared" si="33"/>
        <v>0</v>
      </c>
      <c r="AI279" s="20">
        <f t="shared" si="34"/>
        <v>0</v>
      </c>
    </row>
    <row r="280" spans="1:35" ht="20.100000000000001" hidden="1" customHeight="1">
      <c r="A280" s="24" t="str">
        <f>ÖSSZES!$A$84</f>
        <v>Név13</v>
      </c>
      <c r="B280" s="39" t="s">
        <v>2</v>
      </c>
      <c r="C280" s="39" t="s">
        <v>2</v>
      </c>
      <c r="D280" s="39"/>
      <c r="E280" s="39"/>
      <c r="F280" s="39"/>
      <c r="G280" s="39"/>
      <c r="H280" s="39"/>
      <c r="I280" s="39"/>
      <c r="J280" s="39" t="s">
        <v>2</v>
      </c>
      <c r="K280" s="39" t="s">
        <v>2</v>
      </c>
      <c r="L280" s="39"/>
      <c r="M280" s="39"/>
      <c r="N280" s="39"/>
      <c r="O280" s="39"/>
      <c r="P280" s="39"/>
      <c r="Q280" s="39"/>
      <c r="R280" s="39" t="s">
        <v>2</v>
      </c>
      <c r="S280" s="39" t="s">
        <v>2</v>
      </c>
      <c r="T280" s="39"/>
      <c r="U280" s="39"/>
      <c r="V280" s="39"/>
      <c r="W280" s="39"/>
      <c r="X280" s="39"/>
      <c r="Y280" s="39"/>
      <c r="Z280" s="39" t="s">
        <v>2</v>
      </c>
      <c r="AA280" s="39" t="s">
        <v>2</v>
      </c>
      <c r="AB280" s="39"/>
      <c r="AC280" s="39"/>
      <c r="AD280" s="39"/>
      <c r="AE280" s="39"/>
      <c r="AF280" s="39"/>
      <c r="AH280" s="20">
        <f t="shared" si="33"/>
        <v>0</v>
      </c>
      <c r="AI280" s="20">
        <f t="shared" si="34"/>
        <v>0</v>
      </c>
    </row>
    <row r="281" spans="1:35" ht="20.100000000000001" hidden="1" customHeight="1">
      <c r="A281" s="24" t="str">
        <f>ÖSSZES!$A$85</f>
        <v>Név14</v>
      </c>
      <c r="B281" s="39" t="s">
        <v>2</v>
      </c>
      <c r="C281" s="39" t="s">
        <v>2</v>
      </c>
      <c r="D281" s="39"/>
      <c r="E281" s="39"/>
      <c r="F281" s="39"/>
      <c r="G281" s="39"/>
      <c r="H281" s="39"/>
      <c r="I281" s="39"/>
      <c r="J281" s="39" t="s">
        <v>2</v>
      </c>
      <c r="K281" s="39" t="s">
        <v>2</v>
      </c>
      <c r="L281" s="39"/>
      <c r="M281" s="39"/>
      <c r="N281" s="39"/>
      <c r="O281" s="39"/>
      <c r="P281" s="39"/>
      <c r="Q281" s="39"/>
      <c r="R281" s="39" t="s">
        <v>2</v>
      </c>
      <c r="S281" s="39" t="s">
        <v>2</v>
      </c>
      <c r="T281" s="39"/>
      <c r="U281" s="39"/>
      <c r="V281" s="39"/>
      <c r="W281" s="39"/>
      <c r="X281" s="39"/>
      <c r="Y281" s="39"/>
      <c r="Z281" s="39" t="s">
        <v>2</v>
      </c>
      <c r="AA281" s="39" t="s">
        <v>2</v>
      </c>
      <c r="AB281" s="39"/>
      <c r="AC281" s="39"/>
      <c r="AD281" s="39"/>
      <c r="AE281" s="39"/>
      <c r="AF281" s="39"/>
      <c r="AH281" s="20">
        <f t="shared" si="33"/>
        <v>0</v>
      </c>
      <c r="AI281" s="20">
        <f t="shared" si="34"/>
        <v>0</v>
      </c>
    </row>
    <row r="282" spans="1:35" ht="20.100000000000001" hidden="1" customHeight="1">
      <c r="A282" s="24" t="str">
        <f>ÖSSZES!$A$86</f>
        <v>Név15</v>
      </c>
      <c r="B282" s="39" t="s">
        <v>2</v>
      </c>
      <c r="C282" s="39" t="s">
        <v>2</v>
      </c>
      <c r="D282" s="39"/>
      <c r="E282" s="39"/>
      <c r="F282" s="39"/>
      <c r="G282" s="39"/>
      <c r="H282" s="39"/>
      <c r="I282" s="39"/>
      <c r="J282" s="39" t="s">
        <v>2</v>
      </c>
      <c r="K282" s="39" t="s">
        <v>2</v>
      </c>
      <c r="L282" s="39"/>
      <c r="M282" s="39"/>
      <c r="N282" s="39"/>
      <c r="O282" s="39"/>
      <c r="P282" s="39"/>
      <c r="Q282" s="39"/>
      <c r="R282" s="39" t="s">
        <v>2</v>
      </c>
      <c r="S282" s="39" t="s">
        <v>2</v>
      </c>
      <c r="T282" s="39"/>
      <c r="U282" s="39"/>
      <c r="V282" s="39"/>
      <c r="W282" s="39"/>
      <c r="X282" s="39"/>
      <c r="Y282" s="39"/>
      <c r="Z282" s="39" t="s">
        <v>2</v>
      </c>
      <c r="AA282" s="39" t="s">
        <v>2</v>
      </c>
      <c r="AB282" s="39"/>
      <c r="AC282" s="39"/>
      <c r="AD282" s="39"/>
      <c r="AE282" s="39"/>
      <c r="AF282" s="39"/>
      <c r="AH282" s="20">
        <f t="shared" si="33"/>
        <v>0</v>
      </c>
      <c r="AI282" s="20">
        <f t="shared" si="34"/>
        <v>0</v>
      </c>
    </row>
    <row r="283" spans="1:35" ht="20.100000000000001" hidden="1" customHeight="1">
      <c r="A283" s="24" t="str">
        <f>ÖSSZES!$A$87</f>
        <v>Név16</v>
      </c>
      <c r="B283" s="39" t="s">
        <v>2</v>
      </c>
      <c r="C283" s="39" t="s">
        <v>2</v>
      </c>
      <c r="D283" s="39"/>
      <c r="E283" s="39"/>
      <c r="F283" s="39"/>
      <c r="G283" s="39"/>
      <c r="H283" s="39"/>
      <c r="I283" s="39"/>
      <c r="J283" s="39" t="s">
        <v>2</v>
      </c>
      <c r="K283" s="39" t="s">
        <v>2</v>
      </c>
      <c r="L283" s="39"/>
      <c r="M283" s="39"/>
      <c r="N283" s="39"/>
      <c r="O283" s="39"/>
      <c r="P283" s="39"/>
      <c r="Q283" s="39"/>
      <c r="R283" s="39" t="s">
        <v>2</v>
      </c>
      <c r="S283" s="39" t="s">
        <v>2</v>
      </c>
      <c r="T283" s="39"/>
      <c r="U283" s="39"/>
      <c r="V283" s="39"/>
      <c r="W283" s="39"/>
      <c r="X283" s="39"/>
      <c r="Y283" s="39"/>
      <c r="Z283" s="39" t="s">
        <v>2</v>
      </c>
      <c r="AA283" s="39" t="s">
        <v>2</v>
      </c>
      <c r="AB283" s="39"/>
      <c r="AC283" s="39"/>
      <c r="AD283" s="39"/>
      <c r="AE283" s="39"/>
      <c r="AF283" s="39"/>
      <c r="AH283" s="20">
        <f t="shared" si="33"/>
        <v>0</v>
      </c>
      <c r="AI283" s="20">
        <f t="shared" si="34"/>
        <v>0</v>
      </c>
    </row>
    <row r="284" spans="1:35" ht="20.100000000000001" hidden="1" customHeight="1">
      <c r="A284" s="24" t="str">
        <f>ÖSSZES!$A$88</f>
        <v>Név17</v>
      </c>
      <c r="B284" s="39" t="s">
        <v>2</v>
      </c>
      <c r="C284" s="39" t="s">
        <v>2</v>
      </c>
      <c r="D284" s="39"/>
      <c r="E284" s="39"/>
      <c r="F284" s="39"/>
      <c r="G284" s="39"/>
      <c r="H284" s="39"/>
      <c r="I284" s="39"/>
      <c r="J284" s="39" t="s">
        <v>2</v>
      </c>
      <c r="K284" s="39" t="s">
        <v>2</v>
      </c>
      <c r="L284" s="39"/>
      <c r="M284" s="39"/>
      <c r="N284" s="39"/>
      <c r="O284" s="39"/>
      <c r="P284" s="39"/>
      <c r="Q284" s="39"/>
      <c r="R284" s="39" t="s">
        <v>2</v>
      </c>
      <c r="S284" s="39" t="s">
        <v>2</v>
      </c>
      <c r="T284" s="39"/>
      <c r="U284" s="39"/>
      <c r="V284" s="39"/>
      <c r="W284" s="39"/>
      <c r="X284" s="39"/>
      <c r="Y284" s="39"/>
      <c r="Z284" s="39" t="s">
        <v>2</v>
      </c>
      <c r="AA284" s="39" t="s">
        <v>2</v>
      </c>
      <c r="AB284" s="39"/>
      <c r="AC284" s="39"/>
      <c r="AD284" s="39"/>
      <c r="AE284" s="39"/>
      <c r="AF284" s="39"/>
      <c r="AH284" s="20">
        <f t="shared" si="33"/>
        <v>0</v>
      </c>
      <c r="AI284" s="20">
        <f t="shared" si="34"/>
        <v>0</v>
      </c>
    </row>
    <row r="285" spans="1:35" ht="20.100000000000001" hidden="1" customHeight="1">
      <c r="A285" s="24" t="str">
        <f>ÖSSZES!$A$89</f>
        <v>Név18</v>
      </c>
      <c r="B285" s="39" t="s">
        <v>2</v>
      </c>
      <c r="C285" s="39" t="s">
        <v>2</v>
      </c>
      <c r="D285" s="39"/>
      <c r="E285" s="39"/>
      <c r="F285" s="39"/>
      <c r="G285" s="39"/>
      <c r="H285" s="39"/>
      <c r="I285" s="39"/>
      <c r="J285" s="39" t="s">
        <v>2</v>
      </c>
      <c r="K285" s="39" t="s">
        <v>2</v>
      </c>
      <c r="L285" s="39"/>
      <c r="M285" s="39"/>
      <c r="N285" s="39"/>
      <c r="O285" s="39"/>
      <c r="P285" s="39"/>
      <c r="Q285" s="39"/>
      <c r="R285" s="39" t="s">
        <v>2</v>
      </c>
      <c r="S285" s="39" t="s">
        <v>2</v>
      </c>
      <c r="T285" s="39"/>
      <c r="U285" s="39"/>
      <c r="V285" s="39"/>
      <c r="W285" s="39"/>
      <c r="X285" s="39"/>
      <c r="Y285" s="39"/>
      <c r="Z285" s="39" t="s">
        <v>2</v>
      </c>
      <c r="AA285" s="39" t="s">
        <v>2</v>
      </c>
      <c r="AB285" s="39"/>
      <c r="AC285" s="39"/>
      <c r="AD285" s="39"/>
      <c r="AE285" s="39"/>
      <c r="AF285" s="39"/>
      <c r="AH285" s="20">
        <f t="shared" si="33"/>
        <v>0</v>
      </c>
      <c r="AI285" s="20">
        <f t="shared" si="34"/>
        <v>0</v>
      </c>
    </row>
    <row r="286" spans="1:35" ht="20.100000000000001" hidden="1" customHeight="1">
      <c r="A286" s="24" t="str">
        <f>ÖSSZES!$A$90</f>
        <v>Név19</v>
      </c>
      <c r="B286" s="39" t="s">
        <v>2</v>
      </c>
      <c r="C286" s="39" t="s">
        <v>2</v>
      </c>
      <c r="D286" s="39"/>
      <c r="E286" s="39"/>
      <c r="F286" s="39"/>
      <c r="G286" s="39"/>
      <c r="H286" s="39"/>
      <c r="I286" s="39"/>
      <c r="J286" s="39" t="s">
        <v>2</v>
      </c>
      <c r="K286" s="39" t="s">
        <v>2</v>
      </c>
      <c r="L286" s="39"/>
      <c r="M286" s="39"/>
      <c r="N286" s="39"/>
      <c r="O286" s="39"/>
      <c r="P286" s="39"/>
      <c r="Q286" s="39"/>
      <c r="R286" s="39" t="s">
        <v>2</v>
      </c>
      <c r="S286" s="39" t="s">
        <v>2</v>
      </c>
      <c r="T286" s="39"/>
      <c r="U286" s="39"/>
      <c r="V286" s="39"/>
      <c r="W286" s="39"/>
      <c r="X286" s="39"/>
      <c r="Y286" s="39"/>
      <c r="Z286" s="39" t="s">
        <v>2</v>
      </c>
      <c r="AA286" s="39" t="s">
        <v>2</v>
      </c>
      <c r="AB286" s="39"/>
      <c r="AC286" s="39"/>
      <c r="AD286" s="39"/>
      <c r="AE286" s="39"/>
      <c r="AF286" s="39"/>
      <c r="AH286" s="20">
        <f t="shared" si="33"/>
        <v>0</v>
      </c>
      <c r="AI286" s="20">
        <f t="shared" si="34"/>
        <v>0</v>
      </c>
    </row>
    <row r="287" spans="1:35" ht="20.100000000000001" hidden="1" customHeight="1">
      <c r="A287" s="24" t="str">
        <f>ÖSSZES!$A$91</f>
        <v>Név20</v>
      </c>
      <c r="B287" s="39" t="s">
        <v>2</v>
      </c>
      <c r="C287" s="39" t="s">
        <v>2</v>
      </c>
      <c r="D287" s="39"/>
      <c r="E287" s="39"/>
      <c r="F287" s="39"/>
      <c r="G287" s="39"/>
      <c r="H287" s="39"/>
      <c r="I287" s="39"/>
      <c r="J287" s="39" t="s">
        <v>2</v>
      </c>
      <c r="K287" s="39" t="s">
        <v>2</v>
      </c>
      <c r="L287" s="39"/>
      <c r="M287" s="39"/>
      <c r="N287" s="39"/>
      <c r="O287" s="39"/>
      <c r="P287" s="39"/>
      <c r="Q287" s="39"/>
      <c r="R287" s="39" t="s">
        <v>2</v>
      </c>
      <c r="S287" s="39" t="s">
        <v>2</v>
      </c>
      <c r="T287" s="39"/>
      <c r="U287" s="39"/>
      <c r="V287" s="39"/>
      <c r="W287" s="39"/>
      <c r="X287" s="39"/>
      <c r="Y287" s="39"/>
      <c r="Z287" s="39" t="s">
        <v>2</v>
      </c>
      <c r="AA287" s="39" t="s">
        <v>2</v>
      </c>
      <c r="AB287" s="39"/>
      <c r="AC287" s="39"/>
      <c r="AD287" s="39"/>
      <c r="AE287" s="39"/>
      <c r="AF287" s="39"/>
      <c r="AH287" s="20">
        <f t="shared" si="33"/>
        <v>0</v>
      </c>
      <c r="AI287" s="20">
        <f t="shared" si="34"/>
        <v>0</v>
      </c>
    </row>
  </sheetData>
  <sheetProtection password="DD6F" sheet="1" objects="1" scenarios="1"/>
  <mergeCells count="36">
    <mergeCell ref="A265:A267"/>
    <mergeCell ref="A1:A3"/>
    <mergeCell ref="A25:A27"/>
    <mergeCell ref="A49:A51"/>
    <mergeCell ref="A73:A75"/>
    <mergeCell ref="A97:A99"/>
    <mergeCell ref="A121:A123"/>
    <mergeCell ref="A145:A147"/>
    <mergeCell ref="A169:A171"/>
    <mergeCell ref="A193:A195"/>
    <mergeCell ref="A217:A219"/>
    <mergeCell ref="A241:A243"/>
    <mergeCell ref="AH1:AH3"/>
    <mergeCell ref="AI1:AI3"/>
    <mergeCell ref="AH25:AH27"/>
    <mergeCell ref="AI25:AI27"/>
    <mergeCell ref="AH49:AH51"/>
    <mergeCell ref="AI49:AI51"/>
    <mergeCell ref="AH73:AH75"/>
    <mergeCell ref="AI73:AI75"/>
    <mergeCell ref="AH97:AH99"/>
    <mergeCell ref="AI97:AI99"/>
    <mergeCell ref="AH121:AH123"/>
    <mergeCell ref="AI121:AI123"/>
    <mergeCell ref="AH145:AH147"/>
    <mergeCell ref="AI145:AI147"/>
    <mergeCell ref="AH169:AH171"/>
    <mergeCell ref="AI169:AI171"/>
    <mergeCell ref="AH193:AH195"/>
    <mergeCell ref="AI193:AI195"/>
    <mergeCell ref="AH217:AH219"/>
    <mergeCell ref="AI217:AI219"/>
    <mergeCell ref="AH241:AH243"/>
    <mergeCell ref="AI241:AI243"/>
    <mergeCell ref="AH265:AH267"/>
    <mergeCell ref="AI265:AI267"/>
  </mergeCells>
  <phoneticPr fontId="0" type="noConversion"/>
  <conditionalFormatting sqref="A1:XFD3 A24:XFD24 A4:A23 AG4:XFD23 A28:A47 A96:XFD99 A76:A95 C76:C95 A120:XFD123 A100:A119 A144:XFD147 A124:A143 AD124:XFD143 A168:XFD171 AF148:XFD167 AG172:XFD191 A240:XFD243 A220:A239 AG220:XFD239 A244:A263 AF244:XFD263 A288:XFD1048576 AE268:XFD287 E76:E95 G76:G95 I76:I95 K76:K95 M76:M95 O76:O95 Q76:Q95 S76:S95 U76:U95 W76:W95 Y76:Y95 AA76:AA95 AC76:AC95 AE76:XFD95 A148:A167 A268:A287 A25:AC27 AC100:XFD119 AD25:XFD47 A264:XFD267 A48:XFD75 A172:AE191 C172:AF178 A192:XFD219">
    <cfRule type="cellIs" dxfId="2113" priority="983" operator="equal">
      <formula>"szf"</formula>
    </cfRule>
    <cfRule type="cellIs" dxfId="2112" priority="984" operator="equal">
      <formula>"+"</formula>
    </cfRule>
  </conditionalFormatting>
  <conditionalFormatting sqref="I4:AF23 B4:G23 C4:AE10">
    <cfRule type="cellIs" dxfId="2111" priority="981" operator="equal">
      <formula>"+"</formula>
    </cfRule>
    <cfRule type="cellIs" dxfId="2110" priority="982" operator="equal">
      <formula>"szf"</formula>
    </cfRule>
  </conditionalFormatting>
  <conditionalFormatting sqref="B28:AA47 D28:AC34">
    <cfRule type="cellIs" dxfId="2109" priority="973" operator="equal">
      <formula>"+"</formula>
    </cfRule>
    <cfRule type="cellIs" dxfId="2108" priority="974" operator="equal">
      <formula>"szf"</formula>
    </cfRule>
  </conditionalFormatting>
  <conditionalFormatting sqref="AB28:AC47">
    <cfRule type="cellIs" dxfId="2107" priority="967" operator="equal">
      <formula>"+"</formula>
    </cfRule>
    <cfRule type="cellIs" dxfId="2106" priority="968" operator="equal">
      <formula>"szf"</formula>
    </cfRule>
  </conditionalFormatting>
  <conditionalFormatting sqref="D76:D95 F76:F95 H76:H95 J76:J95 L76:L95 N76:N95 P76:P95 R76:R95 T76:T95 V76:V95 X76:X95 Z76:Z95 AB76:AB95 AD76:AD95 B76:B95 C76:AC82">
    <cfRule type="cellIs" dxfId="2105" priority="951" operator="equal">
      <formula>"+"</formula>
    </cfRule>
    <cfRule type="cellIs" dxfId="2104" priority="952" operator="equal">
      <formula>"szf"</formula>
    </cfRule>
  </conditionalFormatting>
  <conditionalFormatting sqref="B100:AA119 C100:AE106">
    <cfRule type="cellIs" dxfId="2103" priority="937" operator="equal">
      <formula>"+"</formula>
    </cfRule>
    <cfRule type="cellIs" dxfId="2102" priority="938" operator="equal">
      <formula>"szf"</formula>
    </cfRule>
  </conditionalFormatting>
  <conditionalFormatting sqref="AB100:AB119">
    <cfRule type="cellIs" dxfId="2101" priority="923" operator="equal">
      <formula>"+"</formula>
    </cfRule>
    <cfRule type="cellIs" dxfId="2100" priority="924" operator="equal">
      <formula>"szf"</formula>
    </cfRule>
  </conditionalFormatting>
  <conditionalFormatting sqref="B124:AA143 D124:AE130">
    <cfRule type="cellIs" dxfId="2099" priority="921" operator="equal">
      <formula>"+"</formula>
    </cfRule>
    <cfRule type="cellIs" dxfId="2098" priority="922" operator="equal">
      <formula>"szf"</formula>
    </cfRule>
  </conditionalFormatting>
  <conditionalFormatting sqref="AB124:AB143">
    <cfRule type="cellIs" dxfId="2097" priority="909" operator="equal">
      <formula>"+"</formula>
    </cfRule>
    <cfRule type="cellIs" dxfId="2096" priority="910" operator="equal">
      <formula>"szf"</formula>
    </cfRule>
  </conditionalFormatting>
  <conditionalFormatting sqref="AC124:AC143">
    <cfRule type="cellIs" dxfId="2095" priority="907" operator="equal">
      <formula>"+"</formula>
    </cfRule>
    <cfRule type="cellIs" dxfId="2094" priority="908" operator="equal">
      <formula>"szf"</formula>
    </cfRule>
  </conditionalFormatting>
  <conditionalFormatting sqref="B148:AE167 C148:AF154">
    <cfRule type="cellIs" dxfId="2093" priority="891" operator="equal">
      <formula>"+"</formula>
    </cfRule>
    <cfRule type="cellIs" dxfId="2092" priority="892" operator="equal">
      <formula>"szf"</formula>
    </cfRule>
  </conditionalFormatting>
  <conditionalFormatting sqref="AF172:AF191">
    <cfRule type="cellIs" dxfId="2091" priority="875" operator="equal">
      <formula>"+"</formula>
    </cfRule>
    <cfRule type="cellIs" dxfId="2090" priority="876" operator="equal">
      <formula>"szf"</formula>
    </cfRule>
  </conditionalFormatting>
  <conditionalFormatting sqref="B220:AF239">
    <cfRule type="cellIs" dxfId="2089" priority="861" operator="equal">
      <formula>"+"</formula>
    </cfRule>
    <cfRule type="cellIs" dxfId="2088" priority="862" operator="equal">
      <formula>"szf"</formula>
    </cfRule>
  </conditionalFormatting>
  <conditionalFormatting sqref="B244:AE263">
    <cfRule type="cellIs" dxfId="2087" priority="845" operator="equal">
      <formula>"+"</formula>
    </cfRule>
    <cfRule type="cellIs" dxfId="2086" priority="846" operator="equal">
      <formula>"szf"</formula>
    </cfRule>
  </conditionalFormatting>
  <conditionalFormatting sqref="B268:AD287 E268:AF274">
    <cfRule type="cellIs" dxfId="2085" priority="815" operator="equal">
      <formula>"+"</formula>
    </cfRule>
    <cfRule type="cellIs" dxfId="2084" priority="816" operator="equal">
      <formula>"szf"</formula>
    </cfRule>
  </conditionalFormatting>
  <conditionalFormatting sqref="H4">
    <cfRule type="cellIs" dxfId="2083" priority="813" operator="equal">
      <formula>"+"</formula>
    </cfRule>
    <cfRule type="cellIs" dxfId="2082" priority="814" operator="equal">
      <formula>"szf"</formula>
    </cfRule>
  </conditionalFormatting>
  <conditionalFormatting sqref="H4">
    <cfRule type="cellIs" dxfId="2081" priority="812" operator="equal">
      <formula>"+"</formula>
    </cfRule>
  </conditionalFormatting>
  <conditionalFormatting sqref="H4:H23">
    <cfRule type="cellIs" dxfId="2080" priority="810" operator="equal">
      <formula>"+"</formula>
    </cfRule>
    <cfRule type="cellIs" dxfId="2079" priority="811" operator="equal">
      <formula>"szf"</formula>
    </cfRule>
  </conditionalFormatting>
  <conditionalFormatting sqref="H4:H23">
    <cfRule type="cellIs" dxfId="2078" priority="806" operator="equal">
      <formula>"V"</formula>
    </cfRule>
    <cfRule type="cellIs" dxfId="2077" priority="807" operator="equal">
      <formula>"Szo"</formula>
    </cfRule>
    <cfRule type="cellIs" dxfId="2076" priority="808" operator="equal">
      <formula>"X"</formula>
    </cfRule>
    <cfRule type="cellIs" dxfId="2075" priority="809" operator="equal">
      <formula>"X"</formula>
    </cfRule>
  </conditionalFormatting>
  <conditionalFormatting sqref="B1:AF1048576">
    <cfRule type="cellIs" dxfId="2074" priority="802" operator="equal">
      <formula>"X"</formula>
    </cfRule>
    <cfRule type="cellIs" dxfId="2073" priority="803" operator="equal">
      <formula>"V"</formula>
    </cfRule>
    <cfRule type="cellIs" dxfId="2072" priority="805" operator="equal">
      <formula>"Szo"</formula>
    </cfRule>
  </conditionalFormatting>
  <conditionalFormatting sqref="AM11">
    <cfRule type="cellIs" dxfId="2071" priority="804" operator="equal">
      <formula>"V"</formula>
    </cfRule>
  </conditionalFormatting>
  <conditionalFormatting sqref="I4">
    <cfRule type="cellIs" dxfId="2070" priority="800" operator="equal">
      <formula>"+"</formula>
    </cfRule>
    <cfRule type="cellIs" dxfId="2069" priority="801" operator="equal">
      <formula>"szf"</formula>
    </cfRule>
  </conditionalFormatting>
  <conditionalFormatting sqref="I4">
    <cfRule type="cellIs" dxfId="2068" priority="799" operator="equal">
      <formula>"+"</formula>
    </cfRule>
  </conditionalFormatting>
  <conditionalFormatting sqref="I4:I23">
    <cfRule type="cellIs" dxfId="2067" priority="797" operator="equal">
      <formula>"+"</formula>
    </cfRule>
    <cfRule type="cellIs" dxfId="2066" priority="798" operator="equal">
      <formula>"szf"</formula>
    </cfRule>
  </conditionalFormatting>
  <conditionalFormatting sqref="I4:I23">
    <cfRule type="cellIs" dxfId="2065" priority="793" operator="equal">
      <formula>"V"</formula>
    </cfRule>
    <cfRule type="cellIs" dxfId="2064" priority="794" operator="equal">
      <formula>"Szo"</formula>
    </cfRule>
    <cfRule type="cellIs" dxfId="2063" priority="795" operator="equal">
      <formula>"X"</formula>
    </cfRule>
    <cfRule type="cellIs" dxfId="2062" priority="796" operator="equal">
      <formula>"X"</formula>
    </cfRule>
  </conditionalFormatting>
  <conditionalFormatting sqref="P4">
    <cfRule type="cellIs" dxfId="2061" priority="791" operator="equal">
      <formula>"+"</formula>
    </cfRule>
    <cfRule type="cellIs" dxfId="2060" priority="792" operator="equal">
      <formula>"szf"</formula>
    </cfRule>
  </conditionalFormatting>
  <conditionalFormatting sqref="P4">
    <cfRule type="cellIs" dxfId="2059" priority="790" operator="equal">
      <formula>"+"</formula>
    </cfRule>
  </conditionalFormatting>
  <conditionalFormatting sqref="P4:P23">
    <cfRule type="cellIs" dxfId="2058" priority="788" operator="equal">
      <formula>"+"</formula>
    </cfRule>
    <cfRule type="cellIs" dxfId="2057" priority="789" operator="equal">
      <formula>"szf"</formula>
    </cfRule>
  </conditionalFormatting>
  <conditionalFormatting sqref="P4:P23">
    <cfRule type="cellIs" dxfId="2056" priority="784" operator="equal">
      <formula>"V"</formula>
    </cfRule>
    <cfRule type="cellIs" dxfId="2055" priority="785" operator="equal">
      <formula>"Szo"</formula>
    </cfRule>
    <cfRule type="cellIs" dxfId="2054" priority="786" operator="equal">
      <formula>"X"</formula>
    </cfRule>
    <cfRule type="cellIs" dxfId="2053" priority="787" operator="equal">
      <formula>"X"</formula>
    </cfRule>
  </conditionalFormatting>
  <conditionalFormatting sqref="Q4">
    <cfRule type="cellIs" dxfId="2052" priority="782" operator="equal">
      <formula>"+"</formula>
    </cfRule>
    <cfRule type="cellIs" dxfId="2051" priority="783" operator="equal">
      <formula>"szf"</formula>
    </cfRule>
  </conditionalFormatting>
  <conditionalFormatting sqref="Q4">
    <cfRule type="cellIs" dxfId="2050" priority="781" operator="equal">
      <formula>"+"</formula>
    </cfRule>
  </conditionalFormatting>
  <conditionalFormatting sqref="Q4:Q23">
    <cfRule type="cellIs" dxfId="2049" priority="779" operator="equal">
      <formula>"+"</formula>
    </cfRule>
    <cfRule type="cellIs" dxfId="2048" priority="780" operator="equal">
      <formula>"szf"</formula>
    </cfRule>
  </conditionalFormatting>
  <conditionalFormatting sqref="Q4:Q23">
    <cfRule type="cellIs" dxfId="2047" priority="775" operator="equal">
      <formula>"V"</formula>
    </cfRule>
    <cfRule type="cellIs" dxfId="2046" priority="776" operator="equal">
      <formula>"Szo"</formula>
    </cfRule>
    <cfRule type="cellIs" dxfId="2045" priority="777" operator="equal">
      <formula>"X"</formula>
    </cfRule>
    <cfRule type="cellIs" dxfId="2044" priority="778" operator="equal">
      <formula>"X"</formula>
    </cfRule>
  </conditionalFormatting>
  <conditionalFormatting sqref="X4">
    <cfRule type="cellIs" dxfId="2043" priority="773" operator="equal">
      <formula>"+"</formula>
    </cfRule>
    <cfRule type="cellIs" dxfId="2042" priority="774" operator="equal">
      <formula>"szf"</formula>
    </cfRule>
  </conditionalFormatting>
  <conditionalFormatting sqref="X4">
    <cfRule type="cellIs" dxfId="2041" priority="772" operator="equal">
      <formula>"+"</formula>
    </cfRule>
  </conditionalFormatting>
  <conditionalFormatting sqref="X4:X23">
    <cfRule type="cellIs" dxfId="2040" priority="770" operator="equal">
      <formula>"+"</formula>
    </cfRule>
    <cfRule type="cellIs" dxfId="2039" priority="771" operator="equal">
      <formula>"szf"</formula>
    </cfRule>
  </conditionalFormatting>
  <conditionalFormatting sqref="X4:X23">
    <cfRule type="cellIs" dxfId="2038" priority="766" operator="equal">
      <formula>"V"</formula>
    </cfRule>
    <cfRule type="cellIs" dxfId="2037" priority="767" operator="equal">
      <formula>"Szo"</formula>
    </cfRule>
    <cfRule type="cellIs" dxfId="2036" priority="768" operator="equal">
      <formula>"X"</formula>
    </cfRule>
    <cfRule type="cellIs" dxfId="2035" priority="769" operator="equal">
      <formula>"X"</formula>
    </cfRule>
  </conditionalFormatting>
  <conditionalFormatting sqref="Y4">
    <cfRule type="cellIs" dxfId="2034" priority="764" operator="equal">
      <formula>"+"</formula>
    </cfRule>
    <cfRule type="cellIs" dxfId="2033" priority="765" operator="equal">
      <formula>"szf"</formula>
    </cfRule>
  </conditionalFormatting>
  <conditionalFormatting sqref="Y4">
    <cfRule type="cellIs" dxfId="2032" priority="763" operator="equal">
      <formula>"+"</formula>
    </cfRule>
  </conditionalFormatting>
  <conditionalFormatting sqref="Y4:Y23">
    <cfRule type="cellIs" dxfId="2031" priority="761" operator="equal">
      <formula>"+"</formula>
    </cfRule>
    <cfRule type="cellIs" dxfId="2030" priority="762" operator="equal">
      <formula>"szf"</formula>
    </cfRule>
  </conditionalFormatting>
  <conditionalFormatting sqref="Y4:Y23">
    <cfRule type="cellIs" dxfId="2029" priority="757" operator="equal">
      <formula>"V"</formula>
    </cfRule>
    <cfRule type="cellIs" dxfId="2028" priority="758" operator="equal">
      <formula>"Szo"</formula>
    </cfRule>
    <cfRule type="cellIs" dxfId="2027" priority="759" operator="equal">
      <formula>"X"</formula>
    </cfRule>
    <cfRule type="cellIs" dxfId="2026" priority="760" operator="equal">
      <formula>"X"</formula>
    </cfRule>
  </conditionalFormatting>
  <conditionalFormatting sqref="AF4">
    <cfRule type="cellIs" dxfId="2025" priority="755" operator="equal">
      <formula>"+"</formula>
    </cfRule>
    <cfRule type="cellIs" dxfId="2024" priority="756" operator="equal">
      <formula>"szf"</formula>
    </cfRule>
  </conditionalFormatting>
  <conditionalFormatting sqref="AF4">
    <cfRule type="cellIs" dxfId="2023" priority="754" operator="equal">
      <formula>"+"</formula>
    </cfRule>
  </conditionalFormatting>
  <conditionalFormatting sqref="AF4:AF23">
    <cfRule type="cellIs" dxfId="2022" priority="752" operator="equal">
      <formula>"+"</formula>
    </cfRule>
    <cfRule type="cellIs" dxfId="2021" priority="753" operator="equal">
      <formula>"szf"</formula>
    </cfRule>
  </conditionalFormatting>
  <conditionalFormatting sqref="AF4:AF23">
    <cfRule type="cellIs" dxfId="2020" priority="748" operator="equal">
      <formula>"V"</formula>
    </cfRule>
    <cfRule type="cellIs" dxfId="2019" priority="749" operator="equal">
      <formula>"Szo"</formula>
    </cfRule>
    <cfRule type="cellIs" dxfId="2018" priority="750" operator="equal">
      <formula>"X"</formula>
    </cfRule>
    <cfRule type="cellIs" dxfId="2017" priority="751" operator="equal">
      <formula>"X"</formula>
    </cfRule>
  </conditionalFormatting>
  <conditionalFormatting sqref="B28">
    <cfRule type="cellIs" dxfId="2016" priority="746" operator="equal">
      <formula>"+"</formula>
    </cfRule>
    <cfRule type="cellIs" dxfId="2015" priority="747" operator="equal">
      <formula>"szf"</formula>
    </cfRule>
  </conditionalFormatting>
  <conditionalFormatting sqref="B28">
    <cfRule type="cellIs" dxfId="2014" priority="745" operator="equal">
      <formula>"+"</formula>
    </cfRule>
  </conditionalFormatting>
  <conditionalFormatting sqref="B28:B47">
    <cfRule type="cellIs" dxfId="2013" priority="743" operator="equal">
      <formula>"+"</formula>
    </cfRule>
    <cfRule type="cellIs" dxfId="2012" priority="744" operator="equal">
      <formula>"szf"</formula>
    </cfRule>
  </conditionalFormatting>
  <conditionalFormatting sqref="B28:B47">
    <cfRule type="cellIs" dxfId="2011" priority="739" operator="equal">
      <formula>"V"</formula>
    </cfRule>
    <cfRule type="cellIs" dxfId="2010" priority="740" operator="equal">
      <formula>"Szo"</formula>
    </cfRule>
    <cfRule type="cellIs" dxfId="2009" priority="741" operator="equal">
      <formula>"X"</formula>
    </cfRule>
    <cfRule type="cellIs" dxfId="2008" priority="742" operator="equal">
      <formula>"X"</formula>
    </cfRule>
  </conditionalFormatting>
  <conditionalFormatting sqref="I28">
    <cfRule type="cellIs" dxfId="2007" priority="737" operator="equal">
      <formula>"+"</formula>
    </cfRule>
    <cfRule type="cellIs" dxfId="2006" priority="738" operator="equal">
      <formula>"szf"</formula>
    </cfRule>
  </conditionalFormatting>
  <conditionalFormatting sqref="I28">
    <cfRule type="cellIs" dxfId="2005" priority="736" operator="equal">
      <formula>"+"</formula>
    </cfRule>
  </conditionalFormatting>
  <conditionalFormatting sqref="I28:I47">
    <cfRule type="cellIs" dxfId="2004" priority="734" operator="equal">
      <formula>"+"</formula>
    </cfRule>
    <cfRule type="cellIs" dxfId="2003" priority="735" operator="equal">
      <formula>"szf"</formula>
    </cfRule>
  </conditionalFormatting>
  <conditionalFormatting sqref="I28:I47">
    <cfRule type="cellIs" dxfId="2002" priority="730" operator="equal">
      <formula>"V"</formula>
    </cfRule>
    <cfRule type="cellIs" dxfId="2001" priority="731" operator="equal">
      <formula>"Szo"</formula>
    </cfRule>
    <cfRule type="cellIs" dxfId="2000" priority="732" operator="equal">
      <formula>"X"</formula>
    </cfRule>
    <cfRule type="cellIs" dxfId="1999" priority="733" operator="equal">
      <formula>"X"</formula>
    </cfRule>
  </conditionalFormatting>
  <conditionalFormatting sqref="J28">
    <cfRule type="cellIs" dxfId="1998" priority="728" operator="equal">
      <formula>"+"</formula>
    </cfRule>
    <cfRule type="cellIs" dxfId="1997" priority="729" operator="equal">
      <formula>"szf"</formula>
    </cfRule>
  </conditionalFormatting>
  <conditionalFormatting sqref="J28">
    <cfRule type="cellIs" dxfId="1996" priority="727" operator="equal">
      <formula>"+"</formula>
    </cfRule>
  </conditionalFormatting>
  <conditionalFormatting sqref="J28:J47">
    <cfRule type="cellIs" dxfId="1995" priority="725" operator="equal">
      <formula>"+"</formula>
    </cfRule>
    <cfRule type="cellIs" dxfId="1994" priority="726" operator="equal">
      <formula>"szf"</formula>
    </cfRule>
  </conditionalFormatting>
  <conditionalFormatting sqref="J28:J47">
    <cfRule type="cellIs" dxfId="1993" priority="721" operator="equal">
      <formula>"V"</formula>
    </cfRule>
    <cfRule type="cellIs" dxfId="1992" priority="722" operator="equal">
      <formula>"Szo"</formula>
    </cfRule>
    <cfRule type="cellIs" dxfId="1991" priority="723" operator="equal">
      <formula>"X"</formula>
    </cfRule>
    <cfRule type="cellIs" dxfId="1990" priority="724" operator="equal">
      <formula>"X"</formula>
    </cfRule>
  </conditionalFormatting>
  <conditionalFormatting sqref="Q28">
    <cfRule type="cellIs" dxfId="1989" priority="719" operator="equal">
      <formula>"+"</formula>
    </cfRule>
    <cfRule type="cellIs" dxfId="1988" priority="720" operator="equal">
      <formula>"szf"</formula>
    </cfRule>
  </conditionalFormatting>
  <conditionalFormatting sqref="Q28">
    <cfRule type="cellIs" dxfId="1987" priority="718" operator="equal">
      <formula>"+"</formula>
    </cfRule>
  </conditionalFormatting>
  <conditionalFormatting sqref="Q28:Q47">
    <cfRule type="cellIs" dxfId="1986" priority="716" operator="equal">
      <formula>"+"</formula>
    </cfRule>
    <cfRule type="cellIs" dxfId="1985" priority="717" operator="equal">
      <formula>"szf"</formula>
    </cfRule>
  </conditionalFormatting>
  <conditionalFormatting sqref="Q28:Q47">
    <cfRule type="cellIs" dxfId="1984" priority="712" operator="equal">
      <formula>"V"</formula>
    </cfRule>
    <cfRule type="cellIs" dxfId="1983" priority="713" operator="equal">
      <formula>"Szo"</formula>
    </cfRule>
    <cfRule type="cellIs" dxfId="1982" priority="714" operator="equal">
      <formula>"X"</formula>
    </cfRule>
    <cfRule type="cellIs" dxfId="1981" priority="715" operator="equal">
      <formula>"X"</formula>
    </cfRule>
  </conditionalFormatting>
  <conditionalFormatting sqref="R28">
    <cfRule type="cellIs" dxfId="1980" priority="710" operator="equal">
      <formula>"+"</formula>
    </cfRule>
    <cfRule type="cellIs" dxfId="1979" priority="711" operator="equal">
      <formula>"szf"</formula>
    </cfRule>
  </conditionalFormatting>
  <conditionalFormatting sqref="R28">
    <cfRule type="cellIs" dxfId="1978" priority="709" operator="equal">
      <formula>"+"</formula>
    </cfRule>
  </conditionalFormatting>
  <conditionalFormatting sqref="R28:R47">
    <cfRule type="cellIs" dxfId="1977" priority="707" operator="equal">
      <formula>"+"</formula>
    </cfRule>
    <cfRule type="cellIs" dxfId="1976" priority="708" operator="equal">
      <formula>"szf"</formula>
    </cfRule>
  </conditionalFormatting>
  <conditionalFormatting sqref="R28:R47">
    <cfRule type="cellIs" dxfId="1975" priority="703" operator="equal">
      <formula>"V"</formula>
    </cfRule>
    <cfRule type="cellIs" dxfId="1974" priority="704" operator="equal">
      <formula>"Szo"</formula>
    </cfRule>
    <cfRule type="cellIs" dxfId="1973" priority="705" operator="equal">
      <formula>"X"</formula>
    </cfRule>
    <cfRule type="cellIs" dxfId="1972" priority="706" operator="equal">
      <formula>"X"</formula>
    </cfRule>
  </conditionalFormatting>
  <conditionalFormatting sqref="Z28">
    <cfRule type="cellIs" dxfId="1971" priority="701" operator="equal">
      <formula>"+"</formula>
    </cfRule>
    <cfRule type="cellIs" dxfId="1970" priority="702" operator="equal">
      <formula>"szf"</formula>
    </cfRule>
  </conditionalFormatting>
  <conditionalFormatting sqref="Z28">
    <cfRule type="cellIs" dxfId="1969" priority="700" operator="equal">
      <formula>"+"</formula>
    </cfRule>
  </conditionalFormatting>
  <conditionalFormatting sqref="Z28:Z47">
    <cfRule type="cellIs" dxfId="1968" priority="698" operator="equal">
      <formula>"+"</formula>
    </cfRule>
    <cfRule type="cellIs" dxfId="1967" priority="699" operator="equal">
      <formula>"szf"</formula>
    </cfRule>
  </conditionalFormatting>
  <conditionalFormatting sqref="Z28:Z47">
    <cfRule type="cellIs" dxfId="1966" priority="694" operator="equal">
      <formula>"V"</formula>
    </cfRule>
    <cfRule type="cellIs" dxfId="1965" priority="695" operator="equal">
      <formula>"Szo"</formula>
    </cfRule>
    <cfRule type="cellIs" dxfId="1964" priority="696" operator="equal">
      <formula>"X"</formula>
    </cfRule>
    <cfRule type="cellIs" dxfId="1963" priority="697" operator="equal">
      <formula>"X"</formula>
    </cfRule>
  </conditionalFormatting>
  <conditionalFormatting sqref="Y28">
    <cfRule type="cellIs" dxfId="1962" priority="692" operator="equal">
      <formula>"+"</formula>
    </cfRule>
    <cfRule type="cellIs" dxfId="1961" priority="693" operator="equal">
      <formula>"szf"</formula>
    </cfRule>
  </conditionalFormatting>
  <conditionalFormatting sqref="Y28">
    <cfRule type="cellIs" dxfId="1960" priority="691" operator="equal">
      <formula>"+"</formula>
    </cfRule>
  </conditionalFormatting>
  <conditionalFormatting sqref="Y28:Y47">
    <cfRule type="cellIs" dxfId="1959" priority="689" operator="equal">
      <formula>"+"</formula>
    </cfRule>
    <cfRule type="cellIs" dxfId="1958" priority="690" operator="equal">
      <formula>"szf"</formula>
    </cfRule>
  </conditionalFormatting>
  <conditionalFormatting sqref="Y28:Y47">
    <cfRule type="cellIs" dxfId="1957" priority="685" operator="equal">
      <formula>"V"</formula>
    </cfRule>
    <cfRule type="cellIs" dxfId="1956" priority="686" operator="equal">
      <formula>"Szo"</formula>
    </cfRule>
    <cfRule type="cellIs" dxfId="1955" priority="687" operator="equal">
      <formula>"X"</formula>
    </cfRule>
    <cfRule type="cellIs" dxfId="1954" priority="688" operator="equal">
      <formula>"X"</formula>
    </cfRule>
  </conditionalFormatting>
  <conditionalFormatting sqref="E52">
    <cfRule type="cellIs" dxfId="1953" priority="683" operator="equal">
      <formula>"+"</formula>
    </cfRule>
    <cfRule type="cellIs" dxfId="1952" priority="684" operator="equal">
      <formula>"szf"</formula>
    </cfRule>
  </conditionalFormatting>
  <conditionalFormatting sqref="E52">
    <cfRule type="cellIs" dxfId="1951" priority="682" operator="equal">
      <formula>"+"</formula>
    </cfRule>
  </conditionalFormatting>
  <conditionalFormatting sqref="E52:E71">
    <cfRule type="cellIs" dxfId="1950" priority="680" operator="equal">
      <formula>"+"</formula>
    </cfRule>
    <cfRule type="cellIs" dxfId="1949" priority="681" operator="equal">
      <formula>"szf"</formula>
    </cfRule>
  </conditionalFormatting>
  <conditionalFormatting sqref="E52:E71">
    <cfRule type="cellIs" dxfId="1948" priority="676" operator="equal">
      <formula>"V"</formula>
    </cfRule>
    <cfRule type="cellIs" dxfId="1947" priority="677" operator="equal">
      <formula>"Szo"</formula>
    </cfRule>
    <cfRule type="cellIs" dxfId="1946" priority="678" operator="equal">
      <formula>"X"</formula>
    </cfRule>
    <cfRule type="cellIs" dxfId="1945" priority="679" operator="equal">
      <formula>"X"</formula>
    </cfRule>
  </conditionalFormatting>
  <conditionalFormatting sqref="F52">
    <cfRule type="cellIs" dxfId="1944" priority="674" operator="equal">
      <formula>"+"</formula>
    </cfRule>
    <cfRule type="cellIs" dxfId="1943" priority="675" operator="equal">
      <formula>"szf"</formula>
    </cfRule>
  </conditionalFormatting>
  <conditionalFormatting sqref="F52">
    <cfRule type="cellIs" dxfId="1942" priority="673" operator="equal">
      <formula>"+"</formula>
    </cfRule>
  </conditionalFormatting>
  <conditionalFormatting sqref="F52:F71">
    <cfRule type="cellIs" dxfId="1941" priority="671" operator="equal">
      <formula>"+"</formula>
    </cfRule>
    <cfRule type="cellIs" dxfId="1940" priority="672" operator="equal">
      <formula>"szf"</formula>
    </cfRule>
  </conditionalFormatting>
  <conditionalFormatting sqref="F52:F71">
    <cfRule type="cellIs" dxfId="1939" priority="667" operator="equal">
      <formula>"V"</formula>
    </cfRule>
    <cfRule type="cellIs" dxfId="1938" priority="668" operator="equal">
      <formula>"Szo"</formula>
    </cfRule>
    <cfRule type="cellIs" dxfId="1937" priority="669" operator="equal">
      <formula>"X"</formula>
    </cfRule>
    <cfRule type="cellIs" dxfId="1936" priority="670" operator="equal">
      <formula>"X"</formula>
    </cfRule>
  </conditionalFormatting>
  <conditionalFormatting sqref="M52">
    <cfRule type="cellIs" dxfId="1935" priority="665" operator="equal">
      <formula>"+"</formula>
    </cfRule>
    <cfRule type="cellIs" dxfId="1934" priority="666" operator="equal">
      <formula>"szf"</formula>
    </cfRule>
  </conditionalFormatting>
  <conditionalFormatting sqref="M52">
    <cfRule type="cellIs" dxfId="1933" priority="664" operator="equal">
      <formula>"+"</formula>
    </cfRule>
  </conditionalFormatting>
  <conditionalFormatting sqref="M52:M71">
    <cfRule type="cellIs" dxfId="1932" priority="662" operator="equal">
      <formula>"+"</formula>
    </cfRule>
    <cfRule type="cellIs" dxfId="1931" priority="663" operator="equal">
      <formula>"szf"</formula>
    </cfRule>
  </conditionalFormatting>
  <conditionalFormatting sqref="M52:M71">
    <cfRule type="cellIs" dxfId="1930" priority="658" operator="equal">
      <formula>"V"</formula>
    </cfRule>
    <cfRule type="cellIs" dxfId="1929" priority="659" operator="equal">
      <formula>"Szo"</formula>
    </cfRule>
    <cfRule type="cellIs" dxfId="1928" priority="660" operator="equal">
      <formula>"X"</formula>
    </cfRule>
    <cfRule type="cellIs" dxfId="1927" priority="661" operator="equal">
      <formula>"X"</formula>
    </cfRule>
  </conditionalFormatting>
  <conditionalFormatting sqref="N52">
    <cfRule type="cellIs" dxfId="1926" priority="656" operator="equal">
      <formula>"+"</formula>
    </cfRule>
    <cfRule type="cellIs" dxfId="1925" priority="657" operator="equal">
      <formula>"szf"</formula>
    </cfRule>
  </conditionalFormatting>
  <conditionalFormatting sqref="N52">
    <cfRule type="cellIs" dxfId="1924" priority="655" operator="equal">
      <formula>"+"</formula>
    </cfRule>
  </conditionalFormatting>
  <conditionalFormatting sqref="N52:N71">
    <cfRule type="cellIs" dxfId="1923" priority="653" operator="equal">
      <formula>"+"</formula>
    </cfRule>
    <cfRule type="cellIs" dxfId="1922" priority="654" operator="equal">
      <formula>"szf"</formula>
    </cfRule>
  </conditionalFormatting>
  <conditionalFormatting sqref="N52:N71">
    <cfRule type="cellIs" dxfId="1921" priority="649" operator="equal">
      <formula>"V"</formula>
    </cfRule>
    <cfRule type="cellIs" dxfId="1920" priority="650" operator="equal">
      <formula>"Szo"</formula>
    </cfRule>
    <cfRule type="cellIs" dxfId="1919" priority="651" operator="equal">
      <formula>"X"</formula>
    </cfRule>
    <cfRule type="cellIs" dxfId="1918" priority="652" operator="equal">
      <formula>"X"</formula>
    </cfRule>
  </conditionalFormatting>
  <conditionalFormatting sqref="U52">
    <cfRule type="cellIs" dxfId="1917" priority="647" operator="equal">
      <formula>"+"</formula>
    </cfRule>
    <cfRule type="cellIs" dxfId="1916" priority="648" operator="equal">
      <formula>"szf"</formula>
    </cfRule>
  </conditionalFormatting>
  <conditionalFormatting sqref="U52">
    <cfRule type="cellIs" dxfId="1915" priority="646" operator="equal">
      <formula>"+"</formula>
    </cfRule>
  </conditionalFormatting>
  <conditionalFormatting sqref="U52:U71">
    <cfRule type="cellIs" dxfId="1914" priority="644" operator="equal">
      <formula>"+"</formula>
    </cfRule>
    <cfRule type="cellIs" dxfId="1913" priority="645" operator="equal">
      <formula>"szf"</formula>
    </cfRule>
  </conditionalFormatting>
  <conditionalFormatting sqref="U52:U71">
    <cfRule type="cellIs" dxfId="1912" priority="640" operator="equal">
      <formula>"V"</formula>
    </cfRule>
    <cfRule type="cellIs" dxfId="1911" priority="641" operator="equal">
      <formula>"Szo"</formula>
    </cfRule>
    <cfRule type="cellIs" dxfId="1910" priority="642" operator="equal">
      <formula>"X"</formula>
    </cfRule>
    <cfRule type="cellIs" dxfId="1909" priority="643" operator="equal">
      <formula>"X"</formula>
    </cfRule>
  </conditionalFormatting>
  <conditionalFormatting sqref="V52">
    <cfRule type="cellIs" dxfId="1908" priority="638" operator="equal">
      <formula>"+"</formula>
    </cfRule>
    <cfRule type="cellIs" dxfId="1907" priority="639" operator="equal">
      <formula>"szf"</formula>
    </cfRule>
  </conditionalFormatting>
  <conditionalFormatting sqref="V52">
    <cfRule type="cellIs" dxfId="1906" priority="637" operator="equal">
      <formula>"+"</formula>
    </cfRule>
  </conditionalFormatting>
  <conditionalFormatting sqref="V52:V71">
    <cfRule type="cellIs" dxfId="1905" priority="635" operator="equal">
      <formula>"+"</formula>
    </cfRule>
    <cfRule type="cellIs" dxfId="1904" priority="636" operator="equal">
      <formula>"szf"</formula>
    </cfRule>
  </conditionalFormatting>
  <conditionalFormatting sqref="V52:V71">
    <cfRule type="cellIs" dxfId="1903" priority="631" operator="equal">
      <formula>"V"</formula>
    </cfRule>
    <cfRule type="cellIs" dxfId="1902" priority="632" operator="equal">
      <formula>"Szo"</formula>
    </cfRule>
    <cfRule type="cellIs" dxfId="1901" priority="633" operator="equal">
      <formula>"X"</formula>
    </cfRule>
    <cfRule type="cellIs" dxfId="1900" priority="634" operator="equal">
      <formula>"X"</formula>
    </cfRule>
  </conditionalFormatting>
  <conditionalFormatting sqref="AC52">
    <cfRule type="cellIs" dxfId="1899" priority="629" operator="equal">
      <formula>"+"</formula>
    </cfRule>
    <cfRule type="cellIs" dxfId="1898" priority="630" operator="equal">
      <formula>"szf"</formula>
    </cfRule>
  </conditionalFormatting>
  <conditionalFormatting sqref="AC52">
    <cfRule type="cellIs" dxfId="1897" priority="628" operator="equal">
      <formula>"+"</formula>
    </cfRule>
  </conditionalFormatting>
  <conditionalFormatting sqref="AC52:AC71">
    <cfRule type="cellIs" dxfId="1896" priority="626" operator="equal">
      <formula>"+"</formula>
    </cfRule>
    <cfRule type="cellIs" dxfId="1895" priority="627" operator="equal">
      <formula>"szf"</formula>
    </cfRule>
  </conditionalFormatting>
  <conditionalFormatting sqref="AC52:AC71">
    <cfRule type="cellIs" dxfId="1894" priority="622" operator="equal">
      <formula>"V"</formula>
    </cfRule>
    <cfRule type="cellIs" dxfId="1893" priority="623" operator="equal">
      <formula>"Szo"</formula>
    </cfRule>
    <cfRule type="cellIs" dxfId="1892" priority="624" operator="equal">
      <formula>"X"</formula>
    </cfRule>
    <cfRule type="cellIs" dxfId="1891" priority="625" operator="equal">
      <formula>"X"</formula>
    </cfRule>
  </conditionalFormatting>
  <conditionalFormatting sqref="AD52">
    <cfRule type="cellIs" dxfId="1890" priority="620" operator="equal">
      <formula>"+"</formula>
    </cfRule>
    <cfRule type="cellIs" dxfId="1889" priority="621" operator="equal">
      <formula>"szf"</formula>
    </cfRule>
  </conditionalFormatting>
  <conditionalFormatting sqref="AD52">
    <cfRule type="cellIs" dxfId="1888" priority="619" operator="equal">
      <formula>"+"</formula>
    </cfRule>
  </conditionalFormatting>
  <conditionalFormatting sqref="AD52:AD71">
    <cfRule type="cellIs" dxfId="1887" priority="617" operator="equal">
      <formula>"+"</formula>
    </cfRule>
    <cfRule type="cellIs" dxfId="1886" priority="618" operator="equal">
      <formula>"szf"</formula>
    </cfRule>
  </conditionalFormatting>
  <conditionalFormatting sqref="AD52:AD71">
    <cfRule type="cellIs" dxfId="1885" priority="613" operator="equal">
      <formula>"V"</formula>
    </cfRule>
    <cfRule type="cellIs" dxfId="1884" priority="614" operator="equal">
      <formula>"Szo"</formula>
    </cfRule>
    <cfRule type="cellIs" dxfId="1883" priority="615" operator="equal">
      <formula>"X"</formula>
    </cfRule>
    <cfRule type="cellIs" dxfId="1882" priority="616" operator="equal">
      <formula>"X"</formula>
    </cfRule>
  </conditionalFormatting>
  <conditionalFormatting sqref="F76">
    <cfRule type="cellIs" dxfId="1881" priority="611" operator="equal">
      <formula>"+"</formula>
    </cfRule>
    <cfRule type="cellIs" dxfId="1880" priority="612" operator="equal">
      <formula>"szf"</formula>
    </cfRule>
  </conditionalFormatting>
  <conditionalFormatting sqref="F76">
    <cfRule type="cellIs" dxfId="1879" priority="610" operator="equal">
      <formula>"+"</formula>
    </cfRule>
  </conditionalFormatting>
  <conditionalFormatting sqref="F76:F95">
    <cfRule type="cellIs" dxfId="1878" priority="608" operator="equal">
      <formula>"+"</formula>
    </cfRule>
    <cfRule type="cellIs" dxfId="1877" priority="609" operator="equal">
      <formula>"szf"</formula>
    </cfRule>
  </conditionalFormatting>
  <conditionalFormatting sqref="F76:F95">
    <cfRule type="cellIs" dxfId="1876" priority="604" operator="equal">
      <formula>"V"</formula>
    </cfRule>
    <cfRule type="cellIs" dxfId="1875" priority="605" operator="equal">
      <formula>"Szo"</formula>
    </cfRule>
    <cfRule type="cellIs" dxfId="1874" priority="606" operator="equal">
      <formula>"X"</formula>
    </cfRule>
    <cfRule type="cellIs" dxfId="1873" priority="607" operator="equal">
      <formula>"X"</formula>
    </cfRule>
  </conditionalFormatting>
  <conditionalFormatting sqref="G76">
    <cfRule type="cellIs" dxfId="1872" priority="602" operator="equal">
      <formula>"+"</formula>
    </cfRule>
    <cfRule type="cellIs" dxfId="1871" priority="603" operator="equal">
      <formula>"szf"</formula>
    </cfRule>
  </conditionalFormatting>
  <conditionalFormatting sqref="G76">
    <cfRule type="cellIs" dxfId="1870" priority="601" operator="equal">
      <formula>"+"</formula>
    </cfRule>
  </conditionalFormatting>
  <conditionalFormatting sqref="G76:G95">
    <cfRule type="cellIs" dxfId="1869" priority="599" operator="equal">
      <formula>"+"</formula>
    </cfRule>
    <cfRule type="cellIs" dxfId="1868" priority="600" operator="equal">
      <formula>"szf"</formula>
    </cfRule>
  </conditionalFormatting>
  <conditionalFormatting sqref="G76:G95">
    <cfRule type="cellIs" dxfId="1867" priority="595" operator="equal">
      <formula>"V"</formula>
    </cfRule>
    <cfRule type="cellIs" dxfId="1866" priority="596" operator="equal">
      <formula>"Szo"</formula>
    </cfRule>
    <cfRule type="cellIs" dxfId="1865" priority="597" operator="equal">
      <formula>"X"</formula>
    </cfRule>
    <cfRule type="cellIs" dxfId="1864" priority="598" operator="equal">
      <formula>"X"</formula>
    </cfRule>
  </conditionalFormatting>
  <conditionalFormatting sqref="N76">
    <cfRule type="cellIs" dxfId="1863" priority="593" operator="equal">
      <formula>"+"</formula>
    </cfRule>
    <cfRule type="cellIs" dxfId="1862" priority="594" operator="equal">
      <formula>"szf"</formula>
    </cfRule>
  </conditionalFormatting>
  <conditionalFormatting sqref="N76">
    <cfRule type="cellIs" dxfId="1861" priority="592" operator="equal">
      <formula>"+"</formula>
    </cfRule>
  </conditionalFormatting>
  <conditionalFormatting sqref="N76:N95">
    <cfRule type="cellIs" dxfId="1860" priority="590" operator="equal">
      <formula>"+"</formula>
    </cfRule>
    <cfRule type="cellIs" dxfId="1859" priority="591" operator="equal">
      <formula>"szf"</formula>
    </cfRule>
  </conditionalFormatting>
  <conditionalFormatting sqref="N76:N95">
    <cfRule type="cellIs" dxfId="1858" priority="586" operator="equal">
      <formula>"V"</formula>
    </cfRule>
    <cfRule type="cellIs" dxfId="1857" priority="587" operator="equal">
      <formula>"Szo"</formula>
    </cfRule>
    <cfRule type="cellIs" dxfId="1856" priority="588" operator="equal">
      <formula>"X"</formula>
    </cfRule>
    <cfRule type="cellIs" dxfId="1855" priority="589" operator="equal">
      <formula>"X"</formula>
    </cfRule>
  </conditionalFormatting>
  <conditionalFormatting sqref="O76">
    <cfRule type="cellIs" dxfId="1854" priority="584" operator="equal">
      <formula>"+"</formula>
    </cfRule>
    <cfRule type="cellIs" dxfId="1853" priority="585" operator="equal">
      <formula>"szf"</formula>
    </cfRule>
  </conditionalFormatting>
  <conditionalFormatting sqref="O76">
    <cfRule type="cellIs" dxfId="1852" priority="583" operator="equal">
      <formula>"+"</formula>
    </cfRule>
  </conditionalFormatting>
  <conditionalFormatting sqref="O76:O95">
    <cfRule type="cellIs" dxfId="1851" priority="581" operator="equal">
      <formula>"+"</formula>
    </cfRule>
    <cfRule type="cellIs" dxfId="1850" priority="582" operator="equal">
      <formula>"szf"</formula>
    </cfRule>
  </conditionalFormatting>
  <conditionalFormatting sqref="O76:O95">
    <cfRule type="cellIs" dxfId="1849" priority="577" operator="equal">
      <formula>"V"</formula>
    </cfRule>
    <cfRule type="cellIs" dxfId="1848" priority="578" operator="equal">
      <formula>"Szo"</formula>
    </cfRule>
    <cfRule type="cellIs" dxfId="1847" priority="579" operator="equal">
      <formula>"X"</formula>
    </cfRule>
    <cfRule type="cellIs" dxfId="1846" priority="580" operator="equal">
      <formula>"X"</formula>
    </cfRule>
  </conditionalFormatting>
  <conditionalFormatting sqref="V76">
    <cfRule type="cellIs" dxfId="1845" priority="575" operator="equal">
      <formula>"+"</formula>
    </cfRule>
    <cfRule type="cellIs" dxfId="1844" priority="576" operator="equal">
      <formula>"szf"</formula>
    </cfRule>
  </conditionalFormatting>
  <conditionalFormatting sqref="V76">
    <cfRule type="cellIs" dxfId="1843" priority="574" operator="equal">
      <formula>"+"</formula>
    </cfRule>
  </conditionalFormatting>
  <conditionalFormatting sqref="V76:V95">
    <cfRule type="cellIs" dxfId="1842" priority="572" operator="equal">
      <formula>"+"</formula>
    </cfRule>
    <cfRule type="cellIs" dxfId="1841" priority="573" operator="equal">
      <formula>"szf"</formula>
    </cfRule>
  </conditionalFormatting>
  <conditionalFormatting sqref="V76:V95">
    <cfRule type="cellIs" dxfId="1840" priority="568" operator="equal">
      <formula>"V"</formula>
    </cfRule>
    <cfRule type="cellIs" dxfId="1839" priority="569" operator="equal">
      <formula>"Szo"</formula>
    </cfRule>
    <cfRule type="cellIs" dxfId="1838" priority="570" operator="equal">
      <formula>"X"</formula>
    </cfRule>
    <cfRule type="cellIs" dxfId="1837" priority="571" operator="equal">
      <formula>"X"</formula>
    </cfRule>
  </conditionalFormatting>
  <conditionalFormatting sqref="W76">
    <cfRule type="cellIs" dxfId="1836" priority="566" operator="equal">
      <formula>"+"</formula>
    </cfRule>
    <cfRule type="cellIs" dxfId="1835" priority="567" operator="equal">
      <formula>"szf"</formula>
    </cfRule>
  </conditionalFormatting>
  <conditionalFormatting sqref="W76">
    <cfRule type="cellIs" dxfId="1834" priority="565" operator="equal">
      <formula>"+"</formula>
    </cfRule>
  </conditionalFormatting>
  <conditionalFormatting sqref="W76:W95">
    <cfRule type="cellIs" dxfId="1833" priority="563" operator="equal">
      <formula>"+"</formula>
    </cfRule>
    <cfRule type="cellIs" dxfId="1832" priority="564" operator="equal">
      <formula>"szf"</formula>
    </cfRule>
  </conditionalFormatting>
  <conditionalFormatting sqref="W76:W95">
    <cfRule type="cellIs" dxfId="1831" priority="559" operator="equal">
      <formula>"V"</formula>
    </cfRule>
    <cfRule type="cellIs" dxfId="1830" priority="560" operator="equal">
      <formula>"Szo"</formula>
    </cfRule>
    <cfRule type="cellIs" dxfId="1829" priority="561" operator="equal">
      <formula>"X"</formula>
    </cfRule>
    <cfRule type="cellIs" dxfId="1828" priority="562" operator="equal">
      <formula>"X"</formula>
    </cfRule>
  </conditionalFormatting>
  <conditionalFormatting sqref="AD76">
    <cfRule type="cellIs" dxfId="1827" priority="557" operator="equal">
      <formula>"+"</formula>
    </cfRule>
    <cfRule type="cellIs" dxfId="1826" priority="558" operator="equal">
      <formula>"szf"</formula>
    </cfRule>
  </conditionalFormatting>
  <conditionalFormatting sqref="AD76">
    <cfRule type="cellIs" dxfId="1825" priority="556" operator="equal">
      <formula>"+"</formula>
    </cfRule>
  </conditionalFormatting>
  <conditionalFormatting sqref="AD76:AD95">
    <cfRule type="cellIs" dxfId="1824" priority="554" operator="equal">
      <formula>"+"</formula>
    </cfRule>
    <cfRule type="cellIs" dxfId="1823" priority="555" operator="equal">
      <formula>"szf"</formula>
    </cfRule>
  </conditionalFormatting>
  <conditionalFormatting sqref="AD76:AD95">
    <cfRule type="cellIs" dxfId="1822" priority="550" operator="equal">
      <formula>"V"</formula>
    </cfRule>
    <cfRule type="cellIs" dxfId="1821" priority="551" operator="equal">
      <formula>"Szo"</formula>
    </cfRule>
    <cfRule type="cellIs" dxfId="1820" priority="552" operator="equal">
      <formula>"X"</formula>
    </cfRule>
    <cfRule type="cellIs" dxfId="1819" priority="553" operator="equal">
      <formula>"X"</formula>
    </cfRule>
  </conditionalFormatting>
  <conditionalFormatting sqref="AE76">
    <cfRule type="cellIs" dxfId="1818" priority="548" operator="equal">
      <formula>"+"</formula>
    </cfRule>
    <cfRule type="cellIs" dxfId="1817" priority="549" operator="equal">
      <formula>"szf"</formula>
    </cfRule>
  </conditionalFormatting>
  <conditionalFormatting sqref="AE76">
    <cfRule type="cellIs" dxfId="1816" priority="547" operator="equal">
      <formula>"+"</formula>
    </cfRule>
  </conditionalFormatting>
  <conditionalFormatting sqref="AE76:AE95">
    <cfRule type="cellIs" dxfId="1815" priority="545" operator="equal">
      <formula>"+"</formula>
    </cfRule>
    <cfRule type="cellIs" dxfId="1814" priority="546" operator="equal">
      <formula>"szf"</formula>
    </cfRule>
  </conditionalFormatting>
  <conditionalFormatting sqref="AE76:AE95">
    <cfRule type="cellIs" dxfId="1813" priority="541" operator="equal">
      <formula>"V"</formula>
    </cfRule>
    <cfRule type="cellIs" dxfId="1812" priority="542" operator="equal">
      <formula>"Szo"</formula>
    </cfRule>
    <cfRule type="cellIs" dxfId="1811" priority="543" operator="equal">
      <formula>"X"</formula>
    </cfRule>
    <cfRule type="cellIs" dxfId="1810" priority="544" operator="equal">
      <formula>"X"</formula>
    </cfRule>
  </conditionalFormatting>
  <conditionalFormatting sqref="H100">
    <cfRule type="cellIs" dxfId="1809" priority="539" operator="equal">
      <formula>"+"</formula>
    </cfRule>
    <cfRule type="cellIs" dxfId="1808" priority="540" operator="equal">
      <formula>"szf"</formula>
    </cfRule>
  </conditionalFormatting>
  <conditionalFormatting sqref="H100">
    <cfRule type="cellIs" dxfId="1807" priority="538" operator="equal">
      <formula>"+"</formula>
    </cfRule>
  </conditionalFormatting>
  <conditionalFormatting sqref="H100:H119">
    <cfRule type="cellIs" dxfId="1806" priority="536" operator="equal">
      <formula>"+"</formula>
    </cfRule>
    <cfRule type="cellIs" dxfId="1805" priority="537" operator="equal">
      <formula>"szf"</formula>
    </cfRule>
  </conditionalFormatting>
  <conditionalFormatting sqref="H100:H119">
    <cfRule type="cellIs" dxfId="1804" priority="532" operator="equal">
      <formula>"V"</formula>
    </cfRule>
    <cfRule type="cellIs" dxfId="1803" priority="533" operator="equal">
      <formula>"Szo"</formula>
    </cfRule>
    <cfRule type="cellIs" dxfId="1802" priority="534" operator="equal">
      <formula>"X"</formula>
    </cfRule>
    <cfRule type="cellIs" dxfId="1801" priority="535" operator="equal">
      <formula>"X"</formula>
    </cfRule>
  </conditionalFormatting>
  <conditionalFormatting sqref="I100">
    <cfRule type="cellIs" dxfId="1800" priority="530" operator="equal">
      <formula>"+"</formula>
    </cfRule>
    <cfRule type="cellIs" dxfId="1799" priority="531" operator="equal">
      <formula>"szf"</formula>
    </cfRule>
  </conditionalFormatting>
  <conditionalFormatting sqref="I100">
    <cfRule type="cellIs" dxfId="1798" priority="529" operator="equal">
      <formula>"+"</formula>
    </cfRule>
  </conditionalFormatting>
  <conditionalFormatting sqref="I100:I119">
    <cfRule type="cellIs" dxfId="1797" priority="527" operator="equal">
      <formula>"+"</formula>
    </cfRule>
    <cfRule type="cellIs" dxfId="1796" priority="528" operator="equal">
      <formula>"szf"</formula>
    </cfRule>
  </conditionalFormatting>
  <conditionalFormatting sqref="I100:I119">
    <cfRule type="cellIs" dxfId="1795" priority="523" operator="equal">
      <formula>"V"</formula>
    </cfRule>
    <cfRule type="cellIs" dxfId="1794" priority="524" operator="equal">
      <formula>"Szo"</formula>
    </cfRule>
    <cfRule type="cellIs" dxfId="1793" priority="525" operator="equal">
      <formula>"X"</formula>
    </cfRule>
    <cfRule type="cellIs" dxfId="1792" priority="526" operator="equal">
      <formula>"X"</formula>
    </cfRule>
  </conditionalFormatting>
  <conditionalFormatting sqref="P100">
    <cfRule type="cellIs" dxfId="1791" priority="521" operator="equal">
      <formula>"+"</formula>
    </cfRule>
    <cfRule type="cellIs" dxfId="1790" priority="522" operator="equal">
      <formula>"szf"</formula>
    </cfRule>
  </conditionalFormatting>
  <conditionalFormatting sqref="P100">
    <cfRule type="cellIs" dxfId="1789" priority="520" operator="equal">
      <formula>"+"</formula>
    </cfRule>
  </conditionalFormatting>
  <conditionalFormatting sqref="P100:P119">
    <cfRule type="cellIs" dxfId="1788" priority="518" operator="equal">
      <formula>"+"</formula>
    </cfRule>
    <cfRule type="cellIs" dxfId="1787" priority="519" operator="equal">
      <formula>"szf"</formula>
    </cfRule>
  </conditionalFormatting>
  <conditionalFormatting sqref="P100:P119">
    <cfRule type="cellIs" dxfId="1786" priority="514" operator="equal">
      <formula>"V"</formula>
    </cfRule>
    <cfRule type="cellIs" dxfId="1785" priority="515" operator="equal">
      <formula>"Szo"</formula>
    </cfRule>
    <cfRule type="cellIs" dxfId="1784" priority="516" operator="equal">
      <formula>"X"</formula>
    </cfRule>
    <cfRule type="cellIs" dxfId="1783" priority="517" operator="equal">
      <formula>"X"</formula>
    </cfRule>
  </conditionalFormatting>
  <conditionalFormatting sqref="Q100">
    <cfRule type="cellIs" dxfId="1782" priority="512" operator="equal">
      <formula>"+"</formula>
    </cfRule>
    <cfRule type="cellIs" dxfId="1781" priority="513" operator="equal">
      <formula>"szf"</formula>
    </cfRule>
  </conditionalFormatting>
  <conditionalFormatting sqref="Q100">
    <cfRule type="cellIs" dxfId="1780" priority="511" operator="equal">
      <formula>"+"</formula>
    </cfRule>
  </conditionalFormatting>
  <conditionalFormatting sqref="Q100:Q119">
    <cfRule type="cellIs" dxfId="1779" priority="509" operator="equal">
      <formula>"+"</formula>
    </cfRule>
    <cfRule type="cellIs" dxfId="1778" priority="510" operator="equal">
      <formula>"szf"</formula>
    </cfRule>
  </conditionalFormatting>
  <conditionalFormatting sqref="Q100:Q119">
    <cfRule type="cellIs" dxfId="1777" priority="505" operator="equal">
      <formula>"V"</formula>
    </cfRule>
    <cfRule type="cellIs" dxfId="1776" priority="506" operator="equal">
      <formula>"Szo"</formula>
    </cfRule>
    <cfRule type="cellIs" dxfId="1775" priority="507" operator="equal">
      <formula>"X"</formula>
    </cfRule>
    <cfRule type="cellIs" dxfId="1774" priority="508" operator="equal">
      <formula>"X"</formula>
    </cfRule>
  </conditionalFormatting>
  <conditionalFormatting sqref="X100">
    <cfRule type="cellIs" dxfId="1773" priority="503" operator="equal">
      <formula>"+"</formula>
    </cfRule>
    <cfRule type="cellIs" dxfId="1772" priority="504" operator="equal">
      <formula>"szf"</formula>
    </cfRule>
  </conditionalFormatting>
  <conditionalFormatting sqref="X100">
    <cfRule type="cellIs" dxfId="1771" priority="502" operator="equal">
      <formula>"+"</formula>
    </cfRule>
  </conditionalFormatting>
  <conditionalFormatting sqref="X100:X119">
    <cfRule type="cellIs" dxfId="1770" priority="500" operator="equal">
      <formula>"+"</formula>
    </cfRule>
    <cfRule type="cellIs" dxfId="1769" priority="501" operator="equal">
      <formula>"szf"</formula>
    </cfRule>
  </conditionalFormatting>
  <conditionalFormatting sqref="X100:X119">
    <cfRule type="cellIs" dxfId="1768" priority="496" operator="equal">
      <formula>"V"</formula>
    </cfRule>
    <cfRule type="cellIs" dxfId="1767" priority="497" operator="equal">
      <formula>"Szo"</formula>
    </cfRule>
    <cfRule type="cellIs" dxfId="1766" priority="498" operator="equal">
      <formula>"X"</formula>
    </cfRule>
    <cfRule type="cellIs" dxfId="1765" priority="499" operator="equal">
      <formula>"X"</formula>
    </cfRule>
  </conditionalFormatting>
  <conditionalFormatting sqref="Y100">
    <cfRule type="cellIs" dxfId="1764" priority="494" operator="equal">
      <formula>"+"</formula>
    </cfRule>
    <cfRule type="cellIs" dxfId="1763" priority="495" operator="equal">
      <formula>"szf"</formula>
    </cfRule>
  </conditionalFormatting>
  <conditionalFormatting sqref="Y100">
    <cfRule type="cellIs" dxfId="1762" priority="493" operator="equal">
      <formula>"+"</formula>
    </cfRule>
  </conditionalFormatting>
  <conditionalFormatting sqref="Y100:Y119">
    <cfRule type="cellIs" dxfId="1761" priority="491" operator="equal">
      <formula>"+"</formula>
    </cfRule>
    <cfRule type="cellIs" dxfId="1760" priority="492" operator="equal">
      <formula>"szf"</formula>
    </cfRule>
  </conditionalFormatting>
  <conditionalFormatting sqref="Y100:Y119">
    <cfRule type="cellIs" dxfId="1759" priority="487" operator="equal">
      <formula>"V"</formula>
    </cfRule>
    <cfRule type="cellIs" dxfId="1758" priority="488" operator="equal">
      <formula>"Szo"</formula>
    </cfRule>
    <cfRule type="cellIs" dxfId="1757" priority="489" operator="equal">
      <formula>"X"</formula>
    </cfRule>
    <cfRule type="cellIs" dxfId="1756" priority="490" operator="equal">
      <formula>"X"</formula>
    </cfRule>
  </conditionalFormatting>
  <conditionalFormatting sqref="AF100">
    <cfRule type="cellIs" dxfId="1755" priority="485" operator="equal">
      <formula>"+"</formula>
    </cfRule>
    <cfRule type="cellIs" dxfId="1754" priority="486" operator="equal">
      <formula>"szf"</formula>
    </cfRule>
  </conditionalFormatting>
  <conditionalFormatting sqref="AF100">
    <cfRule type="cellIs" dxfId="1753" priority="484" operator="equal">
      <formula>"+"</formula>
    </cfRule>
  </conditionalFormatting>
  <conditionalFormatting sqref="AF100:AF119">
    <cfRule type="cellIs" dxfId="1752" priority="482" operator="equal">
      <formula>"+"</formula>
    </cfRule>
    <cfRule type="cellIs" dxfId="1751" priority="483" operator="equal">
      <formula>"szf"</formula>
    </cfRule>
  </conditionalFormatting>
  <conditionalFormatting sqref="AF100:AF119">
    <cfRule type="cellIs" dxfId="1750" priority="478" operator="equal">
      <formula>"V"</formula>
    </cfRule>
    <cfRule type="cellIs" dxfId="1749" priority="479" operator="equal">
      <formula>"Szo"</formula>
    </cfRule>
    <cfRule type="cellIs" dxfId="1748" priority="480" operator="equal">
      <formula>"X"</formula>
    </cfRule>
    <cfRule type="cellIs" dxfId="1747" priority="481" operator="equal">
      <formula>"X"</formula>
    </cfRule>
  </conditionalFormatting>
  <conditionalFormatting sqref="B124">
    <cfRule type="cellIs" dxfId="1746" priority="476" operator="equal">
      <formula>"+"</formula>
    </cfRule>
    <cfRule type="cellIs" dxfId="1745" priority="477" operator="equal">
      <formula>"szf"</formula>
    </cfRule>
  </conditionalFormatting>
  <conditionalFormatting sqref="B124">
    <cfRule type="cellIs" dxfId="1744" priority="475" operator="equal">
      <formula>"+"</formula>
    </cfRule>
  </conditionalFormatting>
  <conditionalFormatting sqref="B124:B143">
    <cfRule type="cellIs" dxfId="1743" priority="473" operator="equal">
      <formula>"+"</formula>
    </cfRule>
    <cfRule type="cellIs" dxfId="1742" priority="474" operator="equal">
      <formula>"szf"</formula>
    </cfRule>
  </conditionalFormatting>
  <conditionalFormatting sqref="B124:B143">
    <cfRule type="cellIs" dxfId="1741" priority="469" operator="equal">
      <formula>"V"</formula>
    </cfRule>
    <cfRule type="cellIs" dxfId="1740" priority="470" operator="equal">
      <formula>"Szo"</formula>
    </cfRule>
    <cfRule type="cellIs" dxfId="1739" priority="471" operator="equal">
      <formula>"X"</formula>
    </cfRule>
    <cfRule type="cellIs" dxfId="1738" priority="472" operator="equal">
      <formula>"X"</formula>
    </cfRule>
  </conditionalFormatting>
  <conditionalFormatting sqref="I124">
    <cfRule type="cellIs" dxfId="1737" priority="467" operator="equal">
      <formula>"+"</formula>
    </cfRule>
    <cfRule type="cellIs" dxfId="1736" priority="468" operator="equal">
      <formula>"szf"</formula>
    </cfRule>
  </conditionalFormatting>
  <conditionalFormatting sqref="I124">
    <cfRule type="cellIs" dxfId="1735" priority="466" operator="equal">
      <formula>"+"</formula>
    </cfRule>
  </conditionalFormatting>
  <conditionalFormatting sqref="I124:I143">
    <cfRule type="cellIs" dxfId="1734" priority="464" operator="equal">
      <formula>"+"</formula>
    </cfRule>
    <cfRule type="cellIs" dxfId="1733" priority="465" operator="equal">
      <formula>"szf"</formula>
    </cfRule>
  </conditionalFormatting>
  <conditionalFormatting sqref="I124:I143">
    <cfRule type="cellIs" dxfId="1732" priority="460" operator="equal">
      <formula>"V"</formula>
    </cfRule>
    <cfRule type="cellIs" dxfId="1731" priority="461" operator="equal">
      <formula>"Szo"</formula>
    </cfRule>
    <cfRule type="cellIs" dxfId="1730" priority="462" operator="equal">
      <formula>"X"</formula>
    </cfRule>
    <cfRule type="cellIs" dxfId="1729" priority="463" operator="equal">
      <formula>"X"</formula>
    </cfRule>
  </conditionalFormatting>
  <conditionalFormatting sqref="J124">
    <cfRule type="cellIs" dxfId="1728" priority="458" operator="equal">
      <formula>"+"</formula>
    </cfRule>
    <cfRule type="cellIs" dxfId="1727" priority="459" operator="equal">
      <formula>"szf"</formula>
    </cfRule>
  </conditionalFormatting>
  <conditionalFormatting sqref="J124">
    <cfRule type="cellIs" dxfId="1726" priority="457" operator="equal">
      <formula>"+"</formula>
    </cfRule>
  </conditionalFormatting>
  <conditionalFormatting sqref="J124:J143">
    <cfRule type="cellIs" dxfId="1725" priority="455" operator="equal">
      <formula>"+"</formula>
    </cfRule>
    <cfRule type="cellIs" dxfId="1724" priority="456" operator="equal">
      <formula>"szf"</formula>
    </cfRule>
  </conditionalFormatting>
  <conditionalFormatting sqref="J124:J143">
    <cfRule type="cellIs" dxfId="1723" priority="451" operator="equal">
      <formula>"V"</formula>
    </cfRule>
    <cfRule type="cellIs" dxfId="1722" priority="452" operator="equal">
      <formula>"Szo"</formula>
    </cfRule>
    <cfRule type="cellIs" dxfId="1721" priority="453" operator="equal">
      <formula>"X"</formula>
    </cfRule>
    <cfRule type="cellIs" dxfId="1720" priority="454" operator="equal">
      <formula>"X"</formula>
    </cfRule>
  </conditionalFormatting>
  <conditionalFormatting sqref="Q124">
    <cfRule type="cellIs" dxfId="1719" priority="449" operator="equal">
      <formula>"+"</formula>
    </cfRule>
    <cfRule type="cellIs" dxfId="1718" priority="450" operator="equal">
      <formula>"szf"</formula>
    </cfRule>
  </conditionalFormatting>
  <conditionalFormatting sqref="Q124">
    <cfRule type="cellIs" dxfId="1717" priority="448" operator="equal">
      <formula>"+"</formula>
    </cfRule>
  </conditionalFormatting>
  <conditionalFormatting sqref="Q124:Q143">
    <cfRule type="cellIs" dxfId="1716" priority="446" operator="equal">
      <formula>"+"</formula>
    </cfRule>
    <cfRule type="cellIs" dxfId="1715" priority="447" operator="equal">
      <formula>"szf"</formula>
    </cfRule>
  </conditionalFormatting>
  <conditionalFormatting sqref="Q124:Q143">
    <cfRule type="cellIs" dxfId="1714" priority="442" operator="equal">
      <formula>"V"</formula>
    </cfRule>
    <cfRule type="cellIs" dxfId="1713" priority="443" operator="equal">
      <formula>"Szo"</formula>
    </cfRule>
    <cfRule type="cellIs" dxfId="1712" priority="444" operator="equal">
      <formula>"X"</formula>
    </cfRule>
    <cfRule type="cellIs" dxfId="1711" priority="445" operator="equal">
      <formula>"X"</formula>
    </cfRule>
  </conditionalFormatting>
  <conditionalFormatting sqref="R124">
    <cfRule type="cellIs" dxfId="1710" priority="440" operator="equal">
      <formula>"+"</formula>
    </cfRule>
    <cfRule type="cellIs" dxfId="1709" priority="441" operator="equal">
      <formula>"szf"</formula>
    </cfRule>
  </conditionalFormatting>
  <conditionalFormatting sqref="R124">
    <cfRule type="cellIs" dxfId="1708" priority="439" operator="equal">
      <formula>"+"</formula>
    </cfRule>
  </conditionalFormatting>
  <conditionalFormatting sqref="R124:R143">
    <cfRule type="cellIs" dxfId="1707" priority="437" operator="equal">
      <formula>"+"</formula>
    </cfRule>
    <cfRule type="cellIs" dxfId="1706" priority="438" operator="equal">
      <formula>"szf"</formula>
    </cfRule>
  </conditionalFormatting>
  <conditionalFormatting sqref="R124:R143">
    <cfRule type="cellIs" dxfId="1705" priority="433" operator="equal">
      <formula>"V"</formula>
    </cfRule>
    <cfRule type="cellIs" dxfId="1704" priority="434" operator="equal">
      <formula>"Szo"</formula>
    </cfRule>
    <cfRule type="cellIs" dxfId="1703" priority="435" operator="equal">
      <formula>"X"</formula>
    </cfRule>
    <cfRule type="cellIs" dxfId="1702" priority="436" operator="equal">
      <formula>"X"</formula>
    </cfRule>
  </conditionalFormatting>
  <conditionalFormatting sqref="Y124">
    <cfRule type="cellIs" dxfId="1701" priority="431" operator="equal">
      <formula>"+"</formula>
    </cfRule>
    <cfRule type="cellIs" dxfId="1700" priority="432" operator="equal">
      <formula>"szf"</formula>
    </cfRule>
  </conditionalFormatting>
  <conditionalFormatting sqref="Y124">
    <cfRule type="cellIs" dxfId="1699" priority="430" operator="equal">
      <formula>"+"</formula>
    </cfRule>
  </conditionalFormatting>
  <conditionalFormatting sqref="Y124:Y143">
    <cfRule type="cellIs" dxfId="1698" priority="428" operator="equal">
      <formula>"+"</formula>
    </cfRule>
    <cfRule type="cellIs" dxfId="1697" priority="429" operator="equal">
      <formula>"szf"</formula>
    </cfRule>
  </conditionalFormatting>
  <conditionalFormatting sqref="Y124:Y143">
    <cfRule type="cellIs" dxfId="1696" priority="424" operator="equal">
      <formula>"V"</formula>
    </cfRule>
    <cfRule type="cellIs" dxfId="1695" priority="425" operator="equal">
      <formula>"Szo"</formula>
    </cfRule>
    <cfRule type="cellIs" dxfId="1694" priority="426" operator="equal">
      <formula>"X"</formula>
    </cfRule>
    <cfRule type="cellIs" dxfId="1693" priority="427" operator="equal">
      <formula>"X"</formula>
    </cfRule>
  </conditionalFormatting>
  <conditionalFormatting sqref="Z124">
    <cfRule type="cellIs" dxfId="1692" priority="422" operator="equal">
      <formula>"+"</formula>
    </cfRule>
    <cfRule type="cellIs" dxfId="1691" priority="423" operator="equal">
      <formula>"szf"</formula>
    </cfRule>
  </conditionalFormatting>
  <conditionalFormatting sqref="Z124">
    <cfRule type="cellIs" dxfId="1690" priority="421" operator="equal">
      <formula>"+"</formula>
    </cfRule>
  </conditionalFormatting>
  <conditionalFormatting sqref="Z124:Z143">
    <cfRule type="cellIs" dxfId="1689" priority="419" operator="equal">
      <formula>"+"</formula>
    </cfRule>
    <cfRule type="cellIs" dxfId="1688" priority="420" operator="equal">
      <formula>"szf"</formula>
    </cfRule>
  </conditionalFormatting>
  <conditionalFormatting sqref="Z124:Z143">
    <cfRule type="cellIs" dxfId="1687" priority="415" operator="equal">
      <formula>"V"</formula>
    </cfRule>
    <cfRule type="cellIs" dxfId="1686" priority="416" operator="equal">
      <formula>"Szo"</formula>
    </cfRule>
    <cfRule type="cellIs" dxfId="1685" priority="417" operator="equal">
      <formula>"X"</formula>
    </cfRule>
    <cfRule type="cellIs" dxfId="1684" priority="418" operator="equal">
      <formula>"X"</formula>
    </cfRule>
  </conditionalFormatting>
  <conditionalFormatting sqref="C148">
    <cfRule type="cellIs" dxfId="1683" priority="413" operator="equal">
      <formula>"+"</formula>
    </cfRule>
    <cfRule type="cellIs" dxfId="1682" priority="414" operator="equal">
      <formula>"szf"</formula>
    </cfRule>
  </conditionalFormatting>
  <conditionalFormatting sqref="C148">
    <cfRule type="cellIs" dxfId="1681" priority="412" operator="equal">
      <formula>"+"</formula>
    </cfRule>
  </conditionalFormatting>
  <conditionalFormatting sqref="C148:C167">
    <cfRule type="cellIs" dxfId="1680" priority="410" operator="equal">
      <formula>"+"</formula>
    </cfRule>
    <cfRule type="cellIs" dxfId="1679" priority="411" operator="equal">
      <formula>"szf"</formula>
    </cfRule>
  </conditionalFormatting>
  <conditionalFormatting sqref="C148:C167">
    <cfRule type="cellIs" dxfId="1678" priority="406" operator="equal">
      <formula>"V"</formula>
    </cfRule>
    <cfRule type="cellIs" dxfId="1677" priority="407" operator="equal">
      <formula>"Szo"</formula>
    </cfRule>
    <cfRule type="cellIs" dxfId="1676" priority="408" operator="equal">
      <formula>"X"</formula>
    </cfRule>
    <cfRule type="cellIs" dxfId="1675" priority="409" operator="equal">
      <formula>"X"</formula>
    </cfRule>
  </conditionalFormatting>
  <conditionalFormatting sqref="D148">
    <cfRule type="cellIs" dxfId="1674" priority="404" operator="equal">
      <formula>"+"</formula>
    </cfRule>
    <cfRule type="cellIs" dxfId="1673" priority="405" operator="equal">
      <formula>"szf"</formula>
    </cfRule>
  </conditionalFormatting>
  <conditionalFormatting sqref="D148">
    <cfRule type="cellIs" dxfId="1672" priority="403" operator="equal">
      <formula>"+"</formula>
    </cfRule>
  </conditionalFormatting>
  <conditionalFormatting sqref="D148:D167">
    <cfRule type="cellIs" dxfId="1671" priority="401" operator="equal">
      <formula>"+"</formula>
    </cfRule>
    <cfRule type="cellIs" dxfId="1670" priority="402" operator="equal">
      <formula>"szf"</formula>
    </cfRule>
  </conditionalFormatting>
  <conditionalFormatting sqref="D148:D167">
    <cfRule type="cellIs" dxfId="1669" priority="397" operator="equal">
      <formula>"V"</formula>
    </cfRule>
    <cfRule type="cellIs" dxfId="1668" priority="398" operator="equal">
      <formula>"Szo"</formula>
    </cfRule>
    <cfRule type="cellIs" dxfId="1667" priority="399" operator="equal">
      <formula>"X"</formula>
    </cfRule>
    <cfRule type="cellIs" dxfId="1666" priority="400" operator="equal">
      <formula>"X"</formula>
    </cfRule>
  </conditionalFormatting>
  <conditionalFormatting sqref="K148">
    <cfRule type="cellIs" dxfId="1665" priority="395" operator="equal">
      <formula>"+"</formula>
    </cfRule>
    <cfRule type="cellIs" dxfId="1664" priority="396" operator="equal">
      <formula>"szf"</formula>
    </cfRule>
  </conditionalFormatting>
  <conditionalFormatting sqref="K148">
    <cfRule type="cellIs" dxfId="1663" priority="394" operator="equal">
      <formula>"+"</formula>
    </cfRule>
  </conditionalFormatting>
  <conditionalFormatting sqref="K148:K167">
    <cfRule type="cellIs" dxfId="1662" priority="392" operator="equal">
      <formula>"+"</formula>
    </cfRule>
    <cfRule type="cellIs" dxfId="1661" priority="393" operator="equal">
      <formula>"szf"</formula>
    </cfRule>
  </conditionalFormatting>
  <conditionalFormatting sqref="K148:K167">
    <cfRule type="cellIs" dxfId="1660" priority="388" operator="equal">
      <formula>"V"</formula>
    </cfRule>
    <cfRule type="cellIs" dxfId="1659" priority="389" operator="equal">
      <formula>"Szo"</formula>
    </cfRule>
    <cfRule type="cellIs" dxfId="1658" priority="390" operator="equal">
      <formula>"X"</formula>
    </cfRule>
    <cfRule type="cellIs" dxfId="1657" priority="391" operator="equal">
      <formula>"X"</formula>
    </cfRule>
  </conditionalFormatting>
  <conditionalFormatting sqref="L148">
    <cfRule type="cellIs" dxfId="1656" priority="386" operator="equal">
      <formula>"+"</formula>
    </cfRule>
    <cfRule type="cellIs" dxfId="1655" priority="387" operator="equal">
      <formula>"szf"</formula>
    </cfRule>
  </conditionalFormatting>
  <conditionalFormatting sqref="L148">
    <cfRule type="cellIs" dxfId="1654" priority="385" operator="equal">
      <formula>"+"</formula>
    </cfRule>
  </conditionalFormatting>
  <conditionalFormatting sqref="L148:L167">
    <cfRule type="cellIs" dxfId="1653" priority="383" operator="equal">
      <formula>"+"</formula>
    </cfRule>
    <cfRule type="cellIs" dxfId="1652" priority="384" operator="equal">
      <formula>"szf"</formula>
    </cfRule>
  </conditionalFormatting>
  <conditionalFormatting sqref="L148:L167">
    <cfRule type="cellIs" dxfId="1651" priority="379" operator="equal">
      <formula>"V"</formula>
    </cfRule>
    <cfRule type="cellIs" dxfId="1650" priority="380" operator="equal">
      <formula>"Szo"</formula>
    </cfRule>
    <cfRule type="cellIs" dxfId="1649" priority="381" operator="equal">
      <formula>"X"</formula>
    </cfRule>
    <cfRule type="cellIs" dxfId="1648" priority="382" operator="equal">
      <formula>"X"</formula>
    </cfRule>
  </conditionalFormatting>
  <conditionalFormatting sqref="S148">
    <cfRule type="cellIs" dxfId="1647" priority="377" operator="equal">
      <formula>"+"</formula>
    </cfRule>
    <cfRule type="cellIs" dxfId="1646" priority="378" operator="equal">
      <formula>"szf"</formula>
    </cfRule>
  </conditionalFormatting>
  <conditionalFormatting sqref="S148">
    <cfRule type="cellIs" dxfId="1645" priority="376" operator="equal">
      <formula>"+"</formula>
    </cfRule>
  </conditionalFormatting>
  <conditionalFormatting sqref="S148:S167">
    <cfRule type="cellIs" dxfId="1644" priority="374" operator="equal">
      <formula>"+"</formula>
    </cfRule>
    <cfRule type="cellIs" dxfId="1643" priority="375" operator="equal">
      <formula>"szf"</formula>
    </cfRule>
  </conditionalFormatting>
  <conditionalFormatting sqref="S148:S167">
    <cfRule type="cellIs" dxfId="1642" priority="370" operator="equal">
      <formula>"V"</formula>
    </cfRule>
    <cfRule type="cellIs" dxfId="1641" priority="371" operator="equal">
      <formula>"Szo"</formula>
    </cfRule>
    <cfRule type="cellIs" dxfId="1640" priority="372" operator="equal">
      <formula>"X"</formula>
    </cfRule>
    <cfRule type="cellIs" dxfId="1639" priority="373" operator="equal">
      <formula>"X"</formula>
    </cfRule>
  </conditionalFormatting>
  <conditionalFormatting sqref="T148">
    <cfRule type="cellIs" dxfId="1638" priority="368" operator="equal">
      <formula>"+"</formula>
    </cfRule>
    <cfRule type="cellIs" dxfId="1637" priority="369" operator="equal">
      <formula>"szf"</formula>
    </cfRule>
  </conditionalFormatting>
  <conditionalFormatting sqref="T148">
    <cfRule type="cellIs" dxfId="1636" priority="367" operator="equal">
      <formula>"+"</formula>
    </cfRule>
  </conditionalFormatting>
  <conditionalFormatting sqref="T148:T167">
    <cfRule type="cellIs" dxfId="1635" priority="365" operator="equal">
      <formula>"+"</formula>
    </cfRule>
    <cfRule type="cellIs" dxfId="1634" priority="366" operator="equal">
      <formula>"szf"</formula>
    </cfRule>
  </conditionalFormatting>
  <conditionalFormatting sqref="T148:T167">
    <cfRule type="cellIs" dxfId="1633" priority="361" operator="equal">
      <formula>"V"</formula>
    </cfRule>
    <cfRule type="cellIs" dxfId="1632" priority="362" operator="equal">
      <formula>"Szo"</formula>
    </cfRule>
    <cfRule type="cellIs" dxfId="1631" priority="363" operator="equal">
      <formula>"X"</formula>
    </cfRule>
    <cfRule type="cellIs" dxfId="1630" priority="364" operator="equal">
      <formula>"X"</formula>
    </cfRule>
  </conditionalFormatting>
  <conditionalFormatting sqref="AA148">
    <cfRule type="cellIs" dxfId="1629" priority="359" operator="equal">
      <formula>"+"</formula>
    </cfRule>
    <cfRule type="cellIs" dxfId="1628" priority="360" operator="equal">
      <formula>"szf"</formula>
    </cfRule>
  </conditionalFormatting>
  <conditionalFormatting sqref="AA148">
    <cfRule type="cellIs" dxfId="1627" priority="358" operator="equal">
      <formula>"+"</formula>
    </cfRule>
  </conditionalFormatting>
  <conditionalFormatting sqref="AA148:AA167">
    <cfRule type="cellIs" dxfId="1626" priority="356" operator="equal">
      <formula>"+"</formula>
    </cfRule>
    <cfRule type="cellIs" dxfId="1625" priority="357" operator="equal">
      <formula>"szf"</formula>
    </cfRule>
  </conditionalFormatting>
  <conditionalFormatting sqref="AA148:AA167">
    <cfRule type="cellIs" dxfId="1624" priority="352" operator="equal">
      <formula>"V"</formula>
    </cfRule>
    <cfRule type="cellIs" dxfId="1623" priority="353" operator="equal">
      <formula>"Szo"</formula>
    </cfRule>
    <cfRule type="cellIs" dxfId="1622" priority="354" operator="equal">
      <formula>"X"</formula>
    </cfRule>
    <cfRule type="cellIs" dxfId="1621" priority="355" operator="equal">
      <formula>"X"</formula>
    </cfRule>
  </conditionalFormatting>
  <conditionalFormatting sqref="AB148">
    <cfRule type="cellIs" dxfId="1620" priority="350" operator="equal">
      <formula>"+"</formula>
    </cfRule>
    <cfRule type="cellIs" dxfId="1619" priority="351" operator="equal">
      <formula>"szf"</formula>
    </cfRule>
  </conditionalFormatting>
  <conditionalFormatting sqref="AB148">
    <cfRule type="cellIs" dxfId="1618" priority="349" operator="equal">
      <formula>"+"</formula>
    </cfRule>
  </conditionalFormatting>
  <conditionalFormatting sqref="AB148:AB167">
    <cfRule type="cellIs" dxfId="1617" priority="347" operator="equal">
      <formula>"+"</formula>
    </cfRule>
    <cfRule type="cellIs" dxfId="1616" priority="348" operator="equal">
      <formula>"szf"</formula>
    </cfRule>
  </conditionalFormatting>
  <conditionalFormatting sqref="AB148:AB167">
    <cfRule type="cellIs" dxfId="1615" priority="343" operator="equal">
      <formula>"V"</formula>
    </cfRule>
    <cfRule type="cellIs" dxfId="1614" priority="344" operator="equal">
      <formula>"Szo"</formula>
    </cfRule>
    <cfRule type="cellIs" dxfId="1613" priority="345" operator="equal">
      <formula>"X"</formula>
    </cfRule>
    <cfRule type="cellIs" dxfId="1612" priority="346" operator="equal">
      <formula>"X"</formula>
    </cfRule>
  </conditionalFormatting>
  <conditionalFormatting sqref="D172">
    <cfRule type="cellIs" dxfId="1611" priority="341" operator="equal">
      <formula>"+"</formula>
    </cfRule>
    <cfRule type="cellIs" dxfId="1610" priority="342" operator="equal">
      <formula>"szf"</formula>
    </cfRule>
  </conditionalFormatting>
  <conditionalFormatting sqref="D172">
    <cfRule type="cellIs" dxfId="1609" priority="340" operator="equal">
      <formula>"+"</formula>
    </cfRule>
  </conditionalFormatting>
  <conditionalFormatting sqref="D172:D191">
    <cfRule type="cellIs" dxfId="1608" priority="338" operator="equal">
      <formula>"+"</formula>
    </cfRule>
    <cfRule type="cellIs" dxfId="1607" priority="339" operator="equal">
      <formula>"szf"</formula>
    </cfRule>
  </conditionalFormatting>
  <conditionalFormatting sqref="D172:D191">
    <cfRule type="cellIs" dxfId="1606" priority="334" operator="equal">
      <formula>"V"</formula>
    </cfRule>
    <cfRule type="cellIs" dxfId="1605" priority="335" operator="equal">
      <formula>"Szo"</formula>
    </cfRule>
    <cfRule type="cellIs" dxfId="1604" priority="336" operator="equal">
      <formula>"X"</formula>
    </cfRule>
    <cfRule type="cellIs" dxfId="1603" priority="337" operator="equal">
      <formula>"X"</formula>
    </cfRule>
  </conditionalFormatting>
  <conditionalFormatting sqref="E172">
    <cfRule type="cellIs" dxfId="1602" priority="332" operator="equal">
      <formula>"+"</formula>
    </cfRule>
    <cfRule type="cellIs" dxfId="1601" priority="333" operator="equal">
      <formula>"szf"</formula>
    </cfRule>
  </conditionalFormatting>
  <conditionalFormatting sqref="E172">
    <cfRule type="cellIs" dxfId="1600" priority="331" operator="equal">
      <formula>"+"</formula>
    </cfRule>
  </conditionalFormatting>
  <conditionalFormatting sqref="E172:E191">
    <cfRule type="cellIs" dxfId="1599" priority="329" operator="equal">
      <formula>"+"</formula>
    </cfRule>
    <cfRule type="cellIs" dxfId="1598" priority="330" operator="equal">
      <formula>"szf"</formula>
    </cfRule>
  </conditionalFormatting>
  <conditionalFormatting sqref="E172:E191">
    <cfRule type="cellIs" dxfId="1597" priority="325" operator="equal">
      <formula>"V"</formula>
    </cfRule>
    <cfRule type="cellIs" dxfId="1596" priority="326" operator="equal">
      <formula>"Szo"</formula>
    </cfRule>
    <cfRule type="cellIs" dxfId="1595" priority="327" operator="equal">
      <formula>"X"</formula>
    </cfRule>
    <cfRule type="cellIs" dxfId="1594" priority="328" operator="equal">
      <formula>"X"</formula>
    </cfRule>
  </conditionalFormatting>
  <conditionalFormatting sqref="L172">
    <cfRule type="cellIs" dxfId="1593" priority="323" operator="equal">
      <formula>"+"</formula>
    </cfRule>
    <cfRule type="cellIs" dxfId="1592" priority="324" operator="equal">
      <formula>"szf"</formula>
    </cfRule>
  </conditionalFormatting>
  <conditionalFormatting sqref="L172">
    <cfRule type="cellIs" dxfId="1591" priority="322" operator="equal">
      <formula>"+"</formula>
    </cfRule>
  </conditionalFormatting>
  <conditionalFormatting sqref="L172:L191">
    <cfRule type="cellIs" dxfId="1590" priority="320" operator="equal">
      <formula>"+"</formula>
    </cfRule>
    <cfRule type="cellIs" dxfId="1589" priority="321" operator="equal">
      <formula>"szf"</formula>
    </cfRule>
  </conditionalFormatting>
  <conditionalFormatting sqref="L172:L191">
    <cfRule type="cellIs" dxfId="1588" priority="316" operator="equal">
      <formula>"V"</formula>
    </cfRule>
    <cfRule type="cellIs" dxfId="1587" priority="317" operator="equal">
      <formula>"Szo"</formula>
    </cfRule>
    <cfRule type="cellIs" dxfId="1586" priority="318" operator="equal">
      <formula>"X"</formula>
    </cfRule>
    <cfRule type="cellIs" dxfId="1585" priority="319" operator="equal">
      <formula>"X"</formula>
    </cfRule>
  </conditionalFormatting>
  <conditionalFormatting sqref="M172">
    <cfRule type="cellIs" dxfId="1584" priority="314" operator="equal">
      <formula>"+"</formula>
    </cfRule>
    <cfRule type="cellIs" dxfId="1583" priority="315" operator="equal">
      <formula>"szf"</formula>
    </cfRule>
  </conditionalFormatting>
  <conditionalFormatting sqref="M172">
    <cfRule type="cellIs" dxfId="1582" priority="313" operator="equal">
      <formula>"+"</formula>
    </cfRule>
  </conditionalFormatting>
  <conditionalFormatting sqref="M172:M191">
    <cfRule type="cellIs" dxfId="1581" priority="311" operator="equal">
      <formula>"+"</formula>
    </cfRule>
    <cfRule type="cellIs" dxfId="1580" priority="312" operator="equal">
      <formula>"szf"</formula>
    </cfRule>
  </conditionalFormatting>
  <conditionalFormatting sqref="M172:M191">
    <cfRule type="cellIs" dxfId="1579" priority="307" operator="equal">
      <formula>"V"</formula>
    </cfRule>
    <cfRule type="cellIs" dxfId="1578" priority="308" operator="equal">
      <formula>"Szo"</formula>
    </cfRule>
    <cfRule type="cellIs" dxfId="1577" priority="309" operator="equal">
      <formula>"X"</formula>
    </cfRule>
    <cfRule type="cellIs" dxfId="1576" priority="310" operator="equal">
      <formula>"X"</formula>
    </cfRule>
  </conditionalFormatting>
  <conditionalFormatting sqref="T172">
    <cfRule type="cellIs" dxfId="1575" priority="305" operator="equal">
      <formula>"+"</formula>
    </cfRule>
    <cfRule type="cellIs" dxfId="1574" priority="306" operator="equal">
      <formula>"szf"</formula>
    </cfRule>
  </conditionalFormatting>
  <conditionalFormatting sqref="T172">
    <cfRule type="cellIs" dxfId="1573" priority="304" operator="equal">
      <formula>"+"</formula>
    </cfRule>
  </conditionalFormatting>
  <conditionalFormatting sqref="T172:T191">
    <cfRule type="cellIs" dxfId="1572" priority="302" operator="equal">
      <formula>"+"</formula>
    </cfRule>
    <cfRule type="cellIs" dxfId="1571" priority="303" operator="equal">
      <formula>"szf"</formula>
    </cfRule>
  </conditionalFormatting>
  <conditionalFormatting sqref="T172:T191">
    <cfRule type="cellIs" dxfId="1570" priority="298" operator="equal">
      <formula>"V"</formula>
    </cfRule>
    <cfRule type="cellIs" dxfId="1569" priority="299" operator="equal">
      <formula>"Szo"</formula>
    </cfRule>
    <cfRule type="cellIs" dxfId="1568" priority="300" operator="equal">
      <formula>"X"</formula>
    </cfRule>
    <cfRule type="cellIs" dxfId="1567" priority="301" operator="equal">
      <formula>"X"</formula>
    </cfRule>
  </conditionalFormatting>
  <conditionalFormatting sqref="U172">
    <cfRule type="cellIs" dxfId="1566" priority="296" operator="equal">
      <formula>"+"</formula>
    </cfRule>
    <cfRule type="cellIs" dxfId="1565" priority="297" operator="equal">
      <formula>"szf"</formula>
    </cfRule>
  </conditionalFormatting>
  <conditionalFormatting sqref="U172">
    <cfRule type="cellIs" dxfId="1564" priority="295" operator="equal">
      <formula>"+"</formula>
    </cfRule>
  </conditionalFormatting>
  <conditionalFormatting sqref="U172:U191">
    <cfRule type="cellIs" dxfId="1563" priority="293" operator="equal">
      <formula>"+"</formula>
    </cfRule>
    <cfRule type="cellIs" dxfId="1562" priority="294" operator="equal">
      <formula>"szf"</formula>
    </cfRule>
  </conditionalFormatting>
  <conditionalFormatting sqref="U172:U191">
    <cfRule type="cellIs" dxfId="1561" priority="289" operator="equal">
      <formula>"V"</formula>
    </cfRule>
    <cfRule type="cellIs" dxfId="1560" priority="290" operator="equal">
      <formula>"Szo"</formula>
    </cfRule>
    <cfRule type="cellIs" dxfId="1559" priority="291" operator="equal">
      <formula>"X"</formula>
    </cfRule>
    <cfRule type="cellIs" dxfId="1558" priority="292" operator="equal">
      <formula>"X"</formula>
    </cfRule>
  </conditionalFormatting>
  <conditionalFormatting sqref="AC172">
    <cfRule type="cellIs" dxfId="1557" priority="287" operator="equal">
      <formula>"+"</formula>
    </cfRule>
    <cfRule type="cellIs" dxfId="1556" priority="288" operator="equal">
      <formula>"szf"</formula>
    </cfRule>
  </conditionalFormatting>
  <conditionalFormatting sqref="AC172">
    <cfRule type="cellIs" dxfId="1555" priority="286" operator="equal">
      <formula>"+"</formula>
    </cfRule>
  </conditionalFormatting>
  <conditionalFormatting sqref="AC172:AC191">
    <cfRule type="cellIs" dxfId="1554" priority="284" operator="equal">
      <formula>"+"</formula>
    </cfRule>
    <cfRule type="cellIs" dxfId="1553" priority="285" operator="equal">
      <formula>"szf"</formula>
    </cfRule>
  </conditionalFormatting>
  <conditionalFormatting sqref="AC172:AC191">
    <cfRule type="cellIs" dxfId="1552" priority="280" operator="equal">
      <formula>"V"</formula>
    </cfRule>
    <cfRule type="cellIs" dxfId="1551" priority="281" operator="equal">
      <formula>"Szo"</formula>
    </cfRule>
    <cfRule type="cellIs" dxfId="1550" priority="282" operator="equal">
      <formula>"X"</formula>
    </cfRule>
    <cfRule type="cellIs" dxfId="1549" priority="283" operator="equal">
      <formula>"X"</formula>
    </cfRule>
  </conditionalFormatting>
  <conditionalFormatting sqref="AB172">
    <cfRule type="cellIs" dxfId="1548" priority="278" operator="equal">
      <formula>"+"</formula>
    </cfRule>
    <cfRule type="cellIs" dxfId="1547" priority="279" operator="equal">
      <formula>"szf"</formula>
    </cfRule>
  </conditionalFormatting>
  <conditionalFormatting sqref="AB172">
    <cfRule type="cellIs" dxfId="1546" priority="277" operator="equal">
      <formula>"+"</formula>
    </cfRule>
  </conditionalFormatting>
  <conditionalFormatting sqref="AB172:AB191">
    <cfRule type="cellIs" dxfId="1545" priority="275" operator="equal">
      <formula>"+"</formula>
    </cfRule>
    <cfRule type="cellIs" dxfId="1544" priority="276" operator="equal">
      <formula>"szf"</formula>
    </cfRule>
  </conditionalFormatting>
  <conditionalFormatting sqref="AB172:AB191">
    <cfRule type="cellIs" dxfId="1543" priority="271" operator="equal">
      <formula>"V"</formula>
    </cfRule>
    <cfRule type="cellIs" dxfId="1542" priority="272" operator="equal">
      <formula>"Szo"</formula>
    </cfRule>
    <cfRule type="cellIs" dxfId="1541" priority="273" operator="equal">
      <formula>"X"</formula>
    </cfRule>
    <cfRule type="cellIs" dxfId="1540" priority="274" operator="equal">
      <formula>"X"</formula>
    </cfRule>
  </conditionalFormatting>
  <conditionalFormatting sqref="E196">
    <cfRule type="cellIs" dxfId="1539" priority="269" operator="equal">
      <formula>"+"</formula>
    </cfRule>
    <cfRule type="cellIs" dxfId="1538" priority="270" operator="equal">
      <formula>"szf"</formula>
    </cfRule>
  </conditionalFormatting>
  <conditionalFormatting sqref="E196">
    <cfRule type="cellIs" dxfId="1537" priority="268" operator="equal">
      <formula>"+"</formula>
    </cfRule>
  </conditionalFormatting>
  <conditionalFormatting sqref="E196:E215">
    <cfRule type="cellIs" dxfId="1536" priority="266" operator="equal">
      <formula>"+"</formula>
    </cfRule>
    <cfRule type="cellIs" dxfId="1535" priority="267" operator="equal">
      <formula>"szf"</formula>
    </cfRule>
  </conditionalFormatting>
  <conditionalFormatting sqref="E196:E215">
    <cfRule type="cellIs" dxfId="1534" priority="262" operator="equal">
      <formula>"V"</formula>
    </cfRule>
    <cfRule type="cellIs" dxfId="1533" priority="263" operator="equal">
      <formula>"Szo"</formula>
    </cfRule>
    <cfRule type="cellIs" dxfId="1532" priority="264" operator="equal">
      <formula>"X"</formula>
    </cfRule>
    <cfRule type="cellIs" dxfId="1531" priority="265" operator="equal">
      <formula>"X"</formula>
    </cfRule>
  </conditionalFormatting>
  <conditionalFormatting sqref="F196">
    <cfRule type="cellIs" dxfId="1530" priority="260" operator="equal">
      <formula>"+"</formula>
    </cfRule>
    <cfRule type="cellIs" dxfId="1529" priority="261" operator="equal">
      <formula>"szf"</formula>
    </cfRule>
  </conditionalFormatting>
  <conditionalFormatting sqref="F196">
    <cfRule type="cellIs" dxfId="1528" priority="259" operator="equal">
      <formula>"+"</formula>
    </cfRule>
  </conditionalFormatting>
  <conditionalFormatting sqref="F196:F215">
    <cfRule type="cellIs" dxfId="1527" priority="257" operator="equal">
      <formula>"+"</formula>
    </cfRule>
    <cfRule type="cellIs" dxfId="1526" priority="258" operator="equal">
      <formula>"szf"</formula>
    </cfRule>
  </conditionalFormatting>
  <conditionalFormatting sqref="F196:F215">
    <cfRule type="cellIs" dxfId="1525" priority="253" operator="equal">
      <formula>"V"</formula>
    </cfRule>
    <cfRule type="cellIs" dxfId="1524" priority="254" operator="equal">
      <formula>"Szo"</formula>
    </cfRule>
    <cfRule type="cellIs" dxfId="1523" priority="255" operator="equal">
      <formula>"X"</formula>
    </cfRule>
    <cfRule type="cellIs" dxfId="1522" priority="256" operator="equal">
      <formula>"X"</formula>
    </cfRule>
  </conditionalFormatting>
  <conditionalFormatting sqref="M196">
    <cfRule type="cellIs" dxfId="1521" priority="251" operator="equal">
      <formula>"+"</formula>
    </cfRule>
    <cfRule type="cellIs" dxfId="1520" priority="252" operator="equal">
      <formula>"szf"</formula>
    </cfRule>
  </conditionalFormatting>
  <conditionalFormatting sqref="M196">
    <cfRule type="cellIs" dxfId="1519" priority="250" operator="equal">
      <formula>"+"</formula>
    </cfRule>
  </conditionalFormatting>
  <conditionalFormatting sqref="M196:M215">
    <cfRule type="cellIs" dxfId="1518" priority="248" operator="equal">
      <formula>"+"</formula>
    </cfRule>
    <cfRule type="cellIs" dxfId="1517" priority="249" operator="equal">
      <formula>"szf"</formula>
    </cfRule>
  </conditionalFormatting>
  <conditionalFormatting sqref="M196:M215">
    <cfRule type="cellIs" dxfId="1516" priority="244" operator="equal">
      <formula>"V"</formula>
    </cfRule>
    <cfRule type="cellIs" dxfId="1515" priority="245" operator="equal">
      <formula>"Szo"</formula>
    </cfRule>
    <cfRule type="cellIs" dxfId="1514" priority="246" operator="equal">
      <formula>"X"</formula>
    </cfRule>
    <cfRule type="cellIs" dxfId="1513" priority="247" operator="equal">
      <formula>"X"</formula>
    </cfRule>
  </conditionalFormatting>
  <conditionalFormatting sqref="N196">
    <cfRule type="cellIs" dxfId="1512" priority="242" operator="equal">
      <formula>"+"</formula>
    </cfRule>
    <cfRule type="cellIs" dxfId="1511" priority="243" operator="equal">
      <formula>"szf"</formula>
    </cfRule>
  </conditionalFormatting>
  <conditionalFormatting sqref="N196">
    <cfRule type="cellIs" dxfId="1510" priority="241" operator="equal">
      <formula>"+"</formula>
    </cfRule>
  </conditionalFormatting>
  <conditionalFormatting sqref="N196:N215">
    <cfRule type="cellIs" dxfId="1509" priority="239" operator="equal">
      <formula>"+"</formula>
    </cfRule>
    <cfRule type="cellIs" dxfId="1508" priority="240" operator="equal">
      <formula>"szf"</formula>
    </cfRule>
  </conditionalFormatting>
  <conditionalFormatting sqref="N196:N215">
    <cfRule type="cellIs" dxfId="1507" priority="235" operator="equal">
      <formula>"V"</formula>
    </cfRule>
    <cfRule type="cellIs" dxfId="1506" priority="236" operator="equal">
      <formula>"Szo"</formula>
    </cfRule>
    <cfRule type="cellIs" dxfId="1505" priority="237" operator="equal">
      <formula>"X"</formula>
    </cfRule>
    <cfRule type="cellIs" dxfId="1504" priority="238" operator="equal">
      <formula>"X"</formula>
    </cfRule>
  </conditionalFormatting>
  <conditionalFormatting sqref="U196">
    <cfRule type="cellIs" dxfId="1503" priority="233" operator="equal">
      <formula>"+"</formula>
    </cfRule>
    <cfRule type="cellIs" dxfId="1502" priority="234" operator="equal">
      <formula>"szf"</formula>
    </cfRule>
  </conditionalFormatting>
  <conditionalFormatting sqref="U196">
    <cfRule type="cellIs" dxfId="1501" priority="232" operator="equal">
      <formula>"+"</formula>
    </cfRule>
  </conditionalFormatting>
  <conditionalFormatting sqref="U196:U215">
    <cfRule type="cellIs" dxfId="1500" priority="230" operator="equal">
      <formula>"+"</formula>
    </cfRule>
    <cfRule type="cellIs" dxfId="1499" priority="231" operator="equal">
      <formula>"szf"</formula>
    </cfRule>
  </conditionalFormatting>
  <conditionalFormatting sqref="U196:U215">
    <cfRule type="cellIs" dxfId="1498" priority="226" operator="equal">
      <formula>"V"</formula>
    </cfRule>
    <cfRule type="cellIs" dxfId="1497" priority="227" operator="equal">
      <formula>"Szo"</formula>
    </cfRule>
    <cfRule type="cellIs" dxfId="1496" priority="228" operator="equal">
      <formula>"X"</formula>
    </cfRule>
    <cfRule type="cellIs" dxfId="1495" priority="229" operator="equal">
      <formula>"X"</formula>
    </cfRule>
  </conditionalFormatting>
  <conditionalFormatting sqref="V196">
    <cfRule type="cellIs" dxfId="1494" priority="224" operator="equal">
      <formula>"+"</formula>
    </cfRule>
    <cfRule type="cellIs" dxfId="1493" priority="225" operator="equal">
      <formula>"szf"</formula>
    </cfRule>
  </conditionalFormatting>
  <conditionalFormatting sqref="V196">
    <cfRule type="cellIs" dxfId="1492" priority="223" operator="equal">
      <formula>"+"</formula>
    </cfRule>
  </conditionalFormatting>
  <conditionalFormatting sqref="V196:V215">
    <cfRule type="cellIs" dxfId="1491" priority="221" operator="equal">
      <formula>"+"</formula>
    </cfRule>
    <cfRule type="cellIs" dxfId="1490" priority="222" operator="equal">
      <formula>"szf"</formula>
    </cfRule>
  </conditionalFormatting>
  <conditionalFormatting sqref="V196:V215">
    <cfRule type="cellIs" dxfId="1489" priority="217" operator="equal">
      <formula>"V"</formula>
    </cfRule>
    <cfRule type="cellIs" dxfId="1488" priority="218" operator="equal">
      <formula>"Szo"</formula>
    </cfRule>
    <cfRule type="cellIs" dxfId="1487" priority="219" operator="equal">
      <formula>"X"</formula>
    </cfRule>
    <cfRule type="cellIs" dxfId="1486" priority="220" operator="equal">
      <formula>"X"</formula>
    </cfRule>
  </conditionalFormatting>
  <conditionalFormatting sqref="AC196">
    <cfRule type="cellIs" dxfId="1485" priority="215" operator="equal">
      <formula>"+"</formula>
    </cfRule>
    <cfRule type="cellIs" dxfId="1484" priority="216" operator="equal">
      <formula>"szf"</formula>
    </cfRule>
  </conditionalFormatting>
  <conditionalFormatting sqref="AC196">
    <cfRule type="cellIs" dxfId="1483" priority="214" operator="equal">
      <formula>"+"</formula>
    </cfRule>
  </conditionalFormatting>
  <conditionalFormatting sqref="AC196:AC215">
    <cfRule type="cellIs" dxfId="1482" priority="212" operator="equal">
      <formula>"+"</formula>
    </cfRule>
    <cfRule type="cellIs" dxfId="1481" priority="213" operator="equal">
      <formula>"szf"</formula>
    </cfRule>
  </conditionalFormatting>
  <conditionalFormatting sqref="AC196:AC215">
    <cfRule type="cellIs" dxfId="1480" priority="208" operator="equal">
      <formula>"V"</formula>
    </cfRule>
    <cfRule type="cellIs" dxfId="1479" priority="209" operator="equal">
      <formula>"Szo"</formula>
    </cfRule>
    <cfRule type="cellIs" dxfId="1478" priority="210" operator="equal">
      <formula>"X"</formula>
    </cfRule>
    <cfRule type="cellIs" dxfId="1477" priority="211" operator="equal">
      <formula>"X"</formula>
    </cfRule>
  </conditionalFormatting>
  <conditionalFormatting sqref="AD196">
    <cfRule type="cellIs" dxfId="1476" priority="206" operator="equal">
      <formula>"+"</formula>
    </cfRule>
    <cfRule type="cellIs" dxfId="1475" priority="207" operator="equal">
      <formula>"szf"</formula>
    </cfRule>
  </conditionalFormatting>
  <conditionalFormatting sqref="AD196">
    <cfRule type="cellIs" dxfId="1474" priority="205" operator="equal">
      <formula>"+"</formula>
    </cfRule>
  </conditionalFormatting>
  <conditionalFormatting sqref="AD196:AD215">
    <cfRule type="cellIs" dxfId="1473" priority="203" operator="equal">
      <formula>"+"</formula>
    </cfRule>
    <cfRule type="cellIs" dxfId="1472" priority="204" operator="equal">
      <formula>"szf"</formula>
    </cfRule>
  </conditionalFormatting>
  <conditionalFormatting sqref="AD196:AD215">
    <cfRule type="cellIs" dxfId="1471" priority="199" operator="equal">
      <formula>"V"</formula>
    </cfRule>
    <cfRule type="cellIs" dxfId="1470" priority="200" operator="equal">
      <formula>"Szo"</formula>
    </cfRule>
    <cfRule type="cellIs" dxfId="1469" priority="201" operator="equal">
      <formula>"X"</formula>
    </cfRule>
    <cfRule type="cellIs" dxfId="1468" priority="202" operator="equal">
      <formula>"X"</formula>
    </cfRule>
  </conditionalFormatting>
  <conditionalFormatting sqref="G220">
    <cfRule type="cellIs" dxfId="1467" priority="197" operator="equal">
      <formula>"+"</formula>
    </cfRule>
    <cfRule type="cellIs" dxfId="1466" priority="198" operator="equal">
      <formula>"szf"</formula>
    </cfRule>
  </conditionalFormatting>
  <conditionalFormatting sqref="G220">
    <cfRule type="cellIs" dxfId="1465" priority="196" operator="equal">
      <formula>"+"</formula>
    </cfRule>
  </conditionalFormatting>
  <conditionalFormatting sqref="G220:G239">
    <cfRule type="cellIs" dxfId="1464" priority="194" operator="equal">
      <formula>"+"</formula>
    </cfRule>
    <cfRule type="cellIs" dxfId="1463" priority="195" operator="equal">
      <formula>"szf"</formula>
    </cfRule>
  </conditionalFormatting>
  <conditionalFormatting sqref="G220:G239">
    <cfRule type="cellIs" dxfId="1462" priority="190" operator="equal">
      <formula>"V"</formula>
    </cfRule>
    <cfRule type="cellIs" dxfId="1461" priority="191" operator="equal">
      <formula>"Szo"</formula>
    </cfRule>
    <cfRule type="cellIs" dxfId="1460" priority="192" operator="equal">
      <formula>"X"</formula>
    </cfRule>
    <cfRule type="cellIs" dxfId="1459" priority="193" operator="equal">
      <formula>"X"</formula>
    </cfRule>
  </conditionalFormatting>
  <conditionalFormatting sqref="H220">
    <cfRule type="cellIs" dxfId="1458" priority="188" operator="equal">
      <formula>"+"</formula>
    </cfRule>
    <cfRule type="cellIs" dxfId="1457" priority="189" operator="equal">
      <formula>"szf"</formula>
    </cfRule>
  </conditionalFormatting>
  <conditionalFormatting sqref="H220">
    <cfRule type="cellIs" dxfId="1456" priority="187" operator="equal">
      <formula>"+"</formula>
    </cfRule>
  </conditionalFormatting>
  <conditionalFormatting sqref="H220:H239">
    <cfRule type="cellIs" dxfId="1455" priority="185" operator="equal">
      <formula>"+"</formula>
    </cfRule>
    <cfRule type="cellIs" dxfId="1454" priority="186" operator="equal">
      <formula>"szf"</formula>
    </cfRule>
  </conditionalFormatting>
  <conditionalFormatting sqref="H220:H239">
    <cfRule type="cellIs" dxfId="1453" priority="181" operator="equal">
      <formula>"V"</formula>
    </cfRule>
    <cfRule type="cellIs" dxfId="1452" priority="182" operator="equal">
      <formula>"Szo"</formula>
    </cfRule>
    <cfRule type="cellIs" dxfId="1451" priority="183" operator="equal">
      <formula>"X"</formula>
    </cfRule>
    <cfRule type="cellIs" dxfId="1450" priority="184" operator="equal">
      <formula>"X"</formula>
    </cfRule>
  </conditionalFormatting>
  <conditionalFormatting sqref="O220">
    <cfRule type="cellIs" dxfId="1449" priority="179" operator="equal">
      <formula>"+"</formula>
    </cfRule>
    <cfRule type="cellIs" dxfId="1448" priority="180" operator="equal">
      <formula>"szf"</formula>
    </cfRule>
  </conditionalFormatting>
  <conditionalFormatting sqref="O220">
    <cfRule type="cellIs" dxfId="1447" priority="178" operator="equal">
      <formula>"+"</formula>
    </cfRule>
  </conditionalFormatting>
  <conditionalFormatting sqref="O220:O239">
    <cfRule type="cellIs" dxfId="1446" priority="176" operator="equal">
      <formula>"+"</formula>
    </cfRule>
    <cfRule type="cellIs" dxfId="1445" priority="177" operator="equal">
      <formula>"szf"</formula>
    </cfRule>
  </conditionalFormatting>
  <conditionalFormatting sqref="O220:O239">
    <cfRule type="cellIs" dxfId="1444" priority="172" operator="equal">
      <formula>"V"</formula>
    </cfRule>
    <cfRule type="cellIs" dxfId="1443" priority="173" operator="equal">
      <formula>"Szo"</formula>
    </cfRule>
    <cfRule type="cellIs" dxfId="1442" priority="174" operator="equal">
      <formula>"X"</formula>
    </cfRule>
    <cfRule type="cellIs" dxfId="1441" priority="175" operator="equal">
      <formula>"X"</formula>
    </cfRule>
  </conditionalFormatting>
  <conditionalFormatting sqref="P220">
    <cfRule type="cellIs" dxfId="1440" priority="170" operator="equal">
      <formula>"+"</formula>
    </cfRule>
    <cfRule type="cellIs" dxfId="1439" priority="171" operator="equal">
      <formula>"szf"</formula>
    </cfRule>
  </conditionalFormatting>
  <conditionalFormatting sqref="P220">
    <cfRule type="cellIs" dxfId="1438" priority="169" operator="equal">
      <formula>"+"</formula>
    </cfRule>
  </conditionalFormatting>
  <conditionalFormatting sqref="P220:P239">
    <cfRule type="cellIs" dxfId="1437" priority="167" operator="equal">
      <formula>"+"</formula>
    </cfRule>
    <cfRule type="cellIs" dxfId="1436" priority="168" operator="equal">
      <formula>"szf"</formula>
    </cfRule>
  </conditionalFormatting>
  <conditionalFormatting sqref="P220:P239">
    <cfRule type="cellIs" dxfId="1435" priority="163" operator="equal">
      <formula>"V"</formula>
    </cfRule>
    <cfRule type="cellIs" dxfId="1434" priority="164" operator="equal">
      <formula>"Szo"</formula>
    </cfRule>
    <cfRule type="cellIs" dxfId="1433" priority="165" operator="equal">
      <formula>"X"</formula>
    </cfRule>
    <cfRule type="cellIs" dxfId="1432" priority="166" operator="equal">
      <formula>"X"</formula>
    </cfRule>
  </conditionalFormatting>
  <conditionalFormatting sqref="W220">
    <cfRule type="cellIs" dxfId="1431" priority="161" operator="equal">
      <formula>"+"</formula>
    </cfRule>
    <cfRule type="cellIs" dxfId="1430" priority="162" operator="equal">
      <formula>"szf"</formula>
    </cfRule>
  </conditionalFormatting>
  <conditionalFormatting sqref="W220">
    <cfRule type="cellIs" dxfId="1429" priority="160" operator="equal">
      <formula>"+"</formula>
    </cfRule>
  </conditionalFormatting>
  <conditionalFormatting sqref="W220:W239">
    <cfRule type="cellIs" dxfId="1428" priority="158" operator="equal">
      <formula>"+"</formula>
    </cfRule>
    <cfRule type="cellIs" dxfId="1427" priority="159" operator="equal">
      <formula>"szf"</formula>
    </cfRule>
  </conditionalFormatting>
  <conditionalFormatting sqref="W220:W239">
    <cfRule type="cellIs" dxfId="1426" priority="154" operator="equal">
      <formula>"V"</formula>
    </cfRule>
    <cfRule type="cellIs" dxfId="1425" priority="155" operator="equal">
      <formula>"Szo"</formula>
    </cfRule>
    <cfRule type="cellIs" dxfId="1424" priority="156" operator="equal">
      <formula>"X"</formula>
    </cfRule>
    <cfRule type="cellIs" dxfId="1423" priority="157" operator="equal">
      <formula>"X"</formula>
    </cfRule>
  </conditionalFormatting>
  <conditionalFormatting sqref="X220">
    <cfRule type="cellIs" dxfId="1422" priority="152" operator="equal">
      <formula>"+"</formula>
    </cfRule>
    <cfRule type="cellIs" dxfId="1421" priority="153" operator="equal">
      <formula>"szf"</formula>
    </cfRule>
  </conditionalFormatting>
  <conditionalFormatting sqref="X220">
    <cfRule type="cellIs" dxfId="1420" priority="151" operator="equal">
      <formula>"+"</formula>
    </cfRule>
  </conditionalFormatting>
  <conditionalFormatting sqref="X220:X239">
    <cfRule type="cellIs" dxfId="1419" priority="149" operator="equal">
      <formula>"+"</formula>
    </cfRule>
    <cfRule type="cellIs" dxfId="1418" priority="150" operator="equal">
      <formula>"szf"</formula>
    </cfRule>
  </conditionalFormatting>
  <conditionalFormatting sqref="X220:X239">
    <cfRule type="cellIs" dxfId="1417" priority="145" operator="equal">
      <formula>"V"</formula>
    </cfRule>
    <cfRule type="cellIs" dxfId="1416" priority="146" operator="equal">
      <formula>"Szo"</formula>
    </cfRule>
    <cfRule type="cellIs" dxfId="1415" priority="147" operator="equal">
      <formula>"X"</formula>
    </cfRule>
    <cfRule type="cellIs" dxfId="1414" priority="148" operator="equal">
      <formula>"X"</formula>
    </cfRule>
  </conditionalFormatting>
  <conditionalFormatting sqref="AE220">
    <cfRule type="cellIs" dxfId="1413" priority="143" operator="equal">
      <formula>"+"</formula>
    </cfRule>
    <cfRule type="cellIs" dxfId="1412" priority="144" operator="equal">
      <formula>"szf"</formula>
    </cfRule>
  </conditionalFormatting>
  <conditionalFormatting sqref="AE220">
    <cfRule type="cellIs" dxfId="1411" priority="142" operator="equal">
      <formula>"+"</formula>
    </cfRule>
  </conditionalFormatting>
  <conditionalFormatting sqref="AE220:AE239">
    <cfRule type="cellIs" dxfId="1410" priority="140" operator="equal">
      <formula>"+"</formula>
    </cfRule>
    <cfRule type="cellIs" dxfId="1409" priority="141" operator="equal">
      <formula>"szf"</formula>
    </cfRule>
  </conditionalFormatting>
  <conditionalFormatting sqref="AE220:AE239">
    <cfRule type="cellIs" dxfId="1408" priority="136" operator="equal">
      <formula>"V"</formula>
    </cfRule>
    <cfRule type="cellIs" dxfId="1407" priority="137" operator="equal">
      <formula>"Szo"</formula>
    </cfRule>
    <cfRule type="cellIs" dxfId="1406" priority="138" operator="equal">
      <formula>"X"</formula>
    </cfRule>
    <cfRule type="cellIs" dxfId="1405" priority="139" operator="equal">
      <formula>"X"</formula>
    </cfRule>
  </conditionalFormatting>
  <conditionalFormatting sqref="AF220">
    <cfRule type="cellIs" dxfId="1404" priority="134" operator="equal">
      <formula>"+"</formula>
    </cfRule>
    <cfRule type="cellIs" dxfId="1403" priority="135" operator="equal">
      <formula>"szf"</formula>
    </cfRule>
  </conditionalFormatting>
  <conditionalFormatting sqref="AF220">
    <cfRule type="cellIs" dxfId="1402" priority="133" operator="equal">
      <formula>"+"</formula>
    </cfRule>
  </conditionalFormatting>
  <conditionalFormatting sqref="AF220:AF239">
    <cfRule type="cellIs" dxfId="1401" priority="131" operator="equal">
      <formula>"+"</formula>
    </cfRule>
    <cfRule type="cellIs" dxfId="1400" priority="132" operator="equal">
      <formula>"szf"</formula>
    </cfRule>
  </conditionalFormatting>
  <conditionalFormatting sqref="AF220:AF239">
    <cfRule type="cellIs" dxfId="1399" priority="127" operator="equal">
      <formula>"V"</formula>
    </cfRule>
    <cfRule type="cellIs" dxfId="1398" priority="128" operator="equal">
      <formula>"Szo"</formula>
    </cfRule>
    <cfRule type="cellIs" dxfId="1397" priority="129" operator="equal">
      <formula>"X"</formula>
    </cfRule>
    <cfRule type="cellIs" dxfId="1396" priority="130" operator="equal">
      <formula>"X"</formula>
    </cfRule>
  </conditionalFormatting>
  <conditionalFormatting sqref="H244">
    <cfRule type="cellIs" dxfId="1395" priority="125" operator="equal">
      <formula>"+"</formula>
    </cfRule>
    <cfRule type="cellIs" dxfId="1394" priority="126" operator="equal">
      <formula>"szf"</formula>
    </cfRule>
  </conditionalFormatting>
  <conditionalFormatting sqref="H244">
    <cfRule type="cellIs" dxfId="1393" priority="124" operator="equal">
      <formula>"+"</formula>
    </cfRule>
  </conditionalFormatting>
  <conditionalFormatting sqref="H244:H263">
    <cfRule type="cellIs" dxfId="1392" priority="122" operator="equal">
      <formula>"+"</formula>
    </cfRule>
    <cfRule type="cellIs" dxfId="1391" priority="123" operator="equal">
      <formula>"szf"</formula>
    </cfRule>
  </conditionalFormatting>
  <conditionalFormatting sqref="H244:H263">
    <cfRule type="cellIs" dxfId="1390" priority="118" operator="equal">
      <formula>"V"</formula>
    </cfRule>
    <cfRule type="cellIs" dxfId="1389" priority="119" operator="equal">
      <formula>"Szo"</formula>
    </cfRule>
    <cfRule type="cellIs" dxfId="1388" priority="120" operator="equal">
      <formula>"X"</formula>
    </cfRule>
    <cfRule type="cellIs" dxfId="1387" priority="121" operator="equal">
      <formula>"X"</formula>
    </cfRule>
  </conditionalFormatting>
  <conditionalFormatting sqref="I244">
    <cfRule type="cellIs" dxfId="1386" priority="116" operator="equal">
      <formula>"+"</formula>
    </cfRule>
    <cfRule type="cellIs" dxfId="1385" priority="117" operator="equal">
      <formula>"szf"</formula>
    </cfRule>
  </conditionalFormatting>
  <conditionalFormatting sqref="I244">
    <cfRule type="cellIs" dxfId="1384" priority="115" operator="equal">
      <formula>"+"</formula>
    </cfRule>
  </conditionalFormatting>
  <conditionalFormatting sqref="I244:I263">
    <cfRule type="cellIs" dxfId="1383" priority="113" operator="equal">
      <formula>"+"</formula>
    </cfRule>
    <cfRule type="cellIs" dxfId="1382" priority="114" operator="equal">
      <formula>"szf"</formula>
    </cfRule>
  </conditionalFormatting>
  <conditionalFormatting sqref="I244:I263">
    <cfRule type="cellIs" dxfId="1381" priority="109" operator="equal">
      <formula>"V"</formula>
    </cfRule>
    <cfRule type="cellIs" dxfId="1380" priority="110" operator="equal">
      <formula>"Szo"</formula>
    </cfRule>
    <cfRule type="cellIs" dxfId="1379" priority="111" operator="equal">
      <formula>"X"</formula>
    </cfRule>
    <cfRule type="cellIs" dxfId="1378" priority="112" operator="equal">
      <formula>"X"</formula>
    </cfRule>
  </conditionalFormatting>
  <conditionalFormatting sqref="P244">
    <cfRule type="cellIs" dxfId="1377" priority="107" operator="equal">
      <formula>"+"</formula>
    </cfRule>
    <cfRule type="cellIs" dxfId="1376" priority="108" operator="equal">
      <formula>"szf"</formula>
    </cfRule>
  </conditionalFormatting>
  <conditionalFormatting sqref="P244">
    <cfRule type="cellIs" dxfId="1375" priority="106" operator="equal">
      <formula>"+"</formula>
    </cfRule>
  </conditionalFormatting>
  <conditionalFormatting sqref="P244:P263">
    <cfRule type="cellIs" dxfId="1374" priority="104" operator="equal">
      <formula>"+"</formula>
    </cfRule>
    <cfRule type="cellIs" dxfId="1373" priority="105" operator="equal">
      <formula>"szf"</formula>
    </cfRule>
  </conditionalFormatting>
  <conditionalFormatting sqref="P244:P263">
    <cfRule type="cellIs" dxfId="1372" priority="100" operator="equal">
      <formula>"V"</formula>
    </cfRule>
    <cfRule type="cellIs" dxfId="1371" priority="101" operator="equal">
      <formula>"Szo"</formula>
    </cfRule>
    <cfRule type="cellIs" dxfId="1370" priority="102" operator="equal">
      <formula>"X"</formula>
    </cfRule>
    <cfRule type="cellIs" dxfId="1369" priority="103" operator="equal">
      <formula>"X"</formula>
    </cfRule>
  </conditionalFormatting>
  <conditionalFormatting sqref="Q244">
    <cfRule type="cellIs" dxfId="1368" priority="98" operator="equal">
      <formula>"+"</formula>
    </cfRule>
    <cfRule type="cellIs" dxfId="1367" priority="99" operator="equal">
      <formula>"szf"</formula>
    </cfRule>
  </conditionalFormatting>
  <conditionalFormatting sqref="Q244">
    <cfRule type="cellIs" dxfId="1366" priority="97" operator="equal">
      <formula>"+"</formula>
    </cfRule>
  </conditionalFormatting>
  <conditionalFormatting sqref="Q244:Q263">
    <cfRule type="cellIs" dxfId="1365" priority="95" operator="equal">
      <formula>"+"</formula>
    </cfRule>
    <cfRule type="cellIs" dxfId="1364" priority="96" operator="equal">
      <formula>"szf"</formula>
    </cfRule>
  </conditionalFormatting>
  <conditionalFormatting sqref="Q244:Q263">
    <cfRule type="cellIs" dxfId="1363" priority="91" operator="equal">
      <formula>"V"</formula>
    </cfRule>
    <cfRule type="cellIs" dxfId="1362" priority="92" operator="equal">
      <formula>"Szo"</formula>
    </cfRule>
    <cfRule type="cellIs" dxfId="1361" priority="93" operator="equal">
      <formula>"X"</formula>
    </cfRule>
    <cfRule type="cellIs" dxfId="1360" priority="94" operator="equal">
      <formula>"X"</formula>
    </cfRule>
  </conditionalFormatting>
  <conditionalFormatting sqref="X244">
    <cfRule type="cellIs" dxfId="1359" priority="89" operator="equal">
      <formula>"+"</formula>
    </cfRule>
    <cfRule type="cellIs" dxfId="1358" priority="90" operator="equal">
      <formula>"szf"</formula>
    </cfRule>
  </conditionalFormatting>
  <conditionalFormatting sqref="X244">
    <cfRule type="cellIs" dxfId="1357" priority="88" operator="equal">
      <formula>"+"</formula>
    </cfRule>
  </conditionalFormatting>
  <conditionalFormatting sqref="X244:X263">
    <cfRule type="cellIs" dxfId="1356" priority="86" operator="equal">
      <formula>"+"</formula>
    </cfRule>
    <cfRule type="cellIs" dxfId="1355" priority="87" operator="equal">
      <formula>"szf"</formula>
    </cfRule>
  </conditionalFormatting>
  <conditionalFormatting sqref="X244:X263">
    <cfRule type="cellIs" dxfId="1354" priority="82" operator="equal">
      <formula>"V"</formula>
    </cfRule>
    <cfRule type="cellIs" dxfId="1353" priority="83" operator="equal">
      <formula>"Szo"</formula>
    </cfRule>
    <cfRule type="cellIs" dxfId="1352" priority="84" operator="equal">
      <formula>"X"</formula>
    </cfRule>
    <cfRule type="cellIs" dxfId="1351" priority="85" operator="equal">
      <formula>"X"</formula>
    </cfRule>
  </conditionalFormatting>
  <conditionalFormatting sqref="Y244">
    <cfRule type="cellIs" dxfId="1350" priority="80" operator="equal">
      <formula>"+"</formula>
    </cfRule>
    <cfRule type="cellIs" dxfId="1349" priority="81" operator="equal">
      <formula>"szf"</formula>
    </cfRule>
  </conditionalFormatting>
  <conditionalFormatting sqref="Y244">
    <cfRule type="cellIs" dxfId="1348" priority="79" operator="equal">
      <formula>"+"</formula>
    </cfRule>
  </conditionalFormatting>
  <conditionalFormatting sqref="Y244:Y263">
    <cfRule type="cellIs" dxfId="1347" priority="77" operator="equal">
      <formula>"+"</formula>
    </cfRule>
    <cfRule type="cellIs" dxfId="1346" priority="78" operator="equal">
      <formula>"szf"</formula>
    </cfRule>
  </conditionalFormatting>
  <conditionalFormatting sqref="Y244:Y263">
    <cfRule type="cellIs" dxfId="1345" priority="73" operator="equal">
      <formula>"V"</formula>
    </cfRule>
    <cfRule type="cellIs" dxfId="1344" priority="74" operator="equal">
      <formula>"Szo"</formula>
    </cfRule>
    <cfRule type="cellIs" dxfId="1343" priority="75" operator="equal">
      <formula>"X"</formula>
    </cfRule>
    <cfRule type="cellIs" dxfId="1342" priority="76" operator="equal">
      <formula>"X"</formula>
    </cfRule>
  </conditionalFormatting>
  <conditionalFormatting sqref="B268">
    <cfRule type="cellIs" dxfId="1341" priority="71" operator="equal">
      <formula>"+"</formula>
    </cfRule>
    <cfRule type="cellIs" dxfId="1340" priority="72" operator="equal">
      <formula>"szf"</formula>
    </cfRule>
  </conditionalFormatting>
  <conditionalFormatting sqref="B268">
    <cfRule type="cellIs" dxfId="1339" priority="70" operator="equal">
      <formula>"+"</formula>
    </cfRule>
  </conditionalFormatting>
  <conditionalFormatting sqref="B268:B287">
    <cfRule type="cellIs" dxfId="1338" priority="68" operator="equal">
      <formula>"+"</formula>
    </cfRule>
    <cfRule type="cellIs" dxfId="1337" priority="69" operator="equal">
      <formula>"szf"</formula>
    </cfRule>
  </conditionalFormatting>
  <conditionalFormatting sqref="B268:B287">
    <cfRule type="cellIs" dxfId="1336" priority="64" operator="equal">
      <formula>"V"</formula>
    </cfRule>
    <cfRule type="cellIs" dxfId="1335" priority="65" operator="equal">
      <formula>"Szo"</formula>
    </cfRule>
    <cfRule type="cellIs" dxfId="1334" priority="66" operator="equal">
      <formula>"X"</formula>
    </cfRule>
    <cfRule type="cellIs" dxfId="1333" priority="67" operator="equal">
      <formula>"X"</formula>
    </cfRule>
  </conditionalFormatting>
  <conditionalFormatting sqref="C268">
    <cfRule type="cellIs" dxfId="1332" priority="62" operator="equal">
      <formula>"+"</formula>
    </cfRule>
    <cfRule type="cellIs" dxfId="1331" priority="63" operator="equal">
      <formula>"szf"</formula>
    </cfRule>
  </conditionalFormatting>
  <conditionalFormatting sqref="C268">
    <cfRule type="cellIs" dxfId="1330" priority="61" operator="equal">
      <formula>"+"</formula>
    </cfRule>
  </conditionalFormatting>
  <conditionalFormatting sqref="C268:C287">
    <cfRule type="cellIs" dxfId="1329" priority="59" operator="equal">
      <formula>"+"</formula>
    </cfRule>
    <cfRule type="cellIs" dxfId="1328" priority="60" operator="equal">
      <formula>"szf"</formula>
    </cfRule>
  </conditionalFormatting>
  <conditionalFormatting sqref="C268:C287">
    <cfRule type="cellIs" dxfId="1327" priority="55" operator="equal">
      <formula>"V"</formula>
    </cfRule>
    <cfRule type="cellIs" dxfId="1326" priority="56" operator="equal">
      <formula>"Szo"</formula>
    </cfRule>
    <cfRule type="cellIs" dxfId="1325" priority="57" operator="equal">
      <formula>"X"</formula>
    </cfRule>
    <cfRule type="cellIs" dxfId="1324" priority="58" operator="equal">
      <formula>"X"</formula>
    </cfRule>
  </conditionalFormatting>
  <conditionalFormatting sqref="J268">
    <cfRule type="cellIs" dxfId="1323" priority="53" operator="equal">
      <formula>"+"</formula>
    </cfRule>
    <cfRule type="cellIs" dxfId="1322" priority="54" operator="equal">
      <formula>"szf"</formula>
    </cfRule>
  </conditionalFormatting>
  <conditionalFormatting sqref="J268">
    <cfRule type="cellIs" dxfId="1321" priority="52" operator="equal">
      <formula>"+"</formula>
    </cfRule>
  </conditionalFormatting>
  <conditionalFormatting sqref="J268:J287">
    <cfRule type="cellIs" dxfId="1320" priority="50" operator="equal">
      <formula>"+"</formula>
    </cfRule>
    <cfRule type="cellIs" dxfId="1319" priority="51" operator="equal">
      <formula>"szf"</formula>
    </cfRule>
  </conditionalFormatting>
  <conditionalFormatting sqref="J268:J287">
    <cfRule type="cellIs" dxfId="1318" priority="46" operator="equal">
      <formula>"V"</formula>
    </cfRule>
    <cfRule type="cellIs" dxfId="1317" priority="47" operator="equal">
      <formula>"Szo"</formula>
    </cfRule>
    <cfRule type="cellIs" dxfId="1316" priority="48" operator="equal">
      <formula>"X"</formula>
    </cfRule>
    <cfRule type="cellIs" dxfId="1315" priority="49" operator="equal">
      <formula>"X"</formula>
    </cfRule>
  </conditionalFormatting>
  <conditionalFormatting sqref="K268">
    <cfRule type="cellIs" dxfId="1314" priority="44" operator="equal">
      <formula>"+"</formula>
    </cfRule>
    <cfRule type="cellIs" dxfId="1313" priority="45" operator="equal">
      <formula>"szf"</formula>
    </cfRule>
  </conditionalFormatting>
  <conditionalFormatting sqref="K268">
    <cfRule type="cellIs" dxfId="1312" priority="43" operator="equal">
      <formula>"+"</formula>
    </cfRule>
  </conditionalFormatting>
  <conditionalFormatting sqref="K268:K287">
    <cfRule type="cellIs" dxfId="1311" priority="41" operator="equal">
      <formula>"+"</formula>
    </cfRule>
    <cfRule type="cellIs" dxfId="1310" priority="42" operator="equal">
      <formula>"szf"</formula>
    </cfRule>
  </conditionalFormatting>
  <conditionalFormatting sqref="K268:K287">
    <cfRule type="cellIs" dxfId="1309" priority="37" operator="equal">
      <formula>"V"</formula>
    </cfRule>
    <cfRule type="cellIs" dxfId="1308" priority="38" operator="equal">
      <formula>"Szo"</formula>
    </cfRule>
    <cfRule type="cellIs" dxfId="1307" priority="39" operator="equal">
      <formula>"X"</formula>
    </cfRule>
    <cfRule type="cellIs" dxfId="1306" priority="40" operator="equal">
      <formula>"X"</formula>
    </cfRule>
  </conditionalFormatting>
  <conditionalFormatting sqref="R268">
    <cfRule type="cellIs" dxfId="1305" priority="35" operator="equal">
      <formula>"+"</formula>
    </cfRule>
    <cfRule type="cellIs" dxfId="1304" priority="36" operator="equal">
      <formula>"szf"</formula>
    </cfRule>
  </conditionalFormatting>
  <conditionalFormatting sqref="R268">
    <cfRule type="cellIs" dxfId="1303" priority="34" operator="equal">
      <formula>"+"</formula>
    </cfRule>
  </conditionalFormatting>
  <conditionalFormatting sqref="R268:R287">
    <cfRule type="cellIs" dxfId="1302" priority="32" operator="equal">
      <formula>"+"</formula>
    </cfRule>
    <cfRule type="cellIs" dxfId="1301" priority="33" operator="equal">
      <formula>"szf"</formula>
    </cfRule>
  </conditionalFormatting>
  <conditionalFormatting sqref="R268:R287">
    <cfRule type="cellIs" dxfId="1300" priority="28" operator="equal">
      <formula>"V"</formula>
    </cfRule>
    <cfRule type="cellIs" dxfId="1299" priority="29" operator="equal">
      <formula>"Szo"</formula>
    </cfRule>
    <cfRule type="cellIs" dxfId="1298" priority="30" operator="equal">
      <formula>"X"</formula>
    </cfRule>
    <cfRule type="cellIs" dxfId="1297" priority="31" operator="equal">
      <formula>"X"</formula>
    </cfRule>
  </conditionalFormatting>
  <conditionalFormatting sqref="S268">
    <cfRule type="cellIs" dxfId="1296" priority="26" operator="equal">
      <formula>"+"</formula>
    </cfRule>
    <cfRule type="cellIs" dxfId="1295" priority="27" operator="equal">
      <formula>"szf"</formula>
    </cfRule>
  </conditionalFormatting>
  <conditionalFormatting sqref="S268">
    <cfRule type="cellIs" dxfId="1294" priority="25" operator="equal">
      <formula>"+"</formula>
    </cfRule>
  </conditionalFormatting>
  <conditionalFormatting sqref="S268:S287">
    <cfRule type="cellIs" dxfId="1293" priority="23" operator="equal">
      <formula>"+"</formula>
    </cfRule>
    <cfRule type="cellIs" dxfId="1292" priority="24" operator="equal">
      <formula>"szf"</formula>
    </cfRule>
  </conditionalFormatting>
  <conditionalFormatting sqref="S268:S287">
    <cfRule type="cellIs" dxfId="1291" priority="19" operator="equal">
      <formula>"V"</formula>
    </cfRule>
    <cfRule type="cellIs" dxfId="1290" priority="20" operator="equal">
      <formula>"Szo"</formula>
    </cfRule>
    <cfRule type="cellIs" dxfId="1289" priority="21" operator="equal">
      <formula>"X"</formula>
    </cfRule>
    <cfRule type="cellIs" dxfId="1288" priority="22" operator="equal">
      <formula>"X"</formula>
    </cfRule>
  </conditionalFormatting>
  <conditionalFormatting sqref="Z268">
    <cfRule type="cellIs" dxfId="1287" priority="17" operator="equal">
      <formula>"+"</formula>
    </cfRule>
    <cfRule type="cellIs" dxfId="1286" priority="18" operator="equal">
      <formula>"szf"</formula>
    </cfRule>
  </conditionalFormatting>
  <conditionalFormatting sqref="Z268">
    <cfRule type="cellIs" dxfId="1285" priority="16" operator="equal">
      <formula>"+"</formula>
    </cfRule>
  </conditionalFormatting>
  <conditionalFormatting sqref="Z268:Z287">
    <cfRule type="cellIs" dxfId="1284" priority="14" operator="equal">
      <formula>"+"</formula>
    </cfRule>
    <cfRule type="cellIs" dxfId="1283" priority="15" operator="equal">
      <formula>"szf"</formula>
    </cfRule>
  </conditionalFormatting>
  <conditionalFormatting sqref="Z268:Z287">
    <cfRule type="cellIs" dxfId="1282" priority="10" operator="equal">
      <formula>"V"</formula>
    </cfRule>
    <cfRule type="cellIs" dxfId="1281" priority="11" operator="equal">
      <formula>"Szo"</formula>
    </cfRule>
    <cfRule type="cellIs" dxfId="1280" priority="12" operator="equal">
      <formula>"X"</formula>
    </cfRule>
    <cfRule type="cellIs" dxfId="1279" priority="13" operator="equal">
      <formula>"X"</formula>
    </cfRule>
  </conditionalFormatting>
  <conditionalFormatting sqref="AA268">
    <cfRule type="cellIs" dxfId="1278" priority="8" operator="equal">
      <formula>"+"</formula>
    </cfRule>
    <cfRule type="cellIs" dxfId="1277" priority="9" operator="equal">
      <formula>"szf"</formula>
    </cfRule>
  </conditionalFormatting>
  <conditionalFormatting sqref="AA268">
    <cfRule type="cellIs" dxfId="1276" priority="7" operator="equal">
      <formula>"+"</formula>
    </cfRule>
  </conditionalFormatting>
  <conditionalFormatting sqref="AA268:AA287">
    <cfRule type="cellIs" dxfId="1275" priority="5" operator="equal">
      <formula>"+"</formula>
    </cfRule>
    <cfRule type="cellIs" dxfId="1274" priority="6" operator="equal">
      <formula>"szf"</formula>
    </cfRule>
  </conditionalFormatting>
  <conditionalFormatting sqref="AA268:AA287">
    <cfRule type="cellIs" dxfId="1273" priority="1" operator="equal">
      <formula>"V"</formula>
    </cfRule>
    <cfRule type="cellIs" dxfId="1272" priority="2" operator="equal">
      <formula>"Szo"</formula>
    </cfRule>
    <cfRule type="cellIs" dxfId="1271" priority="3" operator="equal">
      <formula>"X"</formula>
    </cfRule>
    <cfRule type="cellIs" dxfId="1270" priority="4" operator="equal">
      <formula>"X"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Views>
    <sheetView showGridLines="0" workbookViewId="0">
      <selection activeCell="I6" sqref="I6"/>
    </sheetView>
  </sheetViews>
  <sheetFormatPr defaultColWidth="12" defaultRowHeight="12.75"/>
  <cols>
    <col min="1" max="1" width="18.85546875" style="26" customWidth="1"/>
    <col min="2" max="2" width="4" style="9" customWidth="1"/>
    <col min="3" max="8" width="3.140625" style="9" customWidth="1"/>
    <col min="9" max="9" width="3" style="9" customWidth="1"/>
    <col min="10" max="31" width="3.140625" style="9" customWidth="1"/>
    <col min="32" max="32" width="3.85546875" style="9" customWidth="1"/>
    <col min="33" max="33" width="3.42578125" style="6" customWidth="1"/>
    <col min="34" max="35" width="6.85546875" style="13" hidden="1" customWidth="1"/>
    <col min="36" max="43" width="3.42578125" style="6" customWidth="1"/>
    <col min="44" max="16384" width="12" style="6"/>
  </cols>
  <sheetData>
    <row r="1" spans="1:35" s="11" customFormat="1" ht="20.100000000000001" customHeight="1">
      <c r="A1" s="57" t="s">
        <v>0</v>
      </c>
      <c r="B1" s="25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23">
        <v>13</v>
      </c>
      <c r="O1" s="23">
        <v>14</v>
      </c>
      <c r="P1" s="23">
        <v>15</v>
      </c>
      <c r="Q1" s="23">
        <v>16</v>
      </c>
      <c r="R1" s="23">
        <v>17</v>
      </c>
      <c r="S1" s="23">
        <v>18</v>
      </c>
      <c r="T1" s="23">
        <v>19</v>
      </c>
      <c r="U1" s="23">
        <v>20</v>
      </c>
      <c r="V1" s="23">
        <v>21</v>
      </c>
      <c r="W1" s="23">
        <v>22</v>
      </c>
      <c r="X1" s="23">
        <v>23</v>
      </c>
      <c r="Y1" s="23">
        <v>24</v>
      </c>
      <c r="Z1" s="23">
        <v>25</v>
      </c>
      <c r="AA1" s="23">
        <v>26</v>
      </c>
      <c r="AB1" s="23">
        <v>27</v>
      </c>
      <c r="AC1" s="23">
        <v>28</v>
      </c>
      <c r="AD1" s="23">
        <v>29</v>
      </c>
      <c r="AE1" s="23">
        <v>30</v>
      </c>
      <c r="AF1" s="23">
        <v>31</v>
      </c>
      <c r="AH1" s="59" t="s">
        <v>18</v>
      </c>
      <c r="AI1" s="59" t="s">
        <v>19</v>
      </c>
    </row>
    <row r="2" spans="1:35" ht="20.100000000000001" customHeight="1">
      <c r="A2" s="61"/>
      <c r="B2" s="15" t="str">
        <f>'2021'!B4</f>
        <v>P</v>
      </c>
      <c r="C2" s="15" t="str">
        <f>'2021'!C4</f>
        <v>Szo</v>
      </c>
      <c r="D2" s="15" t="str">
        <f>'2021'!D4</f>
        <v>V</v>
      </c>
      <c r="E2" s="15" t="str">
        <f>'2021'!E4</f>
        <v>H</v>
      </c>
      <c r="F2" s="15" t="str">
        <f>'2021'!F4</f>
        <v>K</v>
      </c>
      <c r="G2" s="15" t="str">
        <f>'2021'!G4</f>
        <v>Sze</v>
      </c>
      <c r="H2" s="15" t="str">
        <f>'2021'!H4</f>
        <v>Cs</v>
      </c>
      <c r="I2" s="15" t="str">
        <f>'2021'!I4</f>
        <v>P</v>
      </c>
      <c r="J2" s="15" t="str">
        <f>'2021'!J4</f>
        <v>Szo</v>
      </c>
      <c r="K2" s="15" t="str">
        <f>'2021'!K4</f>
        <v>V</v>
      </c>
      <c r="L2" s="15" t="str">
        <f>'2021'!L4</f>
        <v>H</v>
      </c>
      <c r="M2" s="15" t="str">
        <f>'2021'!M4</f>
        <v>K</v>
      </c>
      <c r="N2" s="15" t="str">
        <f>'2021'!N4</f>
        <v>Sze</v>
      </c>
      <c r="O2" s="15" t="str">
        <f>'2021'!O4</f>
        <v>Cs</v>
      </c>
      <c r="P2" s="15" t="str">
        <f>'2021'!P4</f>
        <v>P</v>
      </c>
      <c r="Q2" s="15" t="str">
        <f>'2021'!Q4</f>
        <v>Szo</v>
      </c>
      <c r="R2" s="15" t="str">
        <f>'2021'!R4</f>
        <v>V</v>
      </c>
      <c r="S2" s="15" t="str">
        <f>'2021'!S4</f>
        <v>H</v>
      </c>
      <c r="T2" s="15" t="str">
        <f>'2021'!T4</f>
        <v>K</v>
      </c>
      <c r="U2" s="15" t="str">
        <f>'2021'!U4</f>
        <v>Sze</v>
      </c>
      <c r="V2" s="15" t="str">
        <f>'2021'!V4</f>
        <v>Cs</v>
      </c>
      <c r="W2" s="15" t="str">
        <f>'2021'!W4</f>
        <v>P</v>
      </c>
      <c r="X2" s="15" t="str">
        <f>'2021'!X4</f>
        <v>Szo</v>
      </c>
      <c r="Y2" s="15" t="str">
        <f>'2021'!Y4</f>
        <v>V</v>
      </c>
      <c r="Z2" s="15" t="str">
        <f>'2021'!Z4</f>
        <v>H</v>
      </c>
      <c r="AA2" s="15" t="str">
        <f>'2021'!AA4</f>
        <v>K</v>
      </c>
      <c r="AB2" s="15" t="str">
        <f>'2021'!AB4</f>
        <v>Sze</v>
      </c>
      <c r="AC2" s="15" t="str">
        <f>'2021'!AC4</f>
        <v>Cs</v>
      </c>
      <c r="AD2" s="15" t="str">
        <f>'2021'!AD4</f>
        <v>P</v>
      </c>
      <c r="AE2" s="15" t="str">
        <f>'2021'!AE4</f>
        <v>Szo</v>
      </c>
      <c r="AF2" s="15" t="str">
        <f>'2021'!AF4</f>
        <v>V</v>
      </c>
      <c r="AH2" s="60"/>
      <c r="AI2" s="60"/>
    </row>
    <row r="3" spans="1:35" ht="20.100000000000001" customHeight="1">
      <c r="A3" s="61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H3" s="60"/>
      <c r="AI3" s="60"/>
    </row>
    <row r="4" spans="1:35" ht="20.100000000000001" customHeight="1">
      <c r="A4" s="24" t="str">
        <f>ÖSSZES!$A$95</f>
        <v>Kovács Kriszitán</v>
      </c>
      <c r="B4" s="19" t="s">
        <v>63</v>
      </c>
      <c r="C4" s="39" t="s">
        <v>2</v>
      </c>
      <c r="D4" s="39" t="s">
        <v>2</v>
      </c>
      <c r="E4" s="19"/>
      <c r="F4" s="19"/>
      <c r="G4" s="19"/>
      <c r="H4" s="19"/>
      <c r="I4" s="19"/>
      <c r="J4" s="39" t="s">
        <v>2</v>
      </c>
      <c r="K4" s="39" t="s">
        <v>2</v>
      </c>
      <c r="L4" s="19"/>
      <c r="M4" s="19"/>
      <c r="N4" s="19"/>
      <c r="O4" s="19"/>
      <c r="P4" s="19"/>
      <c r="Q4" s="39" t="s">
        <v>2</v>
      </c>
      <c r="R4" s="39" t="s">
        <v>2</v>
      </c>
      <c r="S4" s="19"/>
      <c r="T4" s="19"/>
      <c r="U4" s="19"/>
      <c r="V4" s="19"/>
      <c r="W4" s="19"/>
      <c r="X4" s="39" t="s">
        <v>2</v>
      </c>
      <c r="Y4" s="39" t="s">
        <v>2</v>
      </c>
      <c r="Z4" s="19"/>
      <c r="AA4" s="19"/>
      <c r="AB4" s="19"/>
      <c r="AC4" s="19"/>
      <c r="AD4" s="19"/>
      <c r="AE4" s="39" t="s">
        <v>2</v>
      </c>
      <c r="AF4" s="39" t="s">
        <v>2</v>
      </c>
      <c r="AH4" s="20">
        <f>1*COUNTIF(A4:AF4,"+")</f>
        <v>0</v>
      </c>
      <c r="AI4" s="20">
        <f>1*COUNTIF(B4:AF4,"szf")</f>
        <v>0</v>
      </c>
    </row>
    <row r="5" spans="1:35" ht="20.100000000000001" customHeight="1">
      <c r="A5" s="24" t="str">
        <f>ÖSSZES!$A$96</f>
        <v>Besse Éva</v>
      </c>
      <c r="B5" s="19" t="s">
        <v>63</v>
      </c>
      <c r="C5" s="39" t="s">
        <v>2</v>
      </c>
      <c r="D5" s="39" t="s">
        <v>2</v>
      </c>
      <c r="E5" s="19"/>
      <c r="F5" s="19"/>
      <c r="G5" s="19"/>
      <c r="H5" s="19"/>
      <c r="I5" s="19"/>
      <c r="J5" s="39" t="s">
        <v>2</v>
      </c>
      <c r="K5" s="39" t="s">
        <v>2</v>
      </c>
      <c r="L5" s="19"/>
      <c r="M5" s="19"/>
      <c r="N5" s="19"/>
      <c r="O5" s="19"/>
      <c r="P5" s="19"/>
      <c r="Q5" s="39" t="s">
        <v>2</v>
      </c>
      <c r="R5" s="39" t="s">
        <v>2</v>
      </c>
      <c r="S5" s="19"/>
      <c r="T5" s="19"/>
      <c r="U5" s="19"/>
      <c r="V5" s="19"/>
      <c r="W5" s="19"/>
      <c r="X5" s="39" t="s">
        <v>2</v>
      </c>
      <c r="Y5" s="39" t="s">
        <v>2</v>
      </c>
      <c r="Z5" s="19"/>
      <c r="AA5" s="19"/>
      <c r="AB5" s="19"/>
      <c r="AC5" s="19"/>
      <c r="AD5" s="19"/>
      <c r="AE5" s="39" t="s">
        <v>2</v>
      </c>
      <c r="AF5" s="39" t="s">
        <v>2</v>
      </c>
      <c r="AH5" s="20">
        <f t="shared" ref="AH5:AH23" si="0">1*COUNTIF(A5:AF5,"+")</f>
        <v>0</v>
      </c>
      <c r="AI5" s="20">
        <f t="shared" ref="AI5:AI23" si="1">1*COUNTIF(B5:AF5,"szf")</f>
        <v>0</v>
      </c>
    </row>
    <row r="6" spans="1:35" ht="20.100000000000001" customHeight="1">
      <c r="A6" s="24" t="str">
        <f>ÖSSZES!$A$97</f>
        <v>Bulyáki Csaba</v>
      </c>
      <c r="B6" s="19" t="s">
        <v>63</v>
      </c>
      <c r="C6" s="39" t="s">
        <v>2</v>
      </c>
      <c r="D6" s="39" t="s">
        <v>2</v>
      </c>
      <c r="E6" s="19" t="s">
        <v>19</v>
      </c>
      <c r="F6" s="19" t="s">
        <v>19</v>
      </c>
      <c r="G6" s="19" t="s">
        <v>19</v>
      </c>
      <c r="H6" s="19" t="s">
        <v>19</v>
      </c>
      <c r="I6" s="19" t="s">
        <v>19</v>
      </c>
      <c r="J6" s="39" t="s">
        <v>2</v>
      </c>
      <c r="K6" s="39" t="s">
        <v>2</v>
      </c>
      <c r="L6" s="19"/>
      <c r="M6" s="19"/>
      <c r="N6" s="19"/>
      <c r="O6" s="19"/>
      <c r="P6" s="19"/>
      <c r="Q6" s="39" t="s">
        <v>2</v>
      </c>
      <c r="R6" s="39" t="s">
        <v>2</v>
      </c>
      <c r="S6" s="19"/>
      <c r="T6" s="19"/>
      <c r="U6" s="19"/>
      <c r="V6" s="19"/>
      <c r="W6" s="19"/>
      <c r="X6" s="39" t="s">
        <v>2</v>
      </c>
      <c r="Y6" s="39" t="s">
        <v>2</v>
      </c>
      <c r="Z6" s="19"/>
      <c r="AA6" s="19"/>
      <c r="AB6" s="19"/>
      <c r="AC6" s="19"/>
      <c r="AD6" s="19"/>
      <c r="AE6" s="39" t="s">
        <v>2</v>
      </c>
      <c r="AF6" s="39" t="s">
        <v>2</v>
      </c>
      <c r="AH6" s="20">
        <f t="shared" si="0"/>
        <v>0</v>
      </c>
      <c r="AI6" s="20">
        <f t="shared" si="1"/>
        <v>5</v>
      </c>
    </row>
    <row r="7" spans="1:35" ht="20.100000000000001" customHeight="1">
      <c r="A7" s="24" t="str">
        <f>ÖSSZES!$A$98</f>
        <v>Dancsi Attila</v>
      </c>
      <c r="B7" s="19" t="s">
        <v>63</v>
      </c>
      <c r="C7" s="39" t="s">
        <v>2</v>
      </c>
      <c r="D7" s="39" t="s">
        <v>2</v>
      </c>
      <c r="E7" s="19"/>
      <c r="F7" s="19"/>
      <c r="G7" s="19"/>
      <c r="H7" s="19"/>
      <c r="I7" s="19"/>
      <c r="J7" s="39" t="s">
        <v>2</v>
      </c>
      <c r="K7" s="39" t="s">
        <v>2</v>
      </c>
      <c r="L7" s="19"/>
      <c r="M7" s="19"/>
      <c r="N7" s="19"/>
      <c r="O7" s="19"/>
      <c r="P7" s="19"/>
      <c r="Q7" s="39" t="s">
        <v>2</v>
      </c>
      <c r="R7" s="39" t="s">
        <v>2</v>
      </c>
      <c r="S7" s="19"/>
      <c r="T7" s="19"/>
      <c r="U7" s="19"/>
      <c r="V7" s="19"/>
      <c r="W7" s="19"/>
      <c r="X7" s="39" t="s">
        <v>2</v>
      </c>
      <c r="Y7" s="39" t="s">
        <v>2</v>
      </c>
      <c r="Z7" s="19"/>
      <c r="AA7" s="19"/>
      <c r="AB7" s="19"/>
      <c r="AC7" s="19"/>
      <c r="AD7" s="19"/>
      <c r="AE7" s="39" t="s">
        <v>2</v>
      </c>
      <c r="AF7" s="39" t="s">
        <v>2</v>
      </c>
      <c r="AH7" s="20">
        <f t="shared" si="0"/>
        <v>0</v>
      </c>
      <c r="AI7" s="20">
        <f t="shared" si="1"/>
        <v>0</v>
      </c>
    </row>
    <row r="8" spans="1:35" ht="20.100000000000001" customHeight="1">
      <c r="A8" s="24" t="str">
        <f>ÖSSZES!$A$99</f>
        <v>Fekete Tamás</v>
      </c>
      <c r="B8" s="19" t="s">
        <v>63</v>
      </c>
      <c r="C8" s="39" t="s">
        <v>2</v>
      </c>
      <c r="D8" s="39" t="s">
        <v>2</v>
      </c>
      <c r="E8" s="19"/>
      <c r="F8" s="19"/>
      <c r="G8" s="19"/>
      <c r="H8" s="19"/>
      <c r="I8" s="19"/>
      <c r="J8" s="39" t="s">
        <v>2</v>
      </c>
      <c r="K8" s="39" t="s">
        <v>2</v>
      </c>
      <c r="L8" s="19"/>
      <c r="M8" s="19"/>
      <c r="N8" s="19"/>
      <c r="O8" s="19"/>
      <c r="P8" s="19"/>
      <c r="Q8" s="39" t="s">
        <v>2</v>
      </c>
      <c r="R8" s="39" t="s">
        <v>2</v>
      </c>
      <c r="S8" s="19"/>
      <c r="T8" s="19"/>
      <c r="U8" s="19"/>
      <c r="V8" s="19"/>
      <c r="W8" s="19"/>
      <c r="X8" s="39" t="s">
        <v>2</v>
      </c>
      <c r="Y8" s="39" t="s">
        <v>2</v>
      </c>
      <c r="Z8" s="19"/>
      <c r="AA8" s="19"/>
      <c r="AB8" s="19"/>
      <c r="AC8" s="19"/>
      <c r="AD8" s="19"/>
      <c r="AE8" s="39" t="s">
        <v>2</v>
      </c>
      <c r="AF8" s="39" t="s">
        <v>2</v>
      </c>
      <c r="AH8" s="20">
        <f t="shared" si="0"/>
        <v>0</v>
      </c>
      <c r="AI8" s="20">
        <f t="shared" si="1"/>
        <v>0</v>
      </c>
    </row>
    <row r="9" spans="1:35" ht="20.100000000000001" customHeight="1">
      <c r="A9" s="24" t="str">
        <f>ÖSSZES!$A$100</f>
        <v>Iványi Roland</v>
      </c>
      <c r="B9" s="19" t="s">
        <v>63</v>
      </c>
      <c r="C9" s="39" t="s">
        <v>2</v>
      </c>
      <c r="D9" s="39" t="s">
        <v>2</v>
      </c>
      <c r="E9" s="19"/>
      <c r="F9" s="19"/>
      <c r="G9" s="19"/>
      <c r="H9" s="19"/>
      <c r="I9" s="19"/>
      <c r="J9" s="39" t="s">
        <v>2</v>
      </c>
      <c r="K9" s="39" t="s">
        <v>2</v>
      </c>
      <c r="L9" s="19"/>
      <c r="M9" s="19"/>
      <c r="N9" s="19"/>
      <c r="O9" s="19"/>
      <c r="P9" s="19"/>
      <c r="Q9" s="39" t="s">
        <v>2</v>
      </c>
      <c r="R9" s="39" t="s">
        <v>2</v>
      </c>
      <c r="S9" s="19"/>
      <c r="T9" s="19"/>
      <c r="U9" s="19"/>
      <c r="V9" s="19"/>
      <c r="W9" s="19"/>
      <c r="X9" s="39" t="s">
        <v>2</v>
      </c>
      <c r="Y9" s="39" t="s">
        <v>2</v>
      </c>
      <c r="Z9" s="19"/>
      <c r="AA9" s="19"/>
      <c r="AB9" s="19"/>
      <c r="AC9" s="19"/>
      <c r="AD9" s="19"/>
      <c r="AE9" s="39" t="s">
        <v>2</v>
      </c>
      <c r="AF9" s="39" t="s">
        <v>2</v>
      </c>
      <c r="AH9" s="20">
        <f t="shared" si="0"/>
        <v>0</v>
      </c>
      <c r="AI9" s="20">
        <f t="shared" si="1"/>
        <v>0</v>
      </c>
    </row>
    <row r="10" spans="1:35" ht="20.100000000000001" customHeight="1">
      <c r="A10" s="24" t="str">
        <f>ÖSSZES!$A$101</f>
        <v>Oláh Erika</v>
      </c>
      <c r="B10" s="19" t="s">
        <v>63</v>
      </c>
      <c r="C10" s="39" t="s">
        <v>2</v>
      </c>
      <c r="D10" s="39" t="s">
        <v>2</v>
      </c>
      <c r="E10" s="19"/>
      <c r="F10" s="19"/>
      <c r="G10" s="19"/>
      <c r="H10" s="19"/>
      <c r="I10" s="19"/>
      <c r="J10" s="39" t="s">
        <v>2</v>
      </c>
      <c r="K10" s="39" t="s">
        <v>2</v>
      </c>
      <c r="L10" s="19"/>
      <c r="M10" s="19"/>
      <c r="N10" s="19"/>
      <c r="O10" s="19"/>
      <c r="P10" s="19"/>
      <c r="Q10" s="39" t="s">
        <v>2</v>
      </c>
      <c r="R10" s="39" t="s">
        <v>2</v>
      </c>
      <c r="S10" s="19"/>
      <c r="T10" s="19"/>
      <c r="U10" s="19"/>
      <c r="V10" s="19"/>
      <c r="W10" s="19"/>
      <c r="X10" s="39" t="s">
        <v>2</v>
      </c>
      <c r="Y10" s="39" t="s">
        <v>2</v>
      </c>
      <c r="Z10" s="19"/>
      <c r="AA10" s="19"/>
      <c r="AB10" s="19"/>
      <c r="AC10" s="19"/>
      <c r="AD10" s="19"/>
      <c r="AE10" s="39" t="s">
        <v>2</v>
      </c>
      <c r="AF10" s="39" t="s">
        <v>2</v>
      </c>
      <c r="AH10" s="20">
        <f t="shared" si="0"/>
        <v>0</v>
      </c>
      <c r="AI10" s="20">
        <f t="shared" si="1"/>
        <v>0</v>
      </c>
    </row>
    <row r="11" spans="1:35" ht="20.100000000000001" customHeight="1">
      <c r="A11" s="24" t="str">
        <f>ÖSSZES!$A$102</f>
        <v>Tóth János</v>
      </c>
      <c r="B11" s="19" t="s">
        <v>63</v>
      </c>
      <c r="C11" s="39" t="s">
        <v>2</v>
      </c>
      <c r="D11" s="39" t="s">
        <v>2</v>
      </c>
      <c r="E11" s="19"/>
      <c r="F11" s="19"/>
      <c r="G11" s="19"/>
      <c r="H11" s="19"/>
      <c r="I11" s="19"/>
      <c r="J11" s="39" t="s">
        <v>2</v>
      </c>
      <c r="K11" s="39" t="s">
        <v>2</v>
      </c>
      <c r="L11" s="19"/>
      <c r="M11" s="19"/>
      <c r="N11" s="19"/>
      <c r="O11" s="19"/>
      <c r="P11" s="19"/>
      <c r="Q11" s="39" t="s">
        <v>2</v>
      </c>
      <c r="R11" s="39" t="s">
        <v>2</v>
      </c>
      <c r="S11" s="19"/>
      <c r="T11" s="19"/>
      <c r="U11" s="19"/>
      <c r="V11" s="19"/>
      <c r="W11" s="19"/>
      <c r="X11" s="39" t="s">
        <v>2</v>
      </c>
      <c r="Y11" s="39" t="s">
        <v>2</v>
      </c>
      <c r="Z11" s="19"/>
      <c r="AA11" s="19"/>
      <c r="AB11" s="19"/>
      <c r="AC11" s="19"/>
      <c r="AD11" s="19"/>
      <c r="AE11" s="39" t="s">
        <v>2</v>
      </c>
      <c r="AF11" s="39" t="s">
        <v>2</v>
      </c>
      <c r="AH11" s="20">
        <f t="shared" si="0"/>
        <v>0</v>
      </c>
      <c r="AI11" s="20">
        <f t="shared" si="1"/>
        <v>0</v>
      </c>
    </row>
    <row r="12" spans="1:35" ht="20.100000000000001" customHeight="1">
      <c r="A12" s="24" t="str">
        <f>ÖSSZES!$A$103</f>
        <v>Tóth Krisztián</v>
      </c>
      <c r="B12" s="19" t="s">
        <v>63</v>
      </c>
      <c r="C12" s="39" t="s">
        <v>2</v>
      </c>
      <c r="D12" s="39" t="s">
        <v>2</v>
      </c>
      <c r="E12" s="19"/>
      <c r="F12" s="19"/>
      <c r="G12" s="19"/>
      <c r="H12" s="19"/>
      <c r="I12" s="19"/>
      <c r="J12" s="39" t="s">
        <v>2</v>
      </c>
      <c r="K12" s="39" t="s">
        <v>2</v>
      </c>
      <c r="L12" s="19"/>
      <c r="M12" s="19"/>
      <c r="N12" s="19"/>
      <c r="O12" s="19"/>
      <c r="P12" s="19"/>
      <c r="Q12" s="39" t="s">
        <v>2</v>
      </c>
      <c r="R12" s="39" t="s">
        <v>2</v>
      </c>
      <c r="S12" s="19"/>
      <c r="T12" s="19"/>
      <c r="U12" s="19"/>
      <c r="V12" s="19"/>
      <c r="W12" s="19"/>
      <c r="X12" s="39" t="s">
        <v>2</v>
      </c>
      <c r="Y12" s="39" t="s">
        <v>2</v>
      </c>
      <c r="Z12" s="19"/>
      <c r="AA12" s="19"/>
      <c r="AB12" s="19"/>
      <c r="AC12" s="19"/>
      <c r="AD12" s="19"/>
      <c r="AE12" s="39" t="s">
        <v>2</v>
      </c>
      <c r="AF12" s="39" t="s">
        <v>2</v>
      </c>
      <c r="AH12" s="20">
        <f t="shared" si="0"/>
        <v>0</v>
      </c>
      <c r="AI12" s="20">
        <f t="shared" si="1"/>
        <v>0</v>
      </c>
    </row>
    <row r="13" spans="1:35" ht="20.100000000000001" hidden="1" customHeight="1">
      <c r="A13" s="24" t="str">
        <f>ÖSSZES!$A$104</f>
        <v>Név10</v>
      </c>
      <c r="B13" s="19" t="s">
        <v>63</v>
      </c>
      <c r="C13" s="39" t="s">
        <v>2</v>
      </c>
      <c r="D13" s="39" t="s">
        <v>2</v>
      </c>
      <c r="E13" s="19"/>
      <c r="F13" s="19"/>
      <c r="G13" s="19"/>
      <c r="H13" s="19"/>
      <c r="I13" s="19"/>
      <c r="J13" s="39" t="s">
        <v>2</v>
      </c>
      <c r="K13" s="39" t="s">
        <v>2</v>
      </c>
      <c r="L13" s="19"/>
      <c r="M13" s="19"/>
      <c r="N13" s="19"/>
      <c r="O13" s="19"/>
      <c r="P13" s="19"/>
      <c r="Q13" s="39" t="s">
        <v>2</v>
      </c>
      <c r="R13" s="39" t="s">
        <v>2</v>
      </c>
      <c r="S13" s="19"/>
      <c r="T13" s="19"/>
      <c r="U13" s="19"/>
      <c r="V13" s="19"/>
      <c r="W13" s="19"/>
      <c r="X13" s="39" t="s">
        <v>2</v>
      </c>
      <c r="Y13" s="39" t="s">
        <v>2</v>
      </c>
      <c r="Z13" s="19"/>
      <c r="AA13" s="19"/>
      <c r="AB13" s="19"/>
      <c r="AC13" s="19"/>
      <c r="AD13" s="19"/>
      <c r="AE13" s="39" t="s">
        <v>2</v>
      </c>
      <c r="AF13" s="39" t="s">
        <v>2</v>
      </c>
      <c r="AH13" s="20">
        <f t="shared" si="0"/>
        <v>0</v>
      </c>
      <c r="AI13" s="20">
        <f t="shared" si="1"/>
        <v>0</v>
      </c>
    </row>
    <row r="14" spans="1:35" ht="20.100000000000001" hidden="1" customHeight="1">
      <c r="A14" s="24" t="str">
        <f>ÖSSZES!$A$105</f>
        <v>Név11</v>
      </c>
      <c r="B14" s="19" t="s">
        <v>63</v>
      </c>
      <c r="C14" s="39" t="s">
        <v>2</v>
      </c>
      <c r="D14" s="39" t="s">
        <v>2</v>
      </c>
      <c r="E14" s="19"/>
      <c r="F14" s="19"/>
      <c r="G14" s="19"/>
      <c r="H14" s="19"/>
      <c r="I14" s="19"/>
      <c r="J14" s="39" t="s">
        <v>2</v>
      </c>
      <c r="K14" s="39" t="s">
        <v>2</v>
      </c>
      <c r="L14" s="19"/>
      <c r="M14" s="19"/>
      <c r="N14" s="19"/>
      <c r="O14" s="19"/>
      <c r="P14" s="19"/>
      <c r="Q14" s="39" t="s">
        <v>2</v>
      </c>
      <c r="R14" s="39" t="s">
        <v>2</v>
      </c>
      <c r="S14" s="19"/>
      <c r="T14" s="19"/>
      <c r="U14" s="19"/>
      <c r="V14" s="19"/>
      <c r="W14" s="19"/>
      <c r="X14" s="39" t="s">
        <v>2</v>
      </c>
      <c r="Y14" s="39" t="s">
        <v>2</v>
      </c>
      <c r="Z14" s="19"/>
      <c r="AA14" s="19"/>
      <c r="AB14" s="19"/>
      <c r="AC14" s="19"/>
      <c r="AD14" s="19"/>
      <c r="AE14" s="39" t="s">
        <v>2</v>
      </c>
      <c r="AF14" s="39" t="s">
        <v>2</v>
      </c>
      <c r="AH14" s="20">
        <f t="shared" si="0"/>
        <v>0</v>
      </c>
      <c r="AI14" s="20">
        <f t="shared" si="1"/>
        <v>0</v>
      </c>
    </row>
    <row r="15" spans="1:35" ht="20.100000000000001" hidden="1" customHeight="1">
      <c r="A15" s="24" t="str">
        <f>ÖSSZES!$A$106</f>
        <v>Név12</v>
      </c>
      <c r="B15" s="19" t="s">
        <v>63</v>
      </c>
      <c r="C15" s="39" t="s">
        <v>2</v>
      </c>
      <c r="D15" s="39" t="s">
        <v>2</v>
      </c>
      <c r="E15" s="19"/>
      <c r="F15" s="19"/>
      <c r="G15" s="19"/>
      <c r="H15" s="19"/>
      <c r="I15" s="19"/>
      <c r="J15" s="39" t="s">
        <v>2</v>
      </c>
      <c r="K15" s="39" t="s">
        <v>2</v>
      </c>
      <c r="L15" s="19"/>
      <c r="M15" s="19"/>
      <c r="N15" s="19"/>
      <c r="O15" s="19"/>
      <c r="P15" s="19"/>
      <c r="Q15" s="39" t="s">
        <v>2</v>
      </c>
      <c r="R15" s="39" t="s">
        <v>2</v>
      </c>
      <c r="S15" s="19"/>
      <c r="T15" s="19"/>
      <c r="U15" s="19"/>
      <c r="V15" s="19"/>
      <c r="W15" s="19"/>
      <c r="X15" s="39" t="s">
        <v>2</v>
      </c>
      <c r="Y15" s="39" t="s">
        <v>2</v>
      </c>
      <c r="Z15" s="19"/>
      <c r="AA15" s="19"/>
      <c r="AB15" s="19"/>
      <c r="AC15" s="19"/>
      <c r="AD15" s="19"/>
      <c r="AE15" s="39" t="s">
        <v>2</v>
      </c>
      <c r="AF15" s="39" t="s">
        <v>2</v>
      </c>
      <c r="AH15" s="20">
        <f t="shared" si="0"/>
        <v>0</v>
      </c>
      <c r="AI15" s="20">
        <f t="shared" si="1"/>
        <v>0</v>
      </c>
    </row>
    <row r="16" spans="1:35" ht="20.100000000000001" hidden="1" customHeight="1">
      <c r="A16" s="24" t="str">
        <f>ÖSSZES!$A$107</f>
        <v>Név13</v>
      </c>
      <c r="B16" s="19" t="s">
        <v>63</v>
      </c>
      <c r="C16" s="39" t="s">
        <v>2</v>
      </c>
      <c r="D16" s="39" t="s">
        <v>2</v>
      </c>
      <c r="E16" s="19"/>
      <c r="F16" s="19"/>
      <c r="G16" s="19"/>
      <c r="H16" s="19"/>
      <c r="I16" s="19"/>
      <c r="J16" s="39" t="s">
        <v>2</v>
      </c>
      <c r="K16" s="39" t="s">
        <v>2</v>
      </c>
      <c r="L16" s="19"/>
      <c r="M16" s="19"/>
      <c r="N16" s="19"/>
      <c r="O16" s="19"/>
      <c r="P16" s="19"/>
      <c r="Q16" s="39" t="s">
        <v>2</v>
      </c>
      <c r="R16" s="39" t="s">
        <v>2</v>
      </c>
      <c r="S16" s="19"/>
      <c r="T16" s="19"/>
      <c r="U16" s="19"/>
      <c r="V16" s="19"/>
      <c r="W16" s="19"/>
      <c r="X16" s="39" t="s">
        <v>2</v>
      </c>
      <c r="Y16" s="39" t="s">
        <v>2</v>
      </c>
      <c r="Z16" s="19"/>
      <c r="AA16" s="19"/>
      <c r="AB16" s="19"/>
      <c r="AC16" s="19"/>
      <c r="AD16" s="19"/>
      <c r="AE16" s="39" t="s">
        <v>2</v>
      </c>
      <c r="AF16" s="39" t="s">
        <v>2</v>
      </c>
      <c r="AH16" s="20">
        <f t="shared" si="0"/>
        <v>0</v>
      </c>
      <c r="AI16" s="20">
        <f t="shared" si="1"/>
        <v>0</v>
      </c>
    </row>
    <row r="17" spans="1:35" ht="20.100000000000001" hidden="1" customHeight="1">
      <c r="A17" s="24" t="str">
        <f>ÖSSZES!$A$108</f>
        <v>Név14</v>
      </c>
      <c r="B17" s="19" t="s">
        <v>63</v>
      </c>
      <c r="C17" s="39" t="s">
        <v>2</v>
      </c>
      <c r="D17" s="39" t="s">
        <v>2</v>
      </c>
      <c r="E17" s="19"/>
      <c r="F17" s="19"/>
      <c r="G17" s="19"/>
      <c r="H17" s="19"/>
      <c r="I17" s="19"/>
      <c r="J17" s="39" t="s">
        <v>2</v>
      </c>
      <c r="K17" s="39" t="s">
        <v>2</v>
      </c>
      <c r="L17" s="19"/>
      <c r="M17" s="19"/>
      <c r="N17" s="19"/>
      <c r="O17" s="19"/>
      <c r="P17" s="19"/>
      <c r="Q17" s="39" t="s">
        <v>2</v>
      </c>
      <c r="R17" s="39" t="s">
        <v>2</v>
      </c>
      <c r="S17" s="19"/>
      <c r="T17" s="19"/>
      <c r="U17" s="19"/>
      <c r="V17" s="19"/>
      <c r="W17" s="19"/>
      <c r="X17" s="39" t="s">
        <v>2</v>
      </c>
      <c r="Y17" s="39" t="s">
        <v>2</v>
      </c>
      <c r="Z17" s="19"/>
      <c r="AA17" s="19"/>
      <c r="AB17" s="19"/>
      <c r="AC17" s="19"/>
      <c r="AD17" s="19"/>
      <c r="AE17" s="39" t="s">
        <v>2</v>
      </c>
      <c r="AF17" s="39" t="s">
        <v>2</v>
      </c>
      <c r="AH17" s="20">
        <f t="shared" si="0"/>
        <v>0</v>
      </c>
      <c r="AI17" s="20">
        <f t="shared" si="1"/>
        <v>0</v>
      </c>
    </row>
    <row r="18" spans="1:35" ht="20.100000000000001" hidden="1" customHeight="1">
      <c r="A18" s="24" t="str">
        <f>ÖSSZES!$A$109</f>
        <v>Név15</v>
      </c>
      <c r="B18" s="19" t="s">
        <v>63</v>
      </c>
      <c r="C18" s="39" t="s">
        <v>2</v>
      </c>
      <c r="D18" s="39" t="s">
        <v>2</v>
      </c>
      <c r="E18" s="19"/>
      <c r="F18" s="19"/>
      <c r="G18" s="19"/>
      <c r="H18" s="19"/>
      <c r="I18" s="19"/>
      <c r="J18" s="39" t="s">
        <v>2</v>
      </c>
      <c r="K18" s="39" t="s">
        <v>2</v>
      </c>
      <c r="L18" s="19"/>
      <c r="M18" s="19"/>
      <c r="N18" s="19"/>
      <c r="O18" s="19"/>
      <c r="P18" s="19"/>
      <c r="Q18" s="39" t="s">
        <v>2</v>
      </c>
      <c r="R18" s="39" t="s">
        <v>2</v>
      </c>
      <c r="S18" s="19"/>
      <c r="T18" s="19"/>
      <c r="U18" s="19"/>
      <c r="V18" s="19"/>
      <c r="W18" s="19"/>
      <c r="X18" s="39" t="s">
        <v>2</v>
      </c>
      <c r="Y18" s="39" t="s">
        <v>2</v>
      </c>
      <c r="Z18" s="19"/>
      <c r="AA18" s="19"/>
      <c r="AB18" s="19"/>
      <c r="AC18" s="19"/>
      <c r="AD18" s="19"/>
      <c r="AE18" s="39" t="s">
        <v>2</v>
      </c>
      <c r="AF18" s="39" t="s">
        <v>2</v>
      </c>
      <c r="AH18" s="20">
        <f t="shared" si="0"/>
        <v>0</v>
      </c>
      <c r="AI18" s="20">
        <f t="shared" si="1"/>
        <v>0</v>
      </c>
    </row>
    <row r="19" spans="1:35" ht="20.100000000000001" hidden="1" customHeight="1">
      <c r="A19" s="24" t="str">
        <f>ÖSSZES!$A$110</f>
        <v>Név16</v>
      </c>
      <c r="B19" s="19" t="s">
        <v>63</v>
      </c>
      <c r="C19" s="39" t="s">
        <v>2</v>
      </c>
      <c r="D19" s="39" t="s">
        <v>2</v>
      </c>
      <c r="E19" s="19"/>
      <c r="F19" s="19"/>
      <c r="G19" s="19"/>
      <c r="H19" s="19"/>
      <c r="I19" s="19"/>
      <c r="J19" s="39" t="s">
        <v>2</v>
      </c>
      <c r="K19" s="39" t="s">
        <v>2</v>
      </c>
      <c r="L19" s="19"/>
      <c r="M19" s="19"/>
      <c r="N19" s="19"/>
      <c r="O19" s="19"/>
      <c r="P19" s="19"/>
      <c r="Q19" s="39" t="s">
        <v>2</v>
      </c>
      <c r="R19" s="39" t="s">
        <v>2</v>
      </c>
      <c r="S19" s="19"/>
      <c r="T19" s="19"/>
      <c r="U19" s="19"/>
      <c r="V19" s="19"/>
      <c r="W19" s="19"/>
      <c r="X19" s="39" t="s">
        <v>2</v>
      </c>
      <c r="Y19" s="39" t="s">
        <v>2</v>
      </c>
      <c r="Z19" s="19"/>
      <c r="AA19" s="19"/>
      <c r="AB19" s="19"/>
      <c r="AC19" s="19"/>
      <c r="AD19" s="19"/>
      <c r="AE19" s="39" t="s">
        <v>2</v>
      </c>
      <c r="AF19" s="39" t="s">
        <v>2</v>
      </c>
      <c r="AH19" s="20">
        <f t="shared" si="0"/>
        <v>0</v>
      </c>
      <c r="AI19" s="20">
        <f t="shared" si="1"/>
        <v>0</v>
      </c>
    </row>
    <row r="20" spans="1:35" ht="20.100000000000001" hidden="1" customHeight="1">
      <c r="A20" s="24" t="str">
        <f>ÖSSZES!$A$111</f>
        <v>Név17</v>
      </c>
      <c r="B20" s="19" t="s">
        <v>63</v>
      </c>
      <c r="C20" s="39" t="s">
        <v>2</v>
      </c>
      <c r="D20" s="39" t="s">
        <v>2</v>
      </c>
      <c r="E20" s="19"/>
      <c r="F20" s="19"/>
      <c r="G20" s="19"/>
      <c r="H20" s="19"/>
      <c r="I20" s="19"/>
      <c r="J20" s="39" t="s">
        <v>2</v>
      </c>
      <c r="K20" s="39" t="s">
        <v>2</v>
      </c>
      <c r="L20" s="19"/>
      <c r="M20" s="19"/>
      <c r="N20" s="19"/>
      <c r="O20" s="19"/>
      <c r="P20" s="19"/>
      <c r="Q20" s="39" t="s">
        <v>2</v>
      </c>
      <c r="R20" s="39" t="s">
        <v>2</v>
      </c>
      <c r="S20" s="19"/>
      <c r="T20" s="19"/>
      <c r="U20" s="19"/>
      <c r="V20" s="19"/>
      <c r="W20" s="19"/>
      <c r="X20" s="39" t="s">
        <v>2</v>
      </c>
      <c r="Y20" s="39" t="s">
        <v>2</v>
      </c>
      <c r="Z20" s="19"/>
      <c r="AA20" s="19"/>
      <c r="AB20" s="19"/>
      <c r="AC20" s="19"/>
      <c r="AD20" s="19"/>
      <c r="AE20" s="39" t="s">
        <v>2</v>
      </c>
      <c r="AF20" s="39" t="s">
        <v>2</v>
      </c>
      <c r="AH20" s="20">
        <f t="shared" si="0"/>
        <v>0</v>
      </c>
      <c r="AI20" s="20">
        <f t="shared" si="1"/>
        <v>0</v>
      </c>
    </row>
    <row r="21" spans="1:35" ht="20.100000000000001" hidden="1" customHeight="1">
      <c r="A21" s="24" t="str">
        <f>ÖSSZES!$A$112</f>
        <v>Név18</v>
      </c>
      <c r="B21" s="19" t="s">
        <v>63</v>
      </c>
      <c r="C21" s="39" t="s">
        <v>2</v>
      </c>
      <c r="D21" s="39" t="s">
        <v>2</v>
      </c>
      <c r="E21" s="19"/>
      <c r="F21" s="19"/>
      <c r="G21" s="19"/>
      <c r="H21" s="19"/>
      <c r="I21" s="19"/>
      <c r="J21" s="39" t="s">
        <v>2</v>
      </c>
      <c r="K21" s="39" t="s">
        <v>2</v>
      </c>
      <c r="L21" s="19"/>
      <c r="M21" s="19"/>
      <c r="N21" s="19"/>
      <c r="O21" s="19"/>
      <c r="P21" s="19"/>
      <c r="Q21" s="39" t="s">
        <v>2</v>
      </c>
      <c r="R21" s="39" t="s">
        <v>2</v>
      </c>
      <c r="S21" s="19"/>
      <c r="T21" s="19"/>
      <c r="U21" s="19"/>
      <c r="V21" s="19"/>
      <c r="W21" s="19"/>
      <c r="X21" s="39" t="s">
        <v>2</v>
      </c>
      <c r="Y21" s="39" t="s">
        <v>2</v>
      </c>
      <c r="Z21" s="19"/>
      <c r="AA21" s="19"/>
      <c r="AB21" s="19"/>
      <c r="AC21" s="19"/>
      <c r="AD21" s="19"/>
      <c r="AE21" s="39" t="s">
        <v>2</v>
      </c>
      <c r="AF21" s="39" t="s">
        <v>2</v>
      </c>
      <c r="AH21" s="20">
        <f t="shared" si="0"/>
        <v>0</v>
      </c>
      <c r="AI21" s="20">
        <f t="shared" si="1"/>
        <v>0</v>
      </c>
    </row>
    <row r="22" spans="1:35" ht="20.100000000000001" hidden="1" customHeight="1">
      <c r="A22" s="24" t="str">
        <f>ÖSSZES!$A$113</f>
        <v>Név19</v>
      </c>
      <c r="B22" s="19" t="s">
        <v>63</v>
      </c>
      <c r="C22" s="39" t="s">
        <v>2</v>
      </c>
      <c r="D22" s="39" t="s">
        <v>2</v>
      </c>
      <c r="E22" s="19"/>
      <c r="F22" s="19"/>
      <c r="G22" s="19"/>
      <c r="H22" s="19"/>
      <c r="I22" s="19"/>
      <c r="J22" s="39" t="s">
        <v>2</v>
      </c>
      <c r="K22" s="39" t="s">
        <v>2</v>
      </c>
      <c r="L22" s="19"/>
      <c r="M22" s="19"/>
      <c r="N22" s="19"/>
      <c r="O22" s="19"/>
      <c r="P22" s="19"/>
      <c r="Q22" s="39" t="s">
        <v>2</v>
      </c>
      <c r="R22" s="39" t="s">
        <v>2</v>
      </c>
      <c r="S22" s="19"/>
      <c r="T22" s="19"/>
      <c r="U22" s="19"/>
      <c r="V22" s="19"/>
      <c r="W22" s="19"/>
      <c r="X22" s="39" t="s">
        <v>2</v>
      </c>
      <c r="Y22" s="39" t="s">
        <v>2</v>
      </c>
      <c r="Z22" s="19"/>
      <c r="AA22" s="19"/>
      <c r="AB22" s="19"/>
      <c r="AC22" s="19"/>
      <c r="AD22" s="19"/>
      <c r="AE22" s="39" t="s">
        <v>2</v>
      </c>
      <c r="AF22" s="39" t="s">
        <v>2</v>
      </c>
      <c r="AH22" s="20">
        <f t="shared" si="0"/>
        <v>0</v>
      </c>
      <c r="AI22" s="20">
        <f t="shared" si="1"/>
        <v>0</v>
      </c>
    </row>
    <row r="23" spans="1:35" ht="20.100000000000001" hidden="1" customHeight="1">
      <c r="A23" s="24" t="str">
        <f>ÖSSZES!$A$114</f>
        <v>Név20</v>
      </c>
      <c r="B23" s="19" t="s">
        <v>63</v>
      </c>
      <c r="C23" s="39" t="s">
        <v>2</v>
      </c>
      <c r="D23" s="39" t="s">
        <v>2</v>
      </c>
      <c r="E23" s="19"/>
      <c r="F23" s="19"/>
      <c r="G23" s="19"/>
      <c r="H23" s="19"/>
      <c r="I23" s="19"/>
      <c r="J23" s="39" t="s">
        <v>2</v>
      </c>
      <c r="K23" s="39" t="s">
        <v>2</v>
      </c>
      <c r="L23" s="19"/>
      <c r="M23" s="19"/>
      <c r="N23" s="19"/>
      <c r="O23" s="19"/>
      <c r="P23" s="19"/>
      <c r="Q23" s="39" t="s">
        <v>2</v>
      </c>
      <c r="R23" s="39" t="s">
        <v>2</v>
      </c>
      <c r="S23" s="19"/>
      <c r="T23" s="19"/>
      <c r="U23" s="19"/>
      <c r="V23" s="19"/>
      <c r="W23" s="19"/>
      <c r="X23" s="39" t="s">
        <v>2</v>
      </c>
      <c r="Y23" s="39" t="s">
        <v>2</v>
      </c>
      <c r="Z23" s="19"/>
      <c r="AA23" s="19"/>
      <c r="AB23" s="19"/>
      <c r="AC23" s="19"/>
      <c r="AD23" s="19"/>
      <c r="AE23" s="39" t="s">
        <v>2</v>
      </c>
      <c r="AF23" s="39" t="s">
        <v>2</v>
      </c>
      <c r="AH23" s="20">
        <f t="shared" si="0"/>
        <v>0</v>
      </c>
      <c r="AI23" s="20">
        <f t="shared" si="1"/>
        <v>0</v>
      </c>
    </row>
    <row r="24" spans="1:35" ht="20.100000000000001" customHeight="1"/>
    <row r="25" spans="1:35" s="11" customFormat="1" ht="20.100000000000001" customHeight="1">
      <c r="A25" s="57" t="s">
        <v>6</v>
      </c>
      <c r="B25" s="23">
        <v>1</v>
      </c>
      <c r="C25" s="23">
        <v>2</v>
      </c>
      <c r="D25" s="23">
        <v>3</v>
      </c>
      <c r="E25" s="23">
        <v>4</v>
      </c>
      <c r="F25" s="23">
        <v>5</v>
      </c>
      <c r="G25" s="23">
        <v>6</v>
      </c>
      <c r="H25" s="23">
        <v>7</v>
      </c>
      <c r="I25" s="23">
        <v>8</v>
      </c>
      <c r="J25" s="23">
        <v>9</v>
      </c>
      <c r="K25" s="23">
        <v>10</v>
      </c>
      <c r="L25" s="23">
        <v>11</v>
      </c>
      <c r="M25" s="23">
        <v>12</v>
      </c>
      <c r="N25" s="23">
        <v>13</v>
      </c>
      <c r="O25" s="23">
        <v>14</v>
      </c>
      <c r="P25" s="23">
        <v>15</v>
      </c>
      <c r="Q25" s="23">
        <v>16</v>
      </c>
      <c r="R25" s="23">
        <v>17</v>
      </c>
      <c r="S25" s="23">
        <v>18</v>
      </c>
      <c r="T25" s="23">
        <v>19</v>
      </c>
      <c r="U25" s="23">
        <v>20</v>
      </c>
      <c r="V25" s="23">
        <v>21</v>
      </c>
      <c r="W25" s="23">
        <v>22</v>
      </c>
      <c r="X25" s="23">
        <v>23</v>
      </c>
      <c r="Y25" s="23">
        <v>24</v>
      </c>
      <c r="Z25" s="23">
        <v>25</v>
      </c>
      <c r="AA25" s="23">
        <v>26</v>
      </c>
      <c r="AB25" s="23">
        <v>27</v>
      </c>
      <c r="AC25" s="23">
        <v>28</v>
      </c>
      <c r="AH25" s="59" t="s">
        <v>18</v>
      </c>
      <c r="AI25" s="59" t="s">
        <v>19</v>
      </c>
    </row>
    <row r="26" spans="1:35" ht="20.100000000000001" customHeight="1">
      <c r="A26" s="61"/>
      <c r="B26" s="15" t="str">
        <f>'2021'!B12</f>
        <v>H</v>
      </c>
      <c r="C26" s="15" t="str">
        <f>'2021'!C12</f>
        <v>K</v>
      </c>
      <c r="D26" s="15" t="str">
        <f>'2021'!D12</f>
        <v>Sze</v>
      </c>
      <c r="E26" s="15" t="str">
        <f>'2021'!E12</f>
        <v>Cs</v>
      </c>
      <c r="F26" s="15" t="str">
        <f>'2021'!F12</f>
        <v>P</v>
      </c>
      <c r="G26" s="15" t="str">
        <f>'2021'!G12</f>
        <v>Szo</v>
      </c>
      <c r="H26" s="15" t="str">
        <f>'2021'!H12</f>
        <v>V</v>
      </c>
      <c r="I26" s="15" t="str">
        <f>'2021'!I12</f>
        <v>H</v>
      </c>
      <c r="J26" s="15" t="str">
        <f>'2021'!J12</f>
        <v>K</v>
      </c>
      <c r="K26" s="15" t="str">
        <f>'2021'!K12</f>
        <v>Sze</v>
      </c>
      <c r="L26" s="15" t="str">
        <f>'2021'!L12</f>
        <v>Cs</v>
      </c>
      <c r="M26" s="15" t="str">
        <f>'2021'!M12</f>
        <v>P</v>
      </c>
      <c r="N26" s="15" t="str">
        <f>'2021'!N12</f>
        <v>Szo</v>
      </c>
      <c r="O26" s="15" t="str">
        <f>'2021'!O12</f>
        <v>V</v>
      </c>
      <c r="P26" s="15" t="str">
        <f>'2021'!P12</f>
        <v>H</v>
      </c>
      <c r="Q26" s="15" t="str">
        <f>'2021'!Q12</f>
        <v>K</v>
      </c>
      <c r="R26" s="15" t="str">
        <f>'2021'!R12</f>
        <v>Sze</v>
      </c>
      <c r="S26" s="15" t="str">
        <f>'2021'!S12</f>
        <v>Cs</v>
      </c>
      <c r="T26" s="15" t="str">
        <f>'2021'!T12</f>
        <v>P</v>
      </c>
      <c r="U26" s="15" t="str">
        <f>'2021'!U12</f>
        <v>Szo</v>
      </c>
      <c r="V26" s="15" t="str">
        <f>'2021'!V12</f>
        <v>V</v>
      </c>
      <c r="W26" s="15" t="str">
        <f>'2021'!W12</f>
        <v>H</v>
      </c>
      <c r="X26" s="15" t="str">
        <f>'2021'!X12</f>
        <v>K</v>
      </c>
      <c r="Y26" s="15" t="str">
        <f>'2021'!Y12</f>
        <v>Sze</v>
      </c>
      <c r="Z26" s="15" t="str">
        <f>'2021'!Z12</f>
        <v>Cs</v>
      </c>
      <c r="AA26" s="15" t="str">
        <f>'2021'!AA12</f>
        <v>P</v>
      </c>
      <c r="AB26" s="15" t="str">
        <f>'2021'!AB12</f>
        <v>Szo</v>
      </c>
      <c r="AC26" s="15" t="str">
        <f>'2021'!AC12</f>
        <v>V</v>
      </c>
      <c r="AD26" s="6"/>
      <c r="AE26" s="6"/>
      <c r="AF26" s="6"/>
      <c r="AH26" s="60"/>
      <c r="AI26" s="60"/>
    </row>
    <row r="27" spans="1:35" ht="20.100000000000001" customHeight="1">
      <c r="A27" s="6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6"/>
      <c r="AE27" s="6"/>
      <c r="AF27" s="6"/>
      <c r="AH27" s="60"/>
      <c r="AI27" s="60"/>
    </row>
    <row r="28" spans="1:35" ht="20.100000000000001" customHeight="1">
      <c r="A28" s="24" t="str">
        <f>ÖSSZES!$A$95</f>
        <v>Kovács Kriszitán</v>
      </c>
      <c r="B28" s="39"/>
      <c r="C28" s="39"/>
      <c r="D28" s="39"/>
      <c r="E28" s="39"/>
      <c r="F28" s="39"/>
      <c r="G28" s="39" t="s">
        <v>2</v>
      </c>
      <c r="H28" s="39" t="s">
        <v>2</v>
      </c>
      <c r="I28" s="39"/>
      <c r="J28" s="39"/>
      <c r="K28" s="39"/>
      <c r="L28" s="39"/>
      <c r="M28" s="39"/>
      <c r="N28" s="39" t="s">
        <v>2</v>
      </c>
      <c r="O28" s="39" t="s">
        <v>2</v>
      </c>
      <c r="P28" s="39"/>
      <c r="Q28" s="39"/>
      <c r="R28" s="39"/>
      <c r="S28" s="39"/>
      <c r="T28" s="39"/>
      <c r="U28" s="39" t="s">
        <v>2</v>
      </c>
      <c r="V28" s="39" t="s">
        <v>2</v>
      </c>
      <c r="W28" s="39"/>
      <c r="X28" s="39"/>
      <c r="Y28" s="39"/>
      <c r="Z28" s="39"/>
      <c r="AA28" s="39"/>
      <c r="AB28" s="39" t="s">
        <v>2</v>
      </c>
      <c r="AC28" s="39" t="s">
        <v>2</v>
      </c>
      <c r="AD28" s="6"/>
      <c r="AE28" s="6"/>
      <c r="AF28" s="6"/>
      <c r="AH28" s="20">
        <f>1*COUNTIF(A28:AF28,"+")</f>
        <v>0</v>
      </c>
      <c r="AI28" s="20">
        <f t="shared" ref="AI28" si="2">1*COUNTIF(B28:AF28,"szf")</f>
        <v>0</v>
      </c>
    </row>
    <row r="29" spans="1:35" ht="20.100000000000001" customHeight="1">
      <c r="A29" s="24" t="str">
        <f>ÖSSZES!$A$96</f>
        <v>Besse Éva</v>
      </c>
      <c r="B29" s="39"/>
      <c r="C29" s="39"/>
      <c r="D29" s="39"/>
      <c r="E29" s="39"/>
      <c r="F29" s="39"/>
      <c r="G29" s="39" t="s">
        <v>2</v>
      </c>
      <c r="H29" s="39" t="s">
        <v>2</v>
      </c>
      <c r="I29" s="39"/>
      <c r="J29" s="39"/>
      <c r="K29" s="39"/>
      <c r="L29" s="39"/>
      <c r="M29" s="39"/>
      <c r="N29" s="39" t="s">
        <v>2</v>
      </c>
      <c r="O29" s="39" t="s">
        <v>2</v>
      </c>
      <c r="P29" s="39"/>
      <c r="Q29" s="39"/>
      <c r="R29" s="39"/>
      <c r="S29" s="39"/>
      <c r="T29" s="39"/>
      <c r="U29" s="39" t="s">
        <v>2</v>
      </c>
      <c r="V29" s="39" t="s">
        <v>2</v>
      </c>
      <c r="W29" s="39"/>
      <c r="X29" s="39"/>
      <c r="Y29" s="39"/>
      <c r="Z29" s="39"/>
      <c r="AA29" s="39"/>
      <c r="AB29" s="39" t="s">
        <v>2</v>
      </c>
      <c r="AC29" s="39" t="s">
        <v>2</v>
      </c>
      <c r="AD29" s="6"/>
      <c r="AE29" s="6"/>
      <c r="AF29" s="6"/>
      <c r="AH29" s="20">
        <f t="shared" ref="AH29:AH47" si="3">1*COUNTIF(A29:AF29,"+")</f>
        <v>0</v>
      </c>
      <c r="AI29" s="20">
        <f t="shared" ref="AI29:AI47" si="4">1*COUNTIF(B29:AF29,"szf")</f>
        <v>0</v>
      </c>
    </row>
    <row r="30" spans="1:35" ht="20.100000000000001" customHeight="1">
      <c r="A30" s="24" t="str">
        <f>ÖSSZES!$A$97</f>
        <v>Bulyáki Csaba</v>
      </c>
      <c r="B30" s="39"/>
      <c r="C30" s="39"/>
      <c r="D30" s="39"/>
      <c r="E30" s="39"/>
      <c r="F30" s="39"/>
      <c r="G30" s="39" t="s">
        <v>2</v>
      </c>
      <c r="H30" s="39" t="s">
        <v>2</v>
      </c>
      <c r="I30" s="39"/>
      <c r="J30" s="39"/>
      <c r="K30" s="39"/>
      <c r="L30" s="39"/>
      <c r="M30" s="39"/>
      <c r="N30" s="39" t="s">
        <v>2</v>
      </c>
      <c r="O30" s="39" t="s">
        <v>2</v>
      </c>
      <c r="P30" s="39"/>
      <c r="Q30" s="39"/>
      <c r="R30" s="39"/>
      <c r="S30" s="39"/>
      <c r="T30" s="39"/>
      <c r="U30" s="39" t="s">
        <v>2</v>
      </c>
      <c r="V30" s="39" t="s">
        <v>2</v>
      </c>
      <c r="W30" s="39"/>
      <c r="X30" s="39"/>
      <c r="Y30" s="39"/>
      <c r="Z30" s="39"/>
      <c r="AA30" s="39"/>
      <c r="AB30" s="39" t="s">
        <v>2</v>
      </c>
      <c r="AC30" s="39" t="s">
        <v>2</v>
      </c>
      <c r="AD30" s="6"/>
      <c r="AE30" s="6"/>
      <c r="AF30" s="6"/>
      <c r="AH30" s="20">
        <f t="shared" si="3"/>
        <v>0</v>
      </c>
      <c r="AI30" s="20">
        <f t="shared" si="4"/>
        <v>0</v>
      </c>
    </row>
    <row r="31" spans="1:35" ht="20.100000000000001" customHeight="1">
      <c r="A31" s="24" t="str">
        <f>ÖSSZES!$A$98</f>
        <v>Dancsi Attila</v>
      </c>
      <c r="B31" s="39"/>
      <c r="C31" s="39"/>
      <c r="D31" s="39"/>
      <c r="E31" s="39"/>
      <c r="F31" s="39"/>
      <c r="G31" s="39" t="s">
        <v>2</v>
      </c>
      <c r="H31" s="39" t="s">
        <v>2</v>
      </c>
      <c r="I31" s="39"/>
      <c r="J31" s="39"/>
      <c r="K31" s="39"/>
      <c r="L31" s="39"/>
      <c r="M31" s="39"/>
      <c r="N31" s="39" t="s">
        <v>2</v>
      </c>
      <c r="O31" s="39" t="s">
        <v>2</v>
      </c>
      <c r="P31" s="39"/>
      <c r="Q31" s="39"/>
      <c r="R31" s="39"/>
      <c r="S31" s="39"/>
      <c r="T31" s="39"/>
      <c r="U31" s="39" t="s">
        <v>2</v>
      </c>
      <c r="V31" s="39" t="s">
        <v>2</v>
      </c>
      <c r="W31" s="39"/>
      <c r="X31" s="39"/>
      <c r="Y31" s="39"/>
      <c r="Z31" s="39"/>
      <c r="AA31" s="39"/>
      <c r="AB31" s="39" t="s">
        <v>2</v>
      </c>
      <c r="AC31" s="39" t="s">
        <v>2</v>
      </c>
      <c r="AD31" s="6"/>
      <c r="AE31" s="6"/>
      <c r="AF31" s="6"/>
      <c r="AH31" s="20">
        <f t="shared" si="3"/>
        <v>0</v>
      </c>
      <c r="AI31" s="20">
        <f t="shared" si="4"/>
        <v>0</v>
      </c>
    </row>
    <row r="32" spans="1:35" ht="20.100000000000001" customHeight="1">
      <c r="A32" s="24" t="str">
        <f>ÖSSZES!$A$99</f>
        <v>Fekete Tamás</v>
      </c>
      <c r="B32" s="39"/>
      <c r="C32" s="39"/>
      <c r="D32" s="39"/>
      <c r="E32" s="39"/>
      <c r="F32" s="39"/>
      <c r="G32" s="39" t="s">
        <v>2</v>
      </c>
      <c r="H32" s="39" t="s">
        <v>2</v>
      </c>
      <c r="I32" s="39"/>
      <c r="J32" s="39"/>
      <c r="K32" s="39"/>
      <c r="L32" s="39"/>
      <c r="M32" s="39"/>
      <c r="N32" s="39" t="s">
        <v>2</v>
      </c>
      <c r="O32" s="39" t="s">
        <v>2</v>
      </c>
      <c r="P32" s="39"/>
      <c r="Q32" s="39"/>
      <c r="R32" s="39"/>
      <c r="S32" s="39"/>
      <c r="T32" s="39"/>
      <c r="U32" s="39" t="s">
        <v>2</v>
      </c>
      <c r="V32" s="39" t="s">
        <v>2</v>
      </c>
      <c r="W32" s="39"/>
      <c r="X32" s="39"/>
      <c r="Y32" s="39"/>
      <c r="Z32" s="39"/>
      <c r="AA32" s="39"/>
      <c r="AB32" s="39" t="s">
        <v>2</v>
      </c>
      <c r="AC32" s="39" t="s">
        <v>2</v>
      </c>
      <c r="AD32" s="6"/>
      <c r="AE32" s="6"/>
      <c r="AF32" s="6"/>
      <c r="AH32" s="20">
        <f t="shared" si="3"/>
        <v>0</v>
      </c>
      <c r="AI32" s="20">
        <f t="shared" si="4"/>
        <v>0</v>
      </c>
    </row>
    <row r="33" spans="1:35" ht="20.100000000000001" customHeight="1">
      <c r="A33" s="24" t="str">
        <f>ÖSSZES!$A$100</f>
        <v>Iványi Roland</v>
      </c>
      <c r="B33" s="39"/>
      <c r="C33" s="39"/>
      <c r="D33" s="39"/>
      <c r="E33" s="39"/>
      <c r="F33" s="39"/>
      <c r="G33" s="39" t="s">
        <v>2</v>
      </c>
      <c r="H33" s="39" t="s">
        <v>2</v>
      </c>
      <c r="I33" s="39"/>
      <c r="J33" s="39"/>
      <c r="K33" s="39"/>
      <c r="L33" s="39"/>
      <c r="M33" s="39"/>
      <c r="N33" s="39" t="s">
        <v>2</v>
      </c>
      <c r="O33" s="39" t="s">
        <v>2</v>
      </c>
      <c r="P33" s="39"/>
      <c r="Q33" s="39"/>
      <c r="R33" s="39"/>
      <c r="S33" s="39"/>
      <c r="T33" s="39"/>
      <c r="U33" s="39" t="s">
        <v>2</v>
      </c>
      <c r="V33" s="39" t="s">
        <v>2</v>
      </c>
      <c r="W33" s="39"/>
      <c r="X33" s="39"/>
      <c r="Y33" s="39"/>
      <c r="Z33" s="39"/>
      <c r="AA33" s="39"/>
      <c r="AB33" s="39" t="s">
        <v>2</v>
      </c>
      <c r="AC33" s="39" t="s">
        <v>2</v>
      </c>
      <c r="AD33" s="6"/>
      <c r="AE33" s="6"/>
      <c r="AF33" s="6"/>
      <c r="AH33" s="20">
        <f t="shared" si="3"/>
        <v>0</v>
      </c>
      <c r="AI33" s="20">
        <f t="shared" si="4"/>
        <v>0</v>
      </c>
    </row>
    <row r="34" spans="1:35" ht="20.100000000000001" customHeight="1">
      <c r="A34" s="24" t="str">
        <f>ÖSSZES!$A$101</f>
        <v>Oláh Erika</v>
      </c>
      <c r="B34" s="39"/>
      <c r="C34" s="39"/>
      <c r="D34" s="39"/>
      <c r="E34" s="39"/>
      <c r="F34" s="39"/>
      <c r="G34" s="39" t="s">
        <v>2</v>
      </c>
      <c r="H34" s="39" t="s">
        <v>2</v>
      </c>
      <c r="I34" s="39"/>
      <c r="J34" s="39"/>
      <c r="K34" s="39"/>
      <c r="L34" s="39"/>
      <c r="M34" s="39"/>
      <c r="N34" s="39" t="s">
        <v>2</v>
      </c>
      <c r="O34" s="39" t="s">
        <v>2</v>
      </c>
      <c r="P34" s="39"/>
      <c r="Q34" s="39"/>
      <c r="R34" s="39"/>
      <c r="S34" s="39"/>
      <c r="T34" s="39"/>
      <c r="U34" s="39" t="s">
        <v>2</v>
      </c>
      <c r="V34" s="39" t="s">
        <v>2</v>
      </c>
      <c r="W34" s="39"/>
      <c r="X34" s="39"/>
      <c r="Y34" s="39"/>
      <c r="Z34" s="39"/>
      <c r="AA34" s="39"/>
      <c r="AB34" s="39" t="s">
        <v>2</v>
      </c>
      <c r="AC34" s="39" t="s">
        <v>2</v>
      </c>
      <c r="AD34" s="6"/>
      <c r="AE34" s="6"/>
      <c r="AF34" s="6"/>
      <c r="AH34" s="20">
        <f t="shared" si="3"/>
        <v>0</v>
      </c>
      <c r="AI34" s="20">
        <f t="shared" si="4"/>
        <v>0</v>
      </c>
    </row>
    <row r="35" spans="1:35" ht="20.100000000000001" customHeight="1">
      <c r="A35" s="24" t="str">
        <f>ÖSSZES!$A$102</f>
        <v>Tóth János</v>
      </c>
      <c r="B35" s="39"/>
      <c r="C35" s="39"/>
      <c r="D35" s="39"/>
      <c r="E35" s="39"/>
      <c r="F35" s="39"/>
      <c r="G35" s="39" t="s">
        <v>2</v>
      </c>
      <c r="H35" s="39" t="s">
        <v>2</v>
      </c>
      <c r="I35" s="39"/>
      <c r="J35" s="39"/>
      <c r="K35" s="39"/>
      <c r="L35" s="39"/>
      <c r="M35" s="39"/>
      <c r="N35" s="39" t="s">
        <v>2</v>
      </c>
      <c r="O35" s="39" t="s">
        <v>2</v>
      </c>
      <c r="P35" s="39"/>
      <c r="Q35" s="39"/>
      <c r="R35" s="39"/>
      <c r="S35" s="39"/>
      <c r="T35" s="39"/>
      <c r="U35" s="39" t="s">
        <v>2</v>
      </c>
      <c r="V35" s="39" t="s">
        <v>2</v>
      </c>
      <c r="W35" s="39"/>
      <c r="X35" s="39"/>
      <c r="Y35" s="39"/>
      <c r="Z35" s="39"/>
      <c r="AA35" s="39"/>
      <c r="AB35" s="39" t="s">
        <v>2</v>
      </c>
      <c r="AC35" s="39" t="s">
        <v>2</v>
      </c>
      <c r="AD35" s="6"/>
      <c r="AE35" s="6"/>
      <c r="AF35" s="6"/>
      <c r="AH35" s="20">
        <f t="shared" si="3"/>
        <v>0</v>
      </c>
      <c r="AI35" s="20">
        <f t="shared" si="4"/>
        <v>0</v>
      </c>
    </row>
    <row r="36" spans="1:35" ht="20.100000000000001" customHeight="1">
      <c r="A36" s="24" t="str">
        <f>ÖSSZES!$A$103</f>
        <v>Tóth Krisztián</v>
      </c>
      <c r="B36" s="39"/>
      <c r="C36" s="39"/>
      <c r="D36" s="39"/>
      <c r="E36" s="39"/>
      <c r="F36" s="39"/>
      <c r="G36" s="39" t="s">
        <v>2</v>
      </c>
      <c r="H36" s="39" t="s">
        <v>2</v>
      </c>
      <c r="I36" s="39"/>
      <c r="J36" s="39"/>
      <c r="K36" s="39"/>
      <c r="L36" s="39"/>
      <c r="M36" s="39"/>
      <c r="N36" s="39" t="s">
        <v>2</v>
      </c>
      <c r="O36" s="39" t="s">
        <v>2</v>
      </c>
      <c r="P36" s="39"/>
      <c r="Q36" s="39"/>
      <c r="R36" s="39"/>
      <c r="S36" s="39"/>
      <c r="T36" s="39"/>
      <c r="U36" s="39" t="s">
        <v>2</v>
      </c>
      <c r="V36" s="39" t="s">
        <v>2</v>
      </c>
      <c r="W36" s="39"/>
      <c r="X36" s="39"/>
      <c r="Y36" s="39"/>
      <c r="Z36" s="39"/>
      <c r="AA36" s="39"/>
      <c r="AB36" s="39" t="s">
        <v>2</v>
      </c>
      <c r="AC36" s="39" t="s">
        <v>2</v>
      </c>
      <c r="AD36" s="6"/>
      <c r="AE36" s="6"/>
      <c r="AF36" s="6"/>
      <c r="AH36" s="20">
        <f t="shared" si="3"/>
        <v>0</v>
      </c>
      <c r="AI36" s="20">
        <f t="shared" si="4"/>
        <v>0</v>
      </c>
    </row>
    <row r="37" spans="1:35" ht="20.100000000000001" hidden="1" customHeight="1">
      <c r="A37" s="24" t="str">
        <f>ÖSSZES!$A$104</f>
        <v>Név10</v>
      </c>
      <c r="B37" s="39"/>
      <c r="C37" s="39"/>
      <c r="D37" s="39"/>
      <c r="E37" s="39"/>
      <c r="F37" s="39"/>
      <c r="G37" s="39" t="s">
        <v>2</v>
      </c>
      <c r="H37" s="39" t="s">
        <v>2</v>
      </c>
      <c r="I37" s="39"/>
      <c r="J37" s="39"/>
      <c r="K37" s="39"/>
      <c r="L37" s="39"/>
      <c r="M37" s="39"/>
      <c r="N37" s="39" t="s">
        <v>2</v>
      </c>
      <c r="O37" s="39" t="s">
        <v>2</v>
      </c>
      <c r="P37" s="39"/>
      <c r="Q37" s="39"/>
      <c r="R37" s="39"/>
      <c r="S37" s="39"/>
      <c r="T37" s="39"/>
      <c r="U37" s="39" t="s">
        <v>2</v>
      </c>
      <c r="V37" s="39" t="s">
        <v>2</v>
      </c>
      <c r="W37" s="39"/>
      <c r="X37" s="39"/>
      <c r="Y37" s="39"/>
      <c r="Z37" s="39"/>
      <c r="AA37" s="39"/>
      <c r="AB37" s="39" t="s">
        <v>2</v>
      </c>
      <c r="AC37" s="39" t="s">
        <v>2</v>
      </c>
      <c r="AD37" s="6"/>
      <c r="AE37" s="6"/>
      <c r="AF37" s="6"/>
      <c r="AH37" s="20">
        <f t="shared" si="3"/>
        <v>0</v>
      </c>
      <c r="AI37" s="20">
        <f t="shared" si="4"/>
        <v>0</v>
      </c>
    </row>
    <row r="38" spans="1:35" ht="20.100000000000001" hidden="1" customHeight="1">
      <c r="A38" s="24" t="str">
        <f>ÖSSZES!$A$105</f>
        <v>Név11</v>
      </c>
      <c r="B38" s="39"/>
      <c r="C38" s="39"/>
      <c r="D38" s="39"/>
      <c r="E38" s="39"/>
      <c r="F38" s="39"/>
      <c r="G38" s="39" t="s">
        <v>2</v>
      </c>
      <c r="H38" s="39" t="s">
        <v>2</v>
      </c>
      <c r="I38" s="39"/>
      <c r="J38" s="39"/>
      <c r="K38" s="39"/>
      <c r="L38" s="39"/>
      <c r="M38" s="39"/>
      <c r="N38" s="39" t="s">
        <v>2</v>
      </c>
      <c r="O38" s="39" t="s">
        <v>2</v>
      </c>
      <c r="P38" s="39"/>
      <c r="Q38" s="39"/>
      <c r="R38" s="39"/>
      <c r="S38" s="39"/>
      <c r="T38" s="39"/>
      <c r="U38" s="39" t="s">
        <v>2</v>
      </c>
      <c r="V38" s="39" t="s">
        <v>2</v>
      </c>
      <c r="W38" s="39"/>
      <c r="X38" s="39"/>
      <c r="Y38" s="39"/>
      <c r="Z38" s="39"/>
      <c r="AA38" s="39"/>
      <c r="AB38" s="39" t="s">
        <v>2</v>
      </c>
      <c r="AC38" s="39" t="s">
        <v>2</v>
      </c>
      <c r="AD38" s="6"/>
      <c r="AE38" s="6"/>
      <c r="AF38" s="6"/>
      <c r="AH38" s="20">
        <f t="shared" si="3"/>
        <v>0</v>
      </c>
      <c r="AI38" s="20">
        <f t="shared" si="4"/>
        <v>0</v>
      </c>
    </row>
    <row r="39" spans="1:35" ht="20.100000000000001" hidden="1" customHeight="1">
      <c r="A39" s="24" t="str">
        <f>ÖSSZES!$A$106</f>
        <v>Név12</v>
      </c>
      <c r="B39" s="39"/>
      <c r="C39" s="39"/>
      <c r="D39" s="39"/>
      <c r="E39" s="39"/>
      <c r="F39" s="39"/>
      <c r="G39" s="39" t="s">
        <v>2</v>
      </c>
      <c r="H39" s="39" t="s">
        <v>2</v>
      </c>
      <c r="I39" s="39"/>
      <c r="J39" s="39"/>
      <c r="K39" s="39"/>
      <c r="L39" s="39"/>
      <c r="M39" s="39"/>
      <c r="N39" s="39" t="s">
        <v>2</v>
      </c>
      <c r="O39" s="39" t="s">
        <v>2</v>
      </c>
      <c r="P39" s="39"/>
      <c r="Q39" s="39"/>
      <c r="R39" s="39"/>
      <c r="S39" s="39"/>
      <c r="T39" s="39"/>
      <c r="U39" s="39" t="s">
        <v>2</v>
      </c>
      <c r="V39" s="39" t="s">
        <v>2</v>
      </c>
      <c r="W39" s="39"/>
      <c r="X39" s="39"/>
      <c r="Y39" s="39"/>
      <c r="Z39" s="39"/>
      <c r="AA39" s="39"/>
      <c r="AB39" s="39" t="s">
        <v>2</v>
      </c>
      <c r="AC39" s="39" t="s">
        <v>2</v>
      </c>
      <c r="AD39" s="6"/>
      <c r="AE39" s="6"/>
      <c r="AF39" s="6"/>
      <c r="AH39" s="20">
        <f t="shared" si="3"/>
        <v>0</v>
      </c>
      <c r="AI39" s="20">
        <f t="shared" si="4"/>
        <v>0</v>
      </c>
    </row>
    <row r="40" spans="1:35" ht="20.100000000000001" hidden="1" customHeight="1">
      <c r="A40" s="24" t="str">
        <f>ÖSSZES!$A$107</f>
        <v>Név13</v>
      </c>
      <c r="B40" s="39"/>
      <c r="C40" s="39"/>
      <c r="D40" s="39"/>
      <c r="E40" s="39"/>
      <c r="F40" s="39"/>
      <c r="G40" s="39" t="s">
        <v>2</v>
      </c>
      <c r="H40" s="39" t="s">
        <v>2</v>
      </c>
      <c r="I40" s="39"/>
      <c r="J40" s="39"/>
      <c r="K40" s="39"/>
      <c r="L40" s="39"/>
      <c r="M40" s="39"/>
      <c r="N40" s="39" t="s">
        <v>2</v>
      </c>
      <c r="O40" s="39" t="s">
        <v>2</v>
      </c>
      <c r="P40" s="39"/>
      <c r="Q40" s="39"/>
      <c r="R40" s="39"/>
      <c r="S40" s="39"/>
      <c r="T40" s="39"/>
      <c r="U40" s="39" t="s">
        <v>2</v>
      </c>
      <c r="V40" s="39" t="s">
        <v>2</v>
      </c>
      <c r="W40" s="39"/>
      <c r="X40" s="39"/>
      <c r="Y40" s="39"/>
      <c r="Z40" s="39"/>
      <c r="AA40" s="39"/>
      <c r="AB40" s="39" t="s">
        <v>2</v>
      </c>
      <c r="AC40" s="39" t="s">
        <v>2</v>
      </c>
      <c r="AD40" s="6"/>
      <c r="AE40" s="6"/>
      <c r="AF40" s="6"/>
      <c r="AH40" s="20">
        <f t="shared" si="3"/>
        <v>0</v>
      </c>
      <c r="AI40" s="20">
        <f t="shared" si="4"/>
        <v>0</v>
      </c>
    </row>
    <row r="41" spans="1:35" ht="20.100000000000001" hidden="1" customHeight="1">
      <c r="A41" s="24" t="str">
        <f>ÖSSZES!$A$108</f>
        <v>Név14</v>
      </c>
      <c r="B41" s="39"/>
      <c r="C41" s="39"/>
      <c r="D41" s="39"/>
      <c r="E41" s="39"/>
      <c r="F41" s="39"/>
      <c r="G41" s="39" t="s">
        <v>2</v>
      </c>
      <c r="H41" s="39" t="s">
        <v>2</v>
      </c>
      <c r="I41" s="39"/>
      <c r="J41" s="39"/>
      <c r="K41" s="39"/>
      <c r="L41" s="39"/>
      <c r="M41" s="39"/>
      <c r="N41" s="39" t="s">
        <v>2</v>
      </c>
      <c r="O41" s="39" t="s">
        <v>2</v>
      </c>
      <c r="P41" s="39"/>
      <c r="Q41" s="39"/>
      <c r="R41" s="39"/>
      <c r="S41" s="39"/>
      <c r="T41" s="39"/>
      <c r="U41" s="39" t="s">
        <v>2</v>
      </c>
      <c r="V41" s="39" t="s">
        <v>2</v>
      </c>
      <c r="W41" s="39"/>
      <c r="X41" s="39"/>
      <c r="Y41" s="39"/>
      <c r="Z41" s="39"/>
      <c r="AA41" s="39"/>
      <c r="AB41" s="39" t="s">
        <v>2</v>
      </c>
      <c r="AC41" s="39" t="s">
        <v>2</v>
      </c>
      <c r="AD41" s="6"/>
      <c r="AE41" s="6"/>
      <c r="AF41" s="6"/>
      <c r="AH41" s="20">
        <f t="shared" si="3"/>
        <v>0</v>
      </c>
      <c r="AI41" s="20">
        <f t="shared" si="4"/>
        <v>0</v>
      </c>
    </row>
    <row r="42" spans="1:35" ht="20.100000000000001" hidden="1" customHeight="1">
      <c r="A42" s="24" t="str">
        <f>ÖSSZES!$A$109</f>
        <v>Név15</v>
      </c>
      <c r="B42" s="39"/>
      <c r="C42" s="39"/>
      <c r="D42" s="39"/>
      <c r="E42" s="39"/>
      <c r="F42" s="39"/>
      <c r="G42" s="39" t="s">
        <v>2</v>
      </c>
      <c r="H42" s="39" t="s">
        <v>2</v>
      </c>
      <c r="I42" s="39"/>
      <c r="J42" s="39"/>
      <c r="K42" s="39"/>
      <c r="L42" s="39"/>
      <c r="M42" s="39"/>
      <c r="N42" s="39" t="s">
        <v>2</v>
      </c>
      <c r="O42" s="39" t="s">
        <v>2</v>
      </c>
      <c r="P42" s="39"/>
      <c r="Q42" s="39"/>
      <c r="R42" s="39"/>
      <c r="S42" s="39"/>
      <c r="T42" s="39"/>
      <c r="U42" s="39" t="s">
        <v>2</v>
      </c>
      <c r="V42" s="39" t="s">
        <v>2</v>
      </c>
      <c r="W42" s="39"/>
      <c r="X42" s="39"/>
      <c r="Y42" s="39"/>
      <c r="Z42" s="39"/>
      <c r="AA42" s="39"/>
      <c r="AB42" s="39" t="s">
        <v>2</v>
      </c>
      <c r="AC42" s="39" t="s">
        <v>2</v>
      </c>
      <c r="AD42" s="6"/>
      <c r="AE42" s="6"/>
      <c r="AF42" s="6"/>
      <c r="AH42" s="20">
        <f t="shared" si="3"/>
        <v>0</v>
      </c>
      <c r="AI42" s="20">
        <f t="shared" si="4"/>
        <v>0</v>
      </c>
    </row>
    <row r="43" spans="1:35" ht="20.100000000000001" hidden="1" customHeight="1">
      <c r="A43" s="24" t="str">
        <f>ÖSSZES!$A$110</f>
        <v>Név16</v>
      </c>
      <c r="B43" s="39"/>
      <c r="C43" s="39"/>
      <c r="D43" s="39"/>
      <c r="E43" s="39"/>
      <c r="F43" s="39"/>
      <c r="G43" s="39" t="s">
        <v>2</v>
      </c>
      <c r="H43" s="39" t="s">
        <v>2</v>
      </c>
      <c r="I43" s="39"/>
      <c r="J43" s="39"/>
      <c r="K43" s="39"/>
      <c r="L43" s="39"/>
      <c r="M43" s="39"/>
      <c r="N43" s="39" t="s">
        <v>2</v>
      </c>
      <c r="O43" s="39" t="s">
        <v>2</v>
      </c>
      <c r="P43" s="39"/>
      <c r="Q43" s="39"/>
      <c r="R43" s="39"/>
      <c r="S43" s="39"/>
      <c r="T43" s="39"/>
      <c r="U43" s="39" t="s">
        <v>2</v>
      </c>
      <c r="V43" s="39" t="s">
        <v>2</v>
      </c>
      <c r="W43" s="39"/>
      <c r="X43" s="39"/>
      <c r="Y43" s="39"/>
      <c r="Z43" s="39"/>
      <c r="AA43" s="39"/>
      <c r="AB43" s="39" t="s">
        <v>2</v>
      </c>
      <c r="AC43" s="39" t="s">
        <v>2</v>
      </c>
      <c r="AD43" s="6"/>
      <c r="AE43" s="6"/>
      <c r="AF43" s="6"/>
      <c r="AH43" s="20">
        <f t="shared" si="3"/>
        <v>0</v>
      </c>
      <c r="AI43" s="20">
        <f t="shared" si="4"/>
        <v>0</v>
      </c>
    </row>
    <row r="44" spans="1:35" ht="20.100000000000001" hidden="1" customHeight="1">
      <c r="A44" s="24" t="str">
        <f>ÖSSZES!$A$111</f>
        <v>Név17</v>
      </c>
      <c r="B44" s="39"/>
      <c r="C44" s="39"/>
      <c r="D44" s="39"/>
      <c r="E44" s="39"/>
      <c r="F44" s="39"/>
      <c r="G44" s="39" t="s">
        <v>2</v>
      </c>
      <c r="H44" s="39" t="s">
        <v>2</v>
      </c>
      <c r="I44" s="39"/>
      <c r="J44" s="39"/>
      <c r="K44" s="39"/>
      <c r="L44" s="39"/>
      <c r="M44" s="39"/>
      <c r="N44" s="39" t="s">
        <v>2</v>
      </c>
      <c r="O44" s="39" t="s">
        <v>2</v>
      </c>
      <c r="P44" s="39"/>
      <c r="Q44" s="39"/>
      <c r="R44" s="39"/>
      <c r="S44" s="39"/>
      <c r="T44" s="39"/>
      <c r="U44" s="39" t="s">
        <v>2</v>
      </c>
      <c r="V44" s="39" t="s">
        <v>2</v>
      </c>
      <c r="W44" s="39"/>
      <c r="X44" s="39"/>
      <c r="Y44" s="39"/>
      <c r="Z44" s="39"/>
      <c r="AA44" s="39"/>
      <c r="AB44" s="39" t="s">
        <v>2</v>
      </c>
      <c r="AC44" s="39" t="s">
        <v>2</v>
      </c>
      <c r="AD44" s="6"/>
      <c r="AE44" s="6"/>
      <c r="AF44" s="6"/>
      <c r="AH44" s="20">
        <f t="shared" si="3"/>
        <v>0</v>
      </c>
      <c r="AI44" s="20">
        <f t="shared" si="4"/>
        <v>0</v>
      </c>
    </row>
    <row r="45" spans="1:35" ht="20.100000000000001" hidden="1" customHeight="1">
      <c r="A45" s="24" t="str">
        <f>ÖSSZES!$A$112</f>
        <v>Név18</v>
      </c>
      <c r="B45" s="39"/>
      <c r="C45" s="39"/>
      <c r="D45" s="39"/>
      <c r="E45" s="39"/>
      <c r="F45" s="39"/>
      <c r="G45" s="39" t="s">
        <v>2</v>
      </c>
      <c r="H45" s="39" t="s">
        <v>2</v>
      </c>
      <c r="I45" s="39"/>
      <c r="J45" s="39"/>
      <c r="K45" s="39"/>
      <c r="L45" s="39"/>
      <c r="M45" s="39"/>
      <c r="N45" s="39" t="s">
        <v>2</v>
      </c>
      <c r="O45" s="39" t="s">
        <v>2</v>
      </c>
      <c r="P45" s="39"/>
      <c r="Q45" s="39"/>
      <c r="R45" s="39"/>
      <c r="S45" s="39"/>
      <c r="T45" s="39"/>
      <c r="U45" s="39" t="s">
        <v>2</v>
      </c>
      <c r="V45" s="39" t="s">
        <v>2</v>
      </c>
      <c r="W45" s="39"/>
      <c r="X45" s="39"/>
      <c r="Y45" s="39"/>
      <c r="Z45" s="39"/>
      <c r="AA45" s="39"/>
      <c r="AB45" s="39" t="s">
        <v>2</v>
      </c>
      <c r="AC45" s="39" t="s">
        <v>2</v>
      </c>
      <c r="AD45" s="6"/>
      <c r="AE45" s="6"/>
      <c r="AF45" s="6"/>
      <c r="AH45" s="20">
        <f t="shared" si="3"/>
        <v>0</v>
      </c>
      <c r="AI45" s="20">
        <f t="shared" si="4"/>
        <v>0</v>
      </c>
    </row>
    <row r="46" spans="1:35" ht="20.100000000000001" hidden="1" customHeight="1">
      <c r="A46" s="24" t="str">
        <f>ÖSSZES!$A$113</f>
        <v>Név19</v>
      </c>
      <c r="B46" s="39"/>
      <c r="C46" s="39"/>
      <c r="D46" s="39"/>
      <c r="E46" s="39"/>
      <c r="F46" s="39"/>
      <c r="G46" s="39" t="s">
        <v>2</v>
      </c>
      <c r="H46" s="39" t="s">
        <v>2</v>
      </c>
      <c r="I46" s="39"/>
      <c r="J46" s="39"/>
      <c r="K46" s="39"/>
      <c r="L46" s="39"/>
      <c r="M46" s="39"/>
      <c r="N46" s="39" t="s">
        <v>2</v>
      </c>
      <c r="O46" s="39" t="s">
        <v>2</v>
      </c>
      <c r="P46" s="39"/>
      <c r="Q46" s="39"/>
      <c r="R46" s="39"/>
      <c r="S46" s="39"/>
      <c r="T46" s="39"/>
      <c r="U46" s="39" t="s">
        <v>2</v>
      </c>
      <c r="V46" s="39" t="s">
        <v>2</v>
      </c>
      <c r="W46" s="39"/>
      <c r="X46" s="39"/>
      <c r="Y46" s="39"/>
      <c r="Z46" s="39"/>
      <c r="AA46" s="39"/>
      <c r="AB46" s="39" t="s">
        <v>2</v>
      </c>
      <c r="AC46" s="39" t="s">
        <v>2</v>
      </c>
      <c r="AD46" s="6"/>
      <c r="AE46" s="6"/>
      <c r="AF46" s="6"/>
      <c r="AH46" s="20">
        <f t="shared" si="3"/>
        <v>0</v>
      </c>
      <c r="AI46" s="20">
        <f t="shared" si="4"/>
        <v>0</v>
      </c>
    </row>
    <row r="47" spans="1:35" ht="20.100000000000001" hidden="1" customHeight="1">
      <c r="A47" s="24" t="str">
        <f>ÖSSZES!$A$114</f>
        <v>Név20</v>
      </c>
      <c r="B47" s="39"/>
      <c r="C47" s="39"/>
      <c r="D47" s="39"/>
      <c r="E47" s="39"/>
      <c r="F47" s="39"/>
      <c r="G47" s="39" t="s">
        <v>2</v>
      </c>
      <c r="H47" s="39" t="s">
        <v>2</v>
      </c>
      <c r="I47" s="39"/>
      <c r="J47" s="39"/>
      <c r="K47" s="39"/>
      <c r="L47" s="39"/>
      <c r="M47" s="39"/>
      <c r="N47" s="39" t="s">
        <v>2</v>
      </c>
      <c r="O47" s="39" t="s">
        <v>2</v>
      </c>
      <c r="P47" s="39"/>
      <c r="Q47" s="39"/>
      <c r="R47" s="39"/>
      <c r="S47" s="39"/>
      <c r="T47" s="39"/>
      <c r="U47" s="39" t="s">
        <v>2</v>
      </c>
      <c r="V47" s="39" t="s">
        <v>2</v>
      </c>
      <c r="W47" s="39"/>
      <c r="X47" s="39"/>
      <c r="Y47" s="39"/>
      <c r="Z47" s="39"/>
      <c r="AA47" s="39"/>
      <c r="AB47" s="39" t="s">
        <v>2</v>
      </c>
      <c r="AC47" s="39" t="s">
        <v>2</v>
      </c>
      <c r="AD47" s="6"/>
      <c r="AE47" s="6"/>
      <c r="AF47" s="6"/>
      <c r="AH47" s="20">
        <f t="shared" si="3"/>
        <v>0</v>
      </c>
      <c r="AI47" s="20">
        <f t="shared" si="4"/>
        <v>0</v>
      </c>
    </row>
    <row r="48" spans="1:35" ht="20.100000000000001" customHeight="1"/>
    <row r="49" spans="1:35" s="11" customFormat="1" ht="20.100000000000001" customHeight="1">
      <c r="A49" s="57" t="s">
        <v>7</v>
      </c>
      <c r="B49" s="23">
        <v>1</v>
      </c>
      <c r="C49" s="23">
        <v>2</v>
      </c>
      <c r="D49" s="23">
        <v>3</v>
      </c>
      <c r="E49" s="23">
        <v>4</v>
      </c>
      <c r="F49" s="23">
        <v>5</v>
      </c>
      <c r="G49" s="23">
        <v>6</v>
      </c>
      <c r="H49" s="23">
        <v>7</v>
      </c>
      <c r="I49" s="23">
        <v>8</v>
      </c>
      <c r="J49" s="23">
        <v>9</v>
      </c>
      <c r="K49" s="23">
        <v>10</v>
      </c>
      <c r="L49" s="23">
        <v>11</v>
      </c>
      <c r="M49" s="23">
        <v>12</v>
      </c>
      <c r="N49" s="23">
        <v>13</v>
      </c>
      <c r="O49" s="23">
        <v>14</v>
      </c>
      <c r="P49" s="38">
        <v>15</v>
      </c>
      <c r="Q49" s="23">
        <v>16</v>
      </c>
      <c r="R49" s="23">
        <v>17</v>
      </c>
      <c r="S49" s="23">
        <v>18</v>
      </c>
      <c r="T49" s="23">
        <v>19</v>
      </c>
      <c r="U49" s="23">
        <v>20</v>
      </c>
      <c r="V49" s="23">
        <v>21</v>
      </c>
      <c r="W49" s="23">
        <v>22</v>
      </c>
      <c r="X49" s="23">
        <v>23</v>
      </c>
      <c r="Y49" s="23">
        <v>24</v>
      </c>
      <c r="Z49" s="23">
        <v>25</v>
      </c>
      <c r="AA49" s="23">
        <v>26</v>
      </c>
      <c r="AB49" s="23">
        <v>27</v>
      </c>
      <c r="AC49" s="23">
        <v>28</v>
      </c>
      <c r="AD49" s="23">
        <v>29</v>
      </c>
      <c r="AE49" s="23">
        <v>30</v>
      </c>
      <c r="AF49" s="23">
        <v>31</v>
      </c>
      <c r="AH49" s="59" t="s">
        <v>18</v>
      </c>
      <c r="AI49" s="59" t="s">
        <v>19</v>
      </c>
    </row>
    <row r="50" spans="1:35" ht="20.100000000000001" customHeight="1">
      <c r="A50" s="61"/>
      <c r="B50" s="15" t="str">
        <f>'2021'!B20</f>
        <v>H</v>
      </c>
      <c r="C50" s="15" t="str">
        <f>'2021'!C20</f>
        <v>K</v>
      </c>
      <c r="D50" s="15" t="str">
        <f>'2021'!D20</f>
        <v>Sze</v>
      </c>
      <c r="E50" s="15" t="str">
        <f>'2021'!E20</f>
        <v>Cs</v>
      </c>
      <c r="F50" s="15" t="str">
        <f>'2021'!F20</f>
        <v>P</v>
      </c>
      <c r="G50" s="15" t="str">
        <f>'2021'!G20</f>
        <v>Szo</v>
      </c>
      <c r="H50" s="15" t="str">
        <f>'2021'!H20</f>
        <v>V</v>
      </c>
      <c r="I50" s="15" t="str">
        <f>'2021'!I20</f>
        <v>H</v>
      </c>
      <c r="J50" s="15" t="str">
        <f>'2021'!J20</f>
        <v>K</v>
      </c>
      <c r="K50" s="15" t="str">
        <f>'2021'!K20</f>
        <v>Sze</v>
      </c>
      <c r="L50" s="15" t="str">
        <f>'2021'!L20</f>
        <v>Cs</v>
      </c>
      <c r="M50" s="15" t="str">
        <f>'2021'!M20</f>
        <v>P</v>
      </c>
      <c r="N50" s="15" t="str">
        <f>'2021'!N20</f>
        <v>Szo</v>
      </c>
      <c r="O50" s="15" t="str">
        <f>'2021'!O20</f>
        <v>V</v>
      </c>
      <c r="P50" s="15" t="str">
        <f>'2021'!P20</f>
        <v>H</v>
      </c>
      <c r="Q50" s="15" t="str">
        <f>'2021'!Q20</f>
        <v>K</v>
      </c>
      <c r="R50" s="15" t="str">
        <f>'2021'!R20</f>
        <v>Sze</v>
      </c>
      <c r="S50" s="15" t="str">
        <f>'2021'!S20</f>
        <v>Cs</v>
      </c>
      <c r="T50" s="15" t="str">
        <f>'2021'!T20</f>
        <v>P</v>
      </c>
      <c r="U50" s="15" t="str">
        <f>'2021'!U20</f>
        <v>Szo</v>
      </c>
      <c r="V50" s="15" t="str">
        <f>'2021'!V20</f>
        <v>V</v>
      </c>
      <c r="W50" s="15" t="str">
        <f>'2021'!W20</f>
        <v>H</v>
      </c>
      <c r="X50" s="15" t="str">
        <f>'2021'!X20</f>
        <v>K</v>
      </c>
      <c r="Y50" s="15" t="str">
        <f>'2021'!Y20</f>
        <v>Sze</v>
      </c>
      <c r="Z50" s="15" t="str">
        <f>'2021'!Z20</f>
        <v>Cs</v>
      </c>
      <c r="AA50" s="15" t="str">
        <f>'2021'!AA20</f>
        <v>P</v>
      </c>
      <c r="AB50" s="15" t="str">
        <f>'2021'!AB20</f>
        <v>Szo</v>
      </c>
      <c r="AC50" s="15" t="str">
        <f>'2021'!AC20</f>
        <v>V</v>
      </c>
      <c r="AD50" s="15" t="str">
        <f>'2021'!AD20</f>
        <v>H</v>
      </c>
      <c r="AE50" s="15" t="str">
        <f>'2021'!AE20</f>
        <v>K</v>
      </c>
      <c r="AF50" s="15" t="str">
        <f>'2021'!AF20</f>
        <v>Sze</v>
      </c>
      <c r="AH50" s="60"/>
      <c r="AI50" s="60"/>
    </row>
    <row r="51" spans="1:35" ht="20.100000000000001" customHeight="1">
      <c r="A51" s="6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H51" s="60"/>
      <c r="AI51" s="60"/>
    </row>
    <row r="52" spans="1:35" ht="20.100000000000001" customHeight="1">
      <c r="A52" s="24" t="str">
        <f>ÖSSZES!$A$95</f>
        <v>Kovács Kriszitán</v>
      </c>
      <c r="B52" s="37"/>
      <c r="C52" s="37"/>
      <c r="D52" s="37"/>
      <c r="E52" s="37"/>
      <c r="F52" s="37"/>
      <c r="G52" s="39" t="s">
        <v>2</v>
      </c>
      <c r="H52" s="39" t="s">
        <v>2</v>
      </c>
      <c r="I52" s="37"/>
      <c r="J52" s="37"/>
      <c r="K52" s="37"/>
      <c r="L52" s="37"/>
      <c r="M52" s="37"/>
      <c r="N52" s="39" t="s">
        <v>2</v>
      </c>
      <c r="O52" s="39" t="s">
        <v>2</v>
      </c>
      <c r="P52" s="19" t="s">
        <v>63</v>
      </c>
      <c r="Q52" s="37"/>
      <c r="R52" s="37"/>
      <c r="S52" s="37"/>
      <c r="T52" s="37"/>
      <c r="U52" s="39" t="s">
        <v>2</v>
      </c>
      <c r="V52" s="39" t="s">
        <v>2</v>
      </c>
      <c r="W52" s="37"/>
      <c r="X52" s="37"/>
      <c r="Y52" s="37"/>
      <c r="Z52" s="37"/>
      <c r="AA52" s="37"/>
      <c r="AB52" s="39" t="s">
        <v>2</v>
      </c>
      <c r="AC52" s="39" t="s">
        <v>2</v>
      </c>
      <c r="AD52" s="37"/>
      <c r="AE52" s="37"/>
      <c r="AF52" s="37"/>
      <c r="AH52" s="20">
        <f>1*COUNTIF(A52:AF52,"+")</f>
        <v>0</v>
      </c>
      <c r="AI52" s="20">
        <f t="shared" ref="AI52" si="5">1*COUNTIF(B52:AF52,"szf")</f>
        <v>0</v>
      </c>
    </row>
    <row r="53" spans="1:35" ht="20.100000000000001" customHeight="1">
      <c r="A53" s="24" t="str">
        <f>ÖSSZES!$A$96</f>
        <v>Besse Éva</v>
      </c>
      <c r="B53" s="37"/>
      <c r="C53" s="37"/>
      <c r="D53" s="37"/>
      <c r="E53" s="37"/>
      <c r="F53" s="37"/>
      <c r="G53" s="39" t="s">
        <v>2</v>
      </c>
      <c r="H53" s="39" t="s">
        <v>2</v>
      </c>
      <c r="I53" s="37"/>
      <c r="J53" s="37"/>
      <c r="K53" s="37"/>
      <c r="L53" s="37"/>
      <c r="M53" s="37"/>
      <c r="N53" s="39" t="s">
        <v>2</v>
      </c>
      <c r="O53" s="39" t="s">
        <v>2</v>
      </c>
      <c r="P53" s="19" t="s">
        <v>63</v>
      </c>
      <c r="Q53" s="37"/>
      <c r="R53" s="37"/>
      <c r="S53" s="37"/>
      <c r="T53" s="37"/>
      <c r="U53" s="39" t="s">
        <v>2</v>
      </c>
      <c r="V53" s="39" t="s">
        <v>2</v>
      </c>
      <c r="W53" s="37"/>
      <c r="X53" s="37"/>
      <c r="Y53" s="37"/>
      <c r="Z53" s="37"/>
      <c r="AA53" s="37"/>
      <c r="AB53" s="39" t="s">
        <v>2</v>
      </c>
      <c r="AC53" s="39" t="s">
        <v>2</v>
      </c>
      <c r="AD53" s="37"/>
      <c r="AE53" s="37"/>
      <c r="AF53" s="37"/>
      <c r="AH53" s="20">
        <f t="shared" ref="AH53:AH71" si="6">1*COUNTIF(A53:AF53,"+")</f>
        <v>0</v>
      </c>
      <c r="AI53" s="20">
        <f t="shared" ref="AI53:AI71" si="7">1*COUNTIF(B53:AF53,"szf")</f>
        <v>0</v>
      </c>
    </row>
    <row r="54" spans="1:35" ht="20.100000000000001" customHeight="1">
      <c r="A54" s="24" t="str">
        <f>ÖSSZES!$A$97</f>
        <v>Bulyáki Csaba</v>
      </c>
      <c r="B54" s="37"/>
      <c r="C54" s="37"/>
      <c r="D54" s="37"/>
      <c r="E54" s="37"/>
      <c r="F54" s="37"/>
      <c r="G54" s="39" t="s">
        <v>2</v>
      </c>
      <c r="H54" s="39" t="s">
        <v>2</v>
      </c>
      <c r="I54" s="37"/>
      <c r="J54" s="37"/>
      <c r="K54" s="37"/>
      <c r="L54" s="37"/>
      <c r="M54" s="37"/>
      <c r="N54" s="39" t="s">
        <v>2</v>
      </c>
      <c r="O54" s="39" t="s">
        <v>2</v>
      </c>
      <c r="P54" s="19" t="s">
        <v>63</v>
      </c>
      <c r="Q54" s="37"/>
      <c r="R54" s="37"/>
      <c r="S54" s="37"/>
      <c r="T54" s="37"/>
      <c r="U54" s="39" t="s">
        <v>2</v>
      </c>
      <c r="V54" s="39" t="s">
        <v>2</v>
      </c>
      <c r="W54" s="37"/>
      <c r="X54" s="37"/>
      <c r="Y54" s="37"/>
      <c r="Z54" s="37"/>
      <c r="AA54" s="37"/>
      <c r="AB54" s="39" t="s">
        <v>2</v>
      </c>
      <c r="AC54" s="39" t="s">
        <v>2</v>
      </c>
      <c r="AD54" s="37"/>
      <c r="AE54" s="37"/>
      <c r="AF54" s="37"/>
      <c r="AH54" s="20">
        <f t="shared" si="6"/>
        <v>0</v>
      </c>
      <c r="AI54" s="20">
        <f t="shared" si="7"/>
        <v>0</v>
      </c>
    </row>
    <row r="55" spans="1:35" ht="20.100000000000001" customHeight="1">
      <c r="A55" s="24" t="str">
        <f>ÖSSZES!$A$98</f>
        <v>Dancsi Attila</v>
      </c>
      <c r="B55" s="37"/>
      <c r="C55" s="37"/>
      <c r="D55" s="37"/>
      <c r="E55" s="37"/>
      <c r="F55" s="37"/>
      <c r="G55" s="39" t="s">
        <v>2</v>
      </c>
      <c r="H55" s="39" t="s">
        <v>2</v>
      </c>
      <c r="I55" s="37"/>
      <c r="J55" s="37"/>
      <c r="K55" s="37"/>
      <c r="L55" s="37"/>
      <c r="M55" s="37"/>
      <c r="N55" s="39" t="s">
        <v>2</v>
      </c>
      <c r="O55" s="39" t="s">
        <v>2</v>
      </c>
      <c r="P55" s="19" t="s">
        <v>63</v>
      </c>
      <c r="Q55" s="37"/>
      <c r="R55" s="37"/>
      <c r="S55" s="37"/>
      <c r="T55" s="37"/>
      <c r="U55" s="39" t="s">
        <v>2</v>
      </c>
      <c r="V55" s="39" t="s">
        <v>2</v>
      </c>
      <c r="W55" s="37"/>
      <c r="X55" s="37"/>
      <c r="Y55" s="37"/>
      <c r="Z55" s="37"/>
      <c r="AA55" s="37"/>
      <c r="AB55" s="39" t="s">
        <v>2</v>
      </c>
      <c r="AC55" s="39" t="s">
        <v>2</v>
      </c>
      <c r="AD55" s="37"/>
      <c r="AE55" s="37"/>
      <c r="AF55" s="37"/>
      <c r="AH55" s="20">
        <f t="shared" si="6"/>
        <v>0</v>
      </c>
      <c r="AI55" s="20">
        <f t="shared" si="7"/>
        <v>0</v>
      </c>
    </row>
    <row r="56" spans="1:35" ht="20.100000000000001" customHeight="1">
      <c r="A56" s="24" t="str">
        <f>ÖSSZES!$A$99</f>
        <v>Fekete Tamás</v>
      </c>
      <c r="B56" s="37"/>
      <c r="C56" s="37"/>
      <c r="D56" s="37"/>
      <c r="E56" s="37"/>
      <c r="F56" s="37"/>
      <c r="G56" s="39" t="s">
        <v>2</v>
      </c>
      <c r="H56" s="39" t="s">
        <v>2</v>
      </c>
      <c r="I56" s="37"/>
      <c r="J56" s="37"/>
      <c r="K56" s="37"/>
      <c r="L56" s="37"/>
      <c r="M56" s="37"/>
      <c r="N56" s="39" t="s">
        <v>2</v>
      </c>
      <c r="O56" s="39" t="s">
        <v>2</v>
      </c>
      <c r="P56" s="19" t="s">
        <v>63</v>
      </c>
      <c r="Q56" s="37"/>
      <c r="R56" s="37"/>
      <c r="S56" s="37"/>
      <c r="T56" s="37"/>
      <c r="U56" s="39" t="s">
        <v>2</v>
      </c>
      <c r="V56" s="39" t="s">
        <v>2</v>
      </c>
      <c r="W56" s="37"/>
      <c r="X56" s="37"/>
      <c r="Y56" s="37"/>
      <c r="Z56" s="37"/>
      <c r="AA56" s="37"/>
      <c r="AB56" s="39" t="s">
        <v>2</v>
      </c>
      <c r="AC56" s="39" t="s">
        <v>2</v>
      </c>
      <c r="AD56" s="37"/>
      <c r="AE56" s="37"/>
      <c r="AF56" s="37"/>
      <c r="AH56" s="20">
        <f t="shared" si="6"/>
        <v>0</v>
      </c>
      <c r="AI56" s="20">
        <f t="shared" si="7"/>
        <v>0</v>
      </c>
    </row>
    <row r="57" spans="1:35" ht="20.100000000000001" customHeight="1">
      <c r="A57" s="24" t="str">
        <f>ÖSSZES!$A$100</f>
        <v>Iványi Roland</v>
      </c>
      <c r="B57" s="37"/>
      <c r="C57" s="37"/>
      <c r="D57" s="37"/>
      <c r="E57" s="37"/>
      <c r="F57" s="37"/>
      <c r="G57" s="39" t="s">
        <v>2</v>
      </c>
      <c r="H57" s="39" t="s">
        <v>2</v>
      </c>
      <c r="I57" s="37"/>
      <c r="J57" s="37"/>
      <c r="K57" s="37"/>
      <c r="L57" s="37"/>
      <c r="M57" s="37"/>
      <c r="N57" s="39" t="s">
        <v>2</v>
      </c>
      <c r="O57" s="39" t="s">
        <v>2</v>
      </c>
      <c r="P57" s="19" t="s">
        <v>63</v>
      </c>
      <c r="Q57" s="37"/>
      <c r="R57" s="37"/>
      <c r="S57" s="37"/>
      <c r="T57" s="37"/>
      <c r="U57" s="39" t="s">
        <v>2</v>
      </c>
      <c r="V57" s="39" t="s">
        <v>2</v>
      </c>
      <c r="W57" s="37"/>
      <c r="X57" s="37"/>
      <c r="Y57" s="37"/>
      <c r="Z57" s="37"/>
      <c r="AA57" s="37"/>
      <c r="AB57" s="39" t="s">
        <v>2</v>
      </c>
      <c r="AC57" s="39" t="s">
        <v>2</v>
      </c>
      <c r="AD57" s="37"/>
      <c r="AE57" s="37"/>
      <c r="AF57" s="37"/>
      <c r="AH57" s="20">
        <f t="shared" si="6"/>
        <v>0</v>
      </c>
      <c r="AI57" s="20">
        <f t="shared" si="7"/>
        <v>0</v>
      </c>
    </row>
    <row r="58" spans="1:35" ht="20.100000000000001" customHeight="1">
      <c r="A58" s="24" t="str">
        <f>ÖSSZES!$A$101</f>
        <v>Oláh Erika</v>
      </c>
      <c r="B58" s="37"/>
      <c r="C58" s="37"/>
      <c r="D58" s="37"/>
      <c r="E58" s="37"/>
      <c r="F58" s="37"/>
      <c r="G58" s="39" t="s">
        <v>2</v>
      </c>
      <c r="H58" s="39" t="s">
        <v>2</v>
      </c>
      <c r="I58" s="37"/>
      <c r="J58" s="37"/>
      <c r="K58" s="37"/>
      <c r="L58" s="37"/>
      <c r="M58" s="37"/>
      <c r="N58" s="39" t="s">
        <v>2</v>
      </c>
      <c r="O58" s="39" t="s">
        <v>2</v>
      </c>
      <c r="P58" s="19" t="s">
        <v>63</v>
      </c>
      <c r="Q58" s="37"/>
      <c r="R58" s="37"/>
      <c r="S58" s="37"/>
      <c r="T58" s="37"/>
      <c r="U58" s="39" t="s">
        <v>2</v>
      </c>
      <c r="V58" s="39" t="s">
        <v>2</v>
      </c>
      <c r="W58" s="37"/>
      <c r="X58" s="37"/>
      <c r="Y58" s="37"/>
      <c r="Z58" s="37"/>
      <c r="AA58" s="37"/>
      <c r="AB58" s="39" t="s">
        <v>2</v>
      </c>
      <c r="AC58" s="39" t="s">
        <v>2</v>
      </c>
      <c r="AD58" s="37"/>
      <c r="AE58" s="37"/>
      <c r="AF58" s="37"/>
      <c r="AH58" s="20">
        <f t="shared" si="6"/>
        <v>0</v>
      </c>
      <c r="AI58" s="20">
        <f t="shared" si="7"/>
        <v>0</v>
      </c>
    </row>
    <row r="59" spans="1:35" ht="20.100000000000001" customHeight="1">
      <c r="A59" s="24" t="str">
        <f>ÖSSZES!$A$102</f>
        <v>Tóth János</v>
      </c>
      <c r="B59" s="37"/>
      <c r="C59" s="37"/>
      <c r="D59" s="37"/>
      <c r="E59" s="37"/>
      <c r="F59" s="37"/>
      <c r="G59" s="39" t="s">
        <v>2</v>
      </c>
      <c r="H59" s="39" t="s">
        <v>2</v>
      </c>
      <c r="I59" s="37"/>
      <c r="J59" s="37"/>
      <c r="K59" s="37"/>
      <c r="L59" s="37"/>
      <c r="M59" s="37"/>
      <c r="N59" s="39" t="s">
        <v>2</v>
      </c>
      <c r="O59" s="39" t="s">
        <v>2</v>
      </c>
      <c r="P59" s="19" t="s">
        <v>63</v>
      </c>
      <c r="Q59" s="37"/>
      <c r="R59" s="37"/>
      <c r="S59" s="37"/>
      <c r="T59" s="37"/>
      <c r="U59" s="39" t="s">
        <v>2</v>
      </c>
      <c r="V59" s="39" t="s">
        <v>2</v>
      </c>
      <c r="W59" s="37"/>
      <c r="X59" s="37"/>
      <c r="Y59" s="37"/>
      <c r="Z59" s="37"/>
      <c r="AA59" s="37"/>
      <c r="AB59" s="39" t="s">
        <v>2</v>
      </c>
      <c r="AC59" s="39" t="s">
        <v>2</v>
      </c>
      <c r="AD59" s="37"/>
      <c r="AE59" s="37"/>
      <c r="AF59" s="37"/>
      <c r="AH59" s="20">
        <f t="shared" si="6"/>
        <v>0</v>
      </c>
      <c r="AI59" s="20">
        <f t="shared" si="7"/>
        <v>0</v>
      </c>
    </row>
    <row r="60" spans="1:35" ht="20.100000000000001" customHeight="1">
      <c r="A60" s="24" t="str">
        <f>ÖSSZES!$A$103</f>
        <v>Tóth Krisztián</v>
      </c>
      <c r="B60" s="37"/>
      <c r="C60" s="37"/>
      <c r="D60" s="37"/>
      <c r="E60" s="37"/>
      <c r="F60" s="37"/>
      <c r="G60" s="39" t="s">
        <v>2</v>
      </c>
      <c r="H60" s="39" t="s">
        <v>2</v>
      </c>
      <c r="I60" s="37"/>
      <c r="J60" s="37"/>
      <c r="K60" s="37"/>
      <c r="L60" s="37"/>
      <c r="M60" s="37"/>
      <c r="N60" s="39" t="s">
        <v>2</v>
      </c>
      <c r="O60" s="39" t="s">
        <v>2</v>
      </c>
      <c r="P60" s="19" t="s">
        <v>63</v>
      </c>
      <c r="Q60" s="37"/>
      <c r="R60" s="37"/>
      <c r="S60" s="37"/>
      <c r="T60" s="37"/>
      <c r="U60" s="39" t="s">
        <v>2</v>
      </c>
      <c r="V60" s="39" t="s">
        <v>2</v>
      </c>
      <c r="W60" s="37"/>
      <c r="X60" s="37"/>
      <c r="Y60" s="37"/>
      <c r="Z60" s="37"/>
      <c r="AA60" s="37"/>
      <c r="AB60" s="39" t="s">
        <v>2</v>
      </c>
      <c r="AC60" s="39" t="s">
        <v>2</v>
      </c>
      <c r="AD60" s="37"/>
      <c r="AE60" s="37"/>
      <c r="AF60" s="37"/>
      <c r="AH60" s="20">
        <f t="shared" si="6"/>
        <v>0</v>
      </c>
      <c r="AI60" s="20">
        <f t="shared" si="7"/>
        <v>0</v>
      </c>
    </row>
    <row r="61" spans="1:35" ht="20.100000000000001" hidden="1" customHeight="1">
      <c r="A61" s="24" t="str">
        <f>ÖSSZES!$A$104</f>
        <v>Név10</v>
      </c>
      <c r="B61" s="37"/>
      <c r="C61" s="37"/>
      <c r="D61" s="37"/>
      <c r="E61" s="37"/>
      <c r="F61" s="37"/>
      <c r="G61" s="39" t="s">
        <v>2</v>
      </c>
      <c r="H61" s="39" t="s">
        <v>2</v>
      </c>
      <c r="I61" s="37"/>
      <c r="J61" s="37"/>
      <c r="K61" s="37"/>
      <c r="L61" s="37"/>
      <c r="M61" s="37"/>
      <c r="N61" s="39" t="s">
        <v>2</v>
      </c>
      <c r="O61" s="39" t="s">
        <v>2</v>
      </c>
      <c r="P61" s="19" t="s">
        <v>63</v>
      </c>
      <c r="Q61" s="37"/>
      <c r="R61" s="37"/>
      <c r="S61" s="37"/>
      <c r="T61" s="37"/>
      <c r="U61" s="39" t="s">
        <v>2</v>
      </c>
      <c r="V61" s="39" t="s">
        <v>2</v>
      </c>
      <c r="W61" s="37"/>
      <c r="X61" s="37"/>
      <c r="Y61" s="37"/>
      <c r="Z61" s="37"/>
      <c r="AA61" s="37"/>
      <c r="AB61" s="39" t="s">
        <v>2</v>
      </c>
      <c r="AC61" s="39" t="s">
        <v>2</v>
      </c>
      <c r="AD61" s="37"/>
      <c r="AE61" s="37"/>
      <c r="AF61" s="37"/>
      <c r="AH61" s="20">
        <f t="shared" si="6"/>
        <v>0</v>
      </c>
      <c r="AI61" s="20">
        <f t="shared" si="7"/>
        <v>0</v>
      </c>
    </row>
    <row r="62" spans="1:35" ht="20.100000000000001" hidden="1" customHeight="1">
      <c r="A62" s="24" t="str">
        <f>ÖSSZES!$A$105</f>
        <v>Név11</v>
      </c>
      <c r="B62" s="37"/>
      <c r="C62" s="37"/>
      <c r="D62" s="37"/>
      <c r="E62" s="37"/>
      <c r="F62" s="37"/>
      <c r="G62" s="39" t="s">
        <v>2</v>
      </c>
      <c r="H62" s="39" t="s">
        <v>2</v>
      </c>
      <c r="I62" s="37"/>
      <c r="J62" s="37"/>
      <c r="K62" s="37"/>
      <c r="L62" s="37"/>
      <c r="M62" s="37"/>
      <c r="N62" s="39" t="s">
        <v>2</v>
      </c>
      <c r="O62" s="39" t="s">
        <v>2</v>
      </c>
      <c r="P62" s="19" t="s">
        <v>63</v>
      </c>
      <c r="Q62" s="37"/>
      <c r="R62" s="37"/>
      <c r="S62" s="37"/>
      <c r="T62" s="37"/>
      <c r="U62" s="39" t="s">
        <v>2</v>
      </c>
      <c r="V62" s="39" t="s">
        <v>2</v>
      </c>
      <c r="W62" s="37"/>
      <c r="X62" s="37"/>
      <c r="Y62" s="37"/>
      <c r="Z62" s="37"/>
      <c r="AA62" s="37"/>
      <c r="AB62" s="39" t="s">
        <v>2</v>
      </c>
      <c r="AC62" s="39" t="s">
        <v>2</v>
      </c>
      <c r="AD62" s="37"/>
      <c r="AE62" s="37"/>
      <c r="AF62" s="37"/>
      <c r="AH62" s="20">
        <f t="shared" si="6"/>
        <v>0</v>
      </c>
      <c r="AI62" s="20">
        <f t="shared" si="7"/>
        <v>0</v>
      </c>
    </row>
    <row r="63" spans="1:35" ht="20.100000000000001" hidden="1" customHeight="1">
      <c r="A63" s="24" t="str">
        <f>ÖSSZES!$A$106</f>
        <v>Név12</v>
      </c>
      <c r="B63" s="37"/>
      <c r="C63" s="37"/>
      <c r="D63" s="37"/>
      <c r="E63" s="37"/>
      <c r="F63" s="37"/>
      <c r="G63" s="39" t="s">
        <v>2</v>
      </c>
      <c r="H63" s="39" t="s">
        <v>2</v>
      </c>
      <c r="I63" s="37"/>
      <c r="J63" s="37"/>
      <c r="K63" s="37"/>
      <c r="L63" s="37"/>
      <c r="M63" s="37"/>
      <c r="N63" s="39" t="s">
        <v>2</v>
      </c>
      <c r="O63" s="39" t="s">
        <v>2</v>
      </c>
      <c r="P63" s="19" t="s">
        <v>63</v>
      </c>
      <c r="Q63" s="37"/>
      <c r="R63" s="37"/>
      <c r="S63" s="37"/>
      <c r="T63" s="37"/>
      <c r="U63" s="39" t="s">
        <v>2</v>
      </c>
      <c r="V63" s="39" t="s">
        <v>2</v>
      </c>
      <c r="W63" s="37"/>
      <c r="X63" s="37"/>
      <c r="Y63" s="37"/>
      <c r="Z63" s="37"/>
      <c r="AA63" s="37"/>
      <c r="AB63" s="39" t="s">
        <v>2</v>
      </c>
      <c r="AC63" s="39" t="s">
        <v>2</v>
      </c>
      <c r="AD63" s="37"/>
      <c r="AE63" s="37"/>
      <c r="AF63" s="37"/>
      <c r="AH63" s="20">
        <f t="shared" si="6"/>
        <v>0</v>
      </c>
      <c r="AI63" s="20">
        <f t="shared" si="7"/>
        <v>0</v>
      </c>
    </row>
    <row r="64" spans="1:35" ht="20.100000000000001" hidden="1" customHeight="1">
      <c r="A64" s="24" t="str">
        <f>ÖSSZES!$A$107</f>
        <v>Név13</v>
      </c>
      <c r="B64" s="37"/>
      <c r="C64" s="37"/>
      <c r="D64" s="37"/>
      <c r="E64" s="37"/>
      <c r="F64" s="37"/>
      <c r="G64" s="39" t="s">
        <v>2</v>
      </c>
      <c r="H64" s="39" t="s">
        <v>2</v>
      </c>
      <c r="I64" s="37"/>
      <c r="J64" s="37"/>
      <c r="K64" s="37"/>
      <c r="L64" s="37"/>
      <c r="M64" s="37"/>
      <c r="N64" s="39" t="s">
        <v>2</v>
      </c>
      <c r="O64" s="39" t="s">
        <v>2</v>
      </c>
      <c r="P64" s="19" t="s">
        <v>63</v>
      </c>
      <c r="Q64" s="37"/>
      <c r="R64" s="37"/>
      <c r="S64" s="37"/>
      <c r="T64" s="37"/>
      <c r="U64" s="39" t="s">
        <v>2</v>
      </c>
      <c r="V64" s="39" t="s">
        <v>2</v>
      </c>
      <c r="W64" s="37"/>
      <c r="X64" s="37"/>
      <c r="Y64" s="37"/>
      <c r="Z64" s="37"/>
      <c r="AA64" s="37"/>
      <c r="AB64" s="39" t="s">
        <v>2</v>
      </c>
      <c r="AC64" s="39" t="s">
        <v>2</v>
      </c>
      <c r="AD64" s="37"/>
      <c r="AE64" s="37"/>
      <c r="AF64" s="37"/>
      <c r="AH64" s="20">
        <f t="shared" si="6"/>
        <v>0</v>
      </c>
      <c r="AI64" s="20">
        <f t="shared" si="7"/>
        <v>0</v>
      </c>
    </row>
    <row r="65" spans="1:35" ht="20.100000000000001" hidden="1" customHeight="1">
      <c r="A65" s="24" t="str">
        <f>ÖSSZES!$A$108</f>
        <v>Név14</v>
      </c>
      <c r="B65" s="37"/>
      <c r="C65" s="37"/>
      <c r="D65" s="37"/>
      <c r="E65" s="37"/>
      <c r="F65" s="37"/>
      <c r="G65" s="39" t="s">
        <v>2</v>
      </c>
      <c r="H65" s="39" t="s">
        <v>2</v>
      </c>
      <c r="I65" s="37"/>
      <c r="J65" s="37"/>
      <c r="K65" s="37"/>
      <c r="L65" s="37"/>
      <c r="M65" s="37"/>
      <c r="N65" s="39" t="s">
        <v>2</v>
      </c>
      <c r="O65" s="39" t="s">
        <v>2</v>
      </c>
      <c r="P65" s="19" t="s">
        <v>63</v>
      </c>
      <c r="Q65" s="37"/>
      <c r="R65" s="37"/>
      <c r="S65" s="37"/>
      <c r="T65" s="37"/>
      <c r="U65" s="39" t="s">
        <v>2</v>
      </c>
      <c r="V65" s="39" t="s">
        <v>2</v>
      </c>
      <c r="W65" s="37"/>
      <c r="X65" s="37"/>
      <c r="Y65" s="37"/>
      <c r="Z65" s="37"/>
      <c r="AA65" s="37"/>
      <c r="AB65" s="39" t="s">
        <v>2</v>
      </c>
      <c r="AC65" s="39" t="s">
        <v>2</v>
      </c>
      <c r="AD65" s="37"/>
      <c r="AE65" s="37"/>
      <c r="AF65" s="37"/>
      <c r="AH65" s="20">
        <f t="shared" si="6"/>
        <v>0</v>
      </c>
      <c r="AI65" s="20">
        <f t="shared" si="7"/>
        <v>0</v>
      </c>
    </row>
    <row r="66" spans="1:35" ht="20.100000000000001" hidden="1" customHeight="1">
      <c r="A66" s="24" t="str">
        <f>ÖSSZES!$A$109</f>
        <v>Név15</v>
      </c>
      <c r="B66" s="37"/>
      <c r="C66" s="37"/>
      <c r="D66" s="37"/>
      <c r="E66" s="37"/>
      <c r="F66" s="37"/>
      <c r="G66" s="39" t="s">
        <v>2</v>
      </c>
      <c r="H66" s="39" t="s">
        <v>2</v>
      </c>
      <c r="I66" s="37"/>
      <c r="J66" s="37"/>
      <c r="K66" s="37"/>
      <c r="L66" s="37"/>
      <c r="M66" s="37"/>
      <c r="N66" s="39" t="s">
        <v>2</v>
      </c>
      <c r="O66" s="39" t="s">
        <v>2</v>
      </c>
      <c r="P66" s="19" t="s">
        <v>63</v>
      </c>
      <c r="Q66" s="37"/>
      <c r="R66" s="37"/>
      <c r="S66" s="37"/>
      <c r="T66" s="37"/>
      <c r="U66" s="39" t="s">
        <v>2</v>
      </c>
      <c r="V66" s="39" t="s">
        <v>2</v>
      </c>
      <c r="W66" s="37"/>
      <c r="X66" s="37"/>
      <c r="Y66" s="37"/>
      <c r="Z66" s="37"/>
      <c r="AA66" s="37"/>
      <c r="AB66" s="39" t="s">
        <v>2</v>
      </c>
      <c r="AC66" s="39" t="s">
        <v>2</v>
      </c>
      <c r="AD66" s="37"/>
      <c r="AE66" s="37"/>
      <c r="AF66" s="37"/>
      <c r="AH66" s="20">
        <f t="shared" si="6"/>
        <v>0</v>
      </c>
      <c r="AI66" s="20">
        <f t="shared" si="7"/>
        <v>0</v>
      </c>
    </row>
    <row r="67" spans="1:35" ht="20.100000000000001" hidden="1" customHeight="1">
      <c r="A67" s="24" t="str">
        <f>ÖSSZES!$A$110</f>
        <v>Név16</v>
      </c>
      <c r="B67" s="37"/>
      <c r="C67" s="37"/>
      <c r="D67" s="37"/>
      <c r="E67" s="37"/>
      <c r="F67" s="37"/>
      <c r="G67" s="39" t="s">
        <v>2</v>
      </c>
      <c r="H67" s="39" t="s">
        <v>2</v>
      </c>
      <c r="I67" s="37"/>
      <c r="J67" s="37"/>
      <c r="K67" s="37"/>
      <c r="L67" s="37"/>
      <c r="M67" s="37"/>
      <c r="N67" s="39" t="s">
        <v>2</v>
      </c>
      <c r="O67" s="39" t="s">
        <v>2</v>
      </c>
      <c r="P67" s="19" t="s">
        <v>63</v>
      </c>
      <c r="Q67" s="37"/>
      <c r="R67" s="37"/>
      <c r="S67" s="37"/>
      <c r="T67" s="37"/>
      <c r="U67" s="39" t="s">
        <v>2</v>
      </c>
      <c r="V67" s="39" t="s">
        <v>2</v>
      </c>
      <c r="W67" s="37"/>
      <c r="X67" s="37"/>
      <c r="Y67" s="37"/>
      <c r="Z67" s="37"/>
      <c r="AA67" s="37"/>
      <c r="AB67" s="39" t="s">
        <v>2</v>
      </c>
      <c r="AC67" s="39" t="s">
        <v>2</v>
      </c>
      <c r="AD67" s="37"/>
      <c r="AE67" s="37"/>
      <c r="AF67" s="37"/>
      <c r="AH67" s="20">
        <f t="shared" si="6"/>
        <v>0</v>
      </c>
      <c r="AI67" s="20">
        <f t="shared" si="7"/>
        <v>0</v>
      </c>
    </row>
    <row r="68" spans="1:35" ht="20.100000000000001" hidden="1" customHeight="1">
      <c r="A68" s="24" t="str">
        <f>ÖSSZES!$A$111</f>
        <v>Név17</v>
      </c>
      <c r="B68" s="37"/>
      <c r="C68" s="37"/>
      <c r="D68" s="37"/>
      <c r="E68" s="37"/>
      <c r="F68" s="37"/>
      <c r="G68" s="39" t="s">
        <v>2</v>
      </c>
      <c r="H68" s="39" t="s">
        <v>2</v>
      </c>
      <c r="I68" s="37"/>
      <c r="J68" s="37"/>
      <c r="K68" s="37"/>
      <c r="L68" s="37"/>
      <c r="M68" s="37"/>
      <c r="N68" s="39" t="s">
        <v>2</v>
      </c>
      <c r="O68" s="39" t="s">
        <v>2</v>
      </c>
      <c r="P68" s="19" t="s">
        <v>63</v>
      </c>
      <c r="Q68" s="37"/>
      <c r="R68" s="37"/>
      <c r="S68" s="37"/>
      <c r="T68" s="37"/>
      <c r="U68" s="39" t="s">
        <v>2</v>
      </c>
      <c r="V68" s="39" t="s">
        <v>2</v>
      </c>
      <c r="W68" s="37"/>
      <c r="X68" s="37"/>
      <c r="Y68" s="37"/>
      <c r="Z68" s="37"/>
      <c r="AA68" s="37"/>
      <c r="AB68" s="39" t="s">
        <v>2</v>
      </c>
      <c r="AC68" s="39" t="s">
        <v>2</v>
      </c>
      <c r="AD68" s="37"/>
      <c r="AE68" s="37"/>
      <c r="AF68" s="37"/>
      <c r="AH68" s="20">
        <f t="shared" si="6"/>
        <v>0</v>
      </c>
      <c r="AI68" s="20">
        <f t="shared" si="7"/>
        <v>0</v>
      </c>
    </row>
    <row r="69" spans="1:35" ht="20.100000000000001" hidden="1" customHeight="1">
      <c r="A69" s="24" t="str">
        <f>ÖSSZES!$A$112</f>
        <v>Név18</v>
      </c>
      <c r="B69" s="37"/>
      <c r="C69" s="37"/>
      <c r="D69" s="37"/>
      <c r="E69" s="37"/>
      <c r="F69" s="37"/>
      <c r="G69" s="39" t="s">
        <v>2</v>
      </c>
      <c r="H69" s="39" t="s">
        <v>2</v>
      </c>
      <c r="I69" s="37"/>
      <c r="J69" s="37"/>
      <c r="K69" s="37"/>
      <c r="L69" s="37"/>
      <c r="M69" s="37"/>
      <c r="N69" s="39" t="s">
        <v>2</v>
      </c>
      <c r="O69" s="39" t="s">
        <v>2</v>
      </c>
      <c r="P69" s="19" t="s">
        <v>63</v>
      </c>
      <c r="Q69" s="37"/>
      <c r="R69" s="37"/>
      <c r="S69" s="37"/>
      <c r="T69" s="37"/>
      <c r="U69" s="39" t="s">
        <v>2</v>
      </c>
      <c r="V69" s="39" t="s">
        <v>2</v>
      </c>
      <c r="W69" s="37"/>
      <c r="X69" s="37"/>
      <c r="Y69" s="37"/>
      <c r="Z69" s="37"/>
      <c r="AA69" s="37"/>
      <c r="AB69" s="39" t="s">
        <v>2</v>
      </c>
      <c r="AC69" s="39" t="s">
        <v>2</v>
      </c>
      <c r="AD69" s="37"/>
      <c r="AE69" s="37"/>
      <c r="AF69" s="37"/>
      <c r="AH69" s="20">
        <f t="shared" si="6"/>
        <v>0</v>
      </c>
      <c r="AI69" s="20">
        <f t="shared" si="7"/>
        <v>0</v>
      </c>
    </row>
    <row r="70" spans="1:35" ht="20.100000000000001" hidden="1" customHeight="1">
      <c r="A70" s="24" t="str">
        <f>ÖSSZES!$A$113</f>
        <v>Név19</v>
      </c>
      <c r="B70" s="37"/>
      <c r="C70" s="37"/>
      <c r="D70" s="37"/>
      <c r="E70" s="37"/>
      <c r="F70" s="37"/>
      <c r="G70" s="39" t="s">
        <v>2</v>
      </c>
      <c r="H70" s="39" t="s">
        <v>2</v>
      </c>
      <c r="I70" s="37"/>
      <c r="J70" s="37"/>
      <c r="K70" s="37"/>
      <c r="L70" s="37"/>
      <c r="M70" s="37"/>
      <c r="N70" s="39" t="s">
        <v>2</v>
      </c>
      <c r="O70" s="39" t="s">
        <v>2</v>
      </c>
      <c r="P70" s="19" t="s">
        <v>63</v>
      </c>
      <c r="Q70" s="37"/>
      <c r="R70" s="37"/>
      <c r="S70" s="37"/>
      <c r="T70" s="37"/>
      <c r="U70" s="39" t="s">
        <v>2</v>
      </c>
      <c r="V70" s="39" t="s">
        <v>2</v>
      </c>
      <c r="W70" s="37"/>
      <c r="X70" s="37"/>
      <c r="Y70" s="37"/>
      <c r="Z70" s="37"/>
      <c r="AA70" s="37"/>
      <c r="AB70" s="39" t="s">
        <v>2</v>
      </c>
      <c r="AC70" s="39" t="s">
        <v>2</v>
      </c>
      <c r="AD70" s="37"/>
      <c r="AE70" s="37"/>
      <c r="AF70" s="37"/>
      <c r="AH70" s="20">
        <f t="shared" si="6"/>
        <v>0</v>
      </c>
      <c r="AI70" s="20">
        <f t="shared" si="7"/>
        <v>0</v>
      </c>
    </row>
    <row r="71" spans="1:35" ht="20.100000000000001" hidden="1" customHeight="1">
      <c r="A71" s="24" t="str">
        <f>ÖSSZES!$A$114</f>
        <v>Név20</v>
      </c>
      <c r="B71" s="37"/>
      <c r="C71" s="37"/>
      <c r="D71" s="37"/>
      <c r="E71" s="37"/>
      <c r="F71" s="37"/>
      <c r="G71" s="39" t="s">
        <v>2</v>
      </c>
      <c r="H71" s="39" t="s">
        <v>2</v>
      </c>
      <c r="I71" s="37"/>
      <c r="J71" s="37"/>
      <c r="K71" s="37"/>
      <c r="L71" s="37"/>
      <c r="M71" s="37"/>
      <c r="N71" s="39" t="s">
        <v>2</v>
      </c>
      <c r="O71" s="39" t="s">
        <v>2</v>
      </c>
      <c r="P71" s="19" t="s">
        <v>63</v>
      </c>
      <c r="Q71" s="37"/>
      <c r="R71" s="37"/>
      <c r="S71" s="37"/>
      <c r="T71" s="37"/>
      <c r="U71" s="39" t="s">
        <v>2</v>
      </c>
      <c r="V71" s="39" t="s">
        <v>2</v>
      </c>
      <c r="W71" s="37"/>
      <c r="X71" s="37"/>
      <c r="Y71" s="37"/>
      <c r="Z71" s="37"/>
      <c r="AA71" s="37"/>
      <c r="AB71" s="39" t="s">
        <v>2</v>
      </c>
      <c r="AC71" s="39" t="s">
        <v>2</v>
      </c>
      <c r="AD71" s="37"/>
      <c r="AE71" s="37"/>
      <c r="AF71" s="37"/>
      <c r="AH71" s="20">
        <f t="shared" si="6"/>
        <v>0</v>
      </c>
      <c r="AI71" s="20">
        <f t="shared" si="7"/>
        <v>0</v>
      </c>
    </row>
    <row r="72" spans="1:35" ht="20.100000000000001" customHeight="1"/>
    <row r="73" spans="1:35" s="11" customFormat="1" ht="20.100000000000001" customHeight="1">
      <c r="A73" s="54" t="s">
        <v>17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23">
        <v>7</v>
      </c>
      <c r="I73" s="23">
        <v>8</v>
      </c>
      <c r="J73" s="23">
        <v>9</v>
      </c>
      <c r="K73" s="23">
        <v>10</v>
      </c>
      <c r="L73" s="23">
        <v>11</v>
      </c>
      <c r="M73" s="23">
        <v>12</v>
      </c>
      <c r="N73" s="23">
        <v>13</v>
      </c>
      <c r="O73" s="23">
        <v>14</v>
      </c>
      <c r="P73" s="23">
        <v>15</v>
      </c>
      <c r="Q73" s="23">
        <v>16</v>
      </c>
      <c r="R73" s="23">
        <v>17</v>
      </c>
      <c r="S73" s="23">
        <v>18</v>
      </c>
      <c r="T73" s="23">
        <v>19</v>
      </c>
      <c r="U73" s="23">
        <v>20</v>
      </c>
      <c r="V73" s="23">
        <v>21</v>
      </c>
      <c r="W73" s="23">
        <v>22</v>
      </c>
      <c r="X73" s="23">
        <v>23</v>
      </c>
      <c r="Y73" s="23">
        <v>24</v>
      </c>
      <c r="Z73" s="23">
        <v>25</v>
      </c>
      <c r="AA73" s="23">
        <v>26</v>
      </c>
      <c r="AB73" s="23">
        <v>27</v>
      </c>
      <c r="AC73" s="23">
        <v>28</v>
      </c>
      <c r="AD73" s="23">
        <v>29</v>
      </c>
      <c r="AE73" s="23">
        <v>30</v>
      </c>
      <c r="AH73" s="59" t="s">
        <v>18</v>
      </c>
      <c r="AI73" s="59" t="s">
        <v>19</v>
      </c>
    </row>
    <row r="74" spans="1:35" ht="20.100000000000001" customHeight="1">
      <c r="A74" s="62"/>
      <c r="B74" s="15" t="str">
        <f>'2021'!B28</f>
        <v>Cs</v>
      </c>
      <c r="C74" s="15" t="str">
        <f>'2021'!C28</f>
        <v>P</v>
      </c>
      <c r="D74" s="15" t="str">
        <f>'2021'!D28</f>
        <v>Szo</v>
      </c>
      <c r="E74" s="15" t="str">
        <f>'2021'!E28</f>
        <v>V</v>
      </c>
      <c r="F74" s="15" t="str">
        <f>'2021'!F28</f>
        <v>H</v>
      </c>
      <c r="G74" s="15" t="str">
        <f>'2021'!G28</f>
        <v>K</v>
      </c>
      <c r="H74" s="15" t="str">
        <f>'2021'!H28</f>
        <v>Sze</v>
      </c>
      <c r="I74" s="15" t="str">
        <f>'2021'!I28</f>
        <v>Cs</v>
      </c>
      <c r="J74" s="15" t="str">
        <f>'2021'!J28</f>
        <v>P</v>
      </c>
      <c r="K74" s="15" t="str">
        <f>'2021'!K28</f>
        <v>Szo</v>
      </c>
      <c r="L74" s="15" t="str">
        <f>'2021'!L28</f>
        <v>V</v>
      </c>
      <c r="M74" s="15" t="str">
        <f>'2021'!M28</f>
        <v>H</v>
      </c>
      <c r="N74" s="15" t="str">
        <f>'2021'!N28</f>
        <v>K</v>
      </c>
      <c r="O74" s="15" t="str">
        <f>'2021'!O28</f>
        <v>Sze</v>
      </c>
      <c r="P74" s="15" t="str">
        <f>'2021'!P28</f>
        <v>Cs</v>
      </c>
      <c r="Q74" s="15" t="str">
        <f>'2021'!Q28</f>
        <v>P</v>
      </c>
      <c r="R74" s="15" t="str">
        <f>'2021'!R28</f>
        <v>Szo</v>
      </c>
      <c r="S74" s="15" t="str">
        <f>'2021'!S28</f>
        <v>V</v>
      </c>
      <c r="T74" s="15" t="str">
        <f>'2021'!T28</f>
        <v>H</v>
      </c>
      <c r="U74" s="15" t="str">
        <f>'2021'!U28</f>
        <v>K</v>
      </c>
      <c r="V74" s="15" t="str">
        <f>'2021'!V28</f>
        <v>Sze</v>
      </c>
      <c r="W74" s="15" t="str">
        <f>'2021'!W28</f>
        <v>Cs</v>
      </c>
      <c r="X74" s="15" t="str">
        <f>'2021'!X28</f>
        <v>P</v>
      </c>
      <c r="Y74" s="15" t="str">
        <f>'2021'!Y28</f>
        <v>Szo</v>
      </c>
      <c r="Z74" s="15" t="str">
        <f>'2021'!Z28</f>
        <v>V</v>
      </c>
      <c r="AA74" s="15" t="str">
        <f>'2021'!AA28</f>
        <v>H</v>
      </c>
      <c r="AB74" s="15" t="str">
        <f>'2021'!AB28</f>
        <v>K</v>
      </c>
      <c r="AC74" s="15" t="str">
        <f>'2021'!AC28</f>
        <v>Sze</v>
      </c>
      <c r="AD74" s="15" t="str">
        <f>'2021'!AD28</f>
        <v>Cs</v>
      </c>
      <c r="AE74" s="15" t="str">
        <f>'2021'!AE28</f>
        <v>P</v>
      </c>
      <c r="AF74" s="6"/>
      <c r="AH74" s="60"/>
      <c r="AI74" s="60"/>
    </row>
    <row r="75" spans="1:35" ht="20.100000000000001" customHeight="1">
      <c r="A75" s="62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6"/>
      <c r="AH75" s="60"/>
      <c r="AI75" s="60"/>
    </row>
    <row r="76" spans="1:35" ht="20.100000000000001" customHeight="1">
      <c r="A76" s="24" t="str">
        <f>ÖSSZES!$A$95</f>
        <v>Kovács Kriszitán</v>
      </c>
      <c r="B76" s="39"/>
      <c r="C76" s="39"/>
      <c r="D76" s="39" t="s">
        <v>2</v>
      </c>
      <c r="E76" s="39" t="s">
        <v>2</v>
      </c>
      <c r="F76" s="39"/>
      <c r="G76" s="39"/>
      <c r="H76" s="39"/>
      <c r="I76" s="39"/>
      <c r="J76" s="39"/>
      <c r="K76" s="39" t="s">
        <v>2</v>
      </c>
      <c r="L76" s="39" t="s">
        <v>2</v>
      </c>
      <c r="M76" s="39"/>
      <c r="N76" s="39"/>
      <c r="O76" s="39"/>
      <c r="P76" s="39"/>
      <c r="Q76" s="39"/>
      <c r="R76" s="39" t="s">
        <v>2</v>
      </c>
      <c r="S76" s="39" t="s">
        <v>2</v>
      </c>
      <c r="T76" s="39"/>
      <c r="U76" s="39"/>
      <c r="V76" s="39"/>
      <c r="W76" s="39"/>
      <c r="X76" s="39"/>
      <c r="Y76" s="39" t="s">
        <v>2</v>
      </c>
      <c r="Z76" s="39" t="s">
        <v>2</v>
      </c>
      <c r="AA76" s="39"/>
      <c r="AB76" s="39"/>
      <c r="AC76" s="39"/>
      <c r="AD76" s="39"/>
      <c r="AE76" s="39"/>
      <c r="AF76" s="6"/>
      <c r="AH76" s="20">
        <f>1*COUNTIF(A76:AF76,"+")</f>
        <v>0</v>
      </c>
      <c r="AI76" s="20">
        <f t="shared" ref="AI76" si="8">1*COUNTIF(B76:AF76,"szf")</f>
        <v>0</v>
      </c>
    </row>
    <row r="77" spans="1:35" ht="20.100000000000001" customHeight="1">
      <c r="A77" s="24" t="str">
        <f>ÖSSZES!$A$96</f>
        <v>Besse Éva</v>
      </c>
      <c r="B77" s="39"/>
      <c r="C77" s="39"/>
      <c r="D77" s="39" t="s">
        <v>2</v>
      </c>
      <c r="E77" s="39" t="s">
        <v>2</v>
      </c>
      <c r="F77" s="39"/>
      <c r="G77" s="39"/>
      <c r="H77" s="39"/>
      <c r="I77" s="39"/>
      <c r="J77" s="39"/>
      <c r="K77" s="39" t="s">
        <v>2</v>
      </c>
      <c r="L77" s="39" t="s">
        <v>2</v>
      </c>
      <c r="M77" s="39"/>
      <c r="N77" s="39"/>
      <c r="O77" s="39"/>
      <c r="P77" s="39"/>
      <c r="Q77" s="39"/>
      <c r="R77" s="39" t="s">
        <v>2</v>
      </c>
      <c r="S77" s="39" t="s">
        <v>2</v>
      </c>
      <c r="T77" s="39"/>
      <c r="U77" s="39"/>
      <c r="V77" s="39"/>
      <c r="W77" s="39"/>
      <c r="X77" s="39"/>
      <c r="Y77" s="39" t="s">
        <v>2</v>
      </c>
      <c r="Z77" s="39" t="s">
        <v>2</v>
      </c>
      <c r="AA77" s="39"/>
      <c r="AB77" s="39"/>
      <c r="AC77" s="39"/>
      <c r="AD77" s="39"/>
      <c r="AE77" s="39"/>
      <c r="AF77" s="6"/>
      <c r="AH77" s="20">
        <f t="shared" ref="AH77:AH95" si="9">1*COUNTIF(A77:AF77,"+")</f>
        <v>0</v>
      </c>
      <c r="AI77" s="20">
        <f t="shared" ref="AI77:AI95" si="10">1*COUNTIF(B77:AF77,"szf")</f>
        <v>0</v>
      </c>
    </row>
    <row r="78" spans="1:35" ht="20.100000000000001" customHeight="1">
      <c r="A78" s="24" t="str">
        <f>ÖSSZES!$A$97</f>
        <v>Bulyáki Csaba</v>
      </c>
      <c r="B78" s="39"/>
      <c r="C78" s="39"/>
      <c r="D78" s="39" t="s">
        <v>2</v>
      </c>
      <c r="E78" s="39" t="s">
        <v>2</v>
      </c>
      <c r="F78" s="39"/>
      <c r="G78" s="39"/>
      <c r="H78" s="39"/>
      <c r="I78" s="39"/>
      <c r="J78" s="39"/>
      <c r="K78" s="39" t="s">
        <v>2</v>
      </c>
      <c r="L78" s="39" t="s">
        <v>2</v>
      </c>
      <c r="M78" s="39"/>
      <c r="N78" s="39"/>
      <c r="O78" s="39"/>
      <c r="P78" s="39"/>
      <c r="Q78" s="39"/>
      <c r="R78" s="39" t="s">
        <v>2</v>
      </c>
      <c r="S78" s="39" t="s">
        <v>2</v>
      </c>
      <c r="T78" s="39"/>
      <c r="U78" s="39"/>
      <c r="V78" s="39"/>
      <c r="W78" s="39"/>
      <c r="X78" s="39"/>
      <c r="Y78" s="39" t="s">
        <v>2</v>
      </c>
      <c r="Z78" s="39" t="s">
        <v>2</v>
      </c>
      <c r="AA78" s="39"/>
      <c r="AB78" s="39"/>
      <c r="AC78" s="39"/>
      <c r="AD78" s="39"/>
      <c r="AE78" s="39"/>
      <c r="AF78" s="6"/>
      <c r="AH78" s="20">
        <f t="shared" si="9"/>
        <v>0</v>
      </c>
      <c r="AI78" s="20">
        <f t="shared" si="10"/>
        <v>0</v>
      </c>
    </row>
    <row r="79" spans="1:35" ht="20.100000000000001" customHeight="1">
      <c r="A79" s="24" t="str">
        <f>ÖSSZES!$A$98</f>
        <v>Dancsi Attila</v>
      </c>
      <c r="B79" s="39"/>
      <c r="C79" s="39"/>
      <c r="D79" s="39" t="s">
        <v>2</v>
      </c>
      <c r="E79" s="39" t="s">
        <v>2</v>
      </c>
      <c r="F79" s="39"/>
      <c r="G79" s="39"/>
      <c r="H79" s="39"/>
      <c r="I79" s="39"/>
      <c r="J79" s="39"/>
      <c r="K79" s="39" t="s">
        <v>2</v>
      </c>
      <c r="L79" s="39" t="s">
        <v>2</v>
      </c>
      <c r="M79" s="39"/>
      <c r="N79" s="39"/>
      <c r="O79" s="39"/>
      <c r="P79" s="39"/>
      <c r="Q79" s="39"/>
      <c r="R79" s="39" t="s">
        <v>2</v>
      </c>
      <c r="S79" s="39" t="s">
        <v>2</v>
      </c>
      <c r="T79" s="39"/>
      <c r="U79" s="39"/>
      <c r="V79" s="39"/>
      <c r="W79" s="39"/>
      <c r="X79" s="39"/>
      <c r="Y79" s="39" t="s">
        <v>2</v>
      </c>
      <c r="Z79" s="39" t="s">
        <v>2</v>
      </c>
      <c r="AA79" s="39"/>
      <c r="AB79" s="39"/>
      <c r="AC79" s="39"/>
      <c r="AD79" s="39"/>
      <c r="AE79" s="39"/>
      <c r="AF79" s="6"/>
      <c r="AH79" s="20">
        <f t="shared" si="9"/>
        <v>0</v>
      </c>
      <c r="AI79" s="20">
        <f t="shared" si="10"/>
        <v>0</v>
      </c>
    </row>
    <row r="80" spans="1:35" ht="20.100000000000001" customHeight="1">
      <c r="A80" s="24" t="str">
        <f>ÖSSZES!$A$99</f>
        <v>Fekete Tamás</v>
      </c>
      <c r="B80" s="39"/>
      <c r="C80" s="39"/>
      <c r="D80" s="39" t="s">
        <v>2</v>
      </c>
      <c r="E80" s="39" t="s">
        <v>2</v>
      </c>
      <c r="F80" s="39"/>
      <c r="G80" s="39"/>
      <c r="H80" s="39"/>
      <c r="I80" s="39"/>
      <c r="J80" s="39"/>
      <c r="K80" s="39" t="s">
        <v>2</v>
      </c>
      <c r="L80" s="39" t="s">
        <v>2</v>
      </c>
      <c r="M80" s="39"/>
      <c r="N80" s="39"/>
      <c r="O80" s="39"/>
      <c r="P80" s="39"/>
      <c r="Q80" s="39"/>
      <c r="R80" s="39" t="s">
        <v>2</v>
      </c>
      <c r="S80" s="39" t="s">
        <v>2</v>
      </c>
      <c r="T80" s="39"/>
      <c r="U80" s="39"/>
      <c r="V80" s="39"/>
      <c r="W80" s="39"/>
      <c r="X80" s="39"/>
      <c r="Y80" s="39" t="s">
        <v>2</v>
      </c>
      <c r="Z80" s="39" t="s">
        <v>2</v>
      </c>
      <c r="AA80" s="39"/>
      <c r="AB80" s="39"/>
      <c r="AC80" s="39"/>
      <c r="AD80" s="39"/>
      <c r="AE80" s="39"/>
      <c r="AF80" s="6"/>
      <c r="AH80" s="20">
        <f t="shared" si="9"/>
        <v>0</v>
      </c>
      <c r="AI80" s="20">
        <f t="shared" si="10"/>
        <v>0</v>
      </c>
    </row>
    <row r="81" spans="1:35" ht="20.100000000000001" customHeight="1">
      <c r="A81" s="24" t="str">
        <f>ÖSSZES!$A$100</f>
        <v>Iványi Roland</v>
      </c>
      <c r="B81" s="39"/>
      <c r="C81" s="39"/>
      <c r="D81" s="39" t="s">
        <v>2</v>
      </c>
      <c r="E81" s="39" t="s">
        <v>2</v>
      </c>
      <c r="F81" s="39"/>
      <c r="G81" s="39"/>
      <c r="H81" s="39"/>
      <c r="I81" s="39"/>
      <c r="J81" s="39"/>
      <c r="K81" s="39" t="s">
        <v>2</v>
      </c>
      <c r="L81" s="39" t="s">
        <v>2</v>
      </c>
      <c r="M81" s="39"/>
      <c r="N81" s="39"/>
      <c r="O81" s="39"/>
      <c r="P81" s="39"/>
      <c r="Q81" s="39"/>
      <c r="R81" s="39" t="s">
        <v>2</v>
      </c>
      <c r="S81" s="39" t="s">
        <v>2</v>
      </c>
      <c r="T81" s="39"/>
      <c r="U81" s="39"/>
      <c r="V81" s="39"/>
      <c r="W81" s="39"/>
      <c r="X81" s="39"/>
      <c r="Y81" s="39" t="s">
        <v>2</v>
      </c>
      <c r="Z81" s="39" t="s">
        <v>2</v>
      </c>
      <c r="AA81" s="39"/>
      <c r="AB81" s="39"/>
      <c r="AC81" s="39"/>
      <c r="AD81" s="39"/>
      <c r="AE81" s="39"/>
      <c r="AF81" s="6"/>
      <c r="AH81" s="20">
        <f t="shared" si="9"/>
        <v>0</v>
      </c>
      <c r="AI81" s="20">
        <f t="shared" si="10"/>
        <v>0</v>
      </c>
    </row>
    <row r="82" spans="1:35" ht="20.100000000000001" customHeight="1">
      <c r="A82" s="24" t="str">
        <f>ÖSSZES!$A$101</f>
        <v>Oláh Erika</v>
      </c>
      <c r="B82" s="39"/>
      <c r="C82" s="39"/>
      <c r="D82" s="39" t="s">
        <v>2</v>
      </c>
      <c r="E82" s="39" t="s">
        <v>2</v>
      </c>
      <c r="F82" s="39"/>
      <c r="G82" s="39"/>
      <c r="H82" s="39"/>
      <c r="I82" s="39"/>
      <c r="J82" s="39"/>
      <c r="K82" s="39" t="s">
        <v>2</v>
      </c>
      <c r="L82" s="39" t="s">
        <v>2</v>
      </c>
      <c r="M82" s="39"/>
      <c r="N82" s="39"/>
      <c r="O82" s="39"/>
      <c r="P82" s="39"/>
      <c r="Q82" s="39"/>
      <c r="R82" s="39" t="s">
        <v>2</v>
      </c>
      <c r="S82" s="39" t="s">
        <v>2</v>
      </c>
      <c r="T82" s="39"/>
      <c r="U82" s="39"/>
      <c r="V82" s="39"/>
      <c r="W82" s="39"/>
      <c r="X82" s="39"/>
      <c r="Y82" s="39" t="s">
        <v>2</v>
      </c>
      <c r="Z82" s="39" t="s">
        <v>2</v>
      </c>
      <c r="AA82" s="39"/>
      <c r="AB82" s="39"/>
      <c r="AC82" s="39"/>
      <c r="AD82" s="39"/>
      <c r="AE82" s="39"/>
      <c r="AF82" s="6"/>
      <c r="AH82" s="20">
        <f t="shared" si="9"/>
        <v>0</v>
      </c>
      <c r="AI82" s="20">
        <f t="shared" si="10"/>
        <v>0</v>
      </c>
    </row>
    <row r="83" spans="1:35" ht="20.100000000000001" customHeight="1">
      <c r="A83" s="24" t="str">
        <f>ÖSSZES!$A$102</f>
        <v>Tóth János</v>
      </c>
      <c r="B83" s="39"/>
      <c r="C83" s="39"/>
      <c r="D83" s="39" t="s">
        <v>2</v>
      </c>
      <c r="E83" s="39" t="s">
        <v>2</v>
      </c>
      <c r="F83" s="39"/>
      <c r="G83" s="39"/>
      <c r="H83" s="39"/>
      <c r="I83" s="39"/>
      <c r="J83" s="39"/>
      <c r="K83" s="39" t="s">
        <v>2</v>
      </c>
      <c r="L83" s="39" t="s">
        <v>2</v>
      </c>
      <c r="M83" s="39"/>
      <c r="N83" s="39"/>
      <c r="O83" s="39"/>
      <c r="P83" s="39"/>
      <c r="Q83" s="39"/>
      <c r="R83" s="39" t="s">
        <v>2</v>
      </c>
      <c r="S83" s="39" t="s">
        <v>2</v>
      </c>
      <c r="T83" s="39"/>
      <c r="U83" s="39"/>
      <c r="V83" s="39"/>
      <c r="W83" s="39"/>
      <c r="X83" s="39"/>
      <c r="Y83" s="39" t="s">
        <v>2</v>
      </c>
      <c r="Z83" s="39" t="s">
        <v>2</v>
      </c>
      <c r="AA83" s="39"/>
      <c r="AB83" s="39"/>
      <c r="AC83" s="39"/>
      <c r="AD83" s="39"/>
      <c r="AE83" s="39"/>
      <c r="AF83" s="6"/>
      <c r="AH83" s="20">
        <f t="shared" si="9"/>
        <v>0</v>
      </c>
      <c r="AI83" s="20">
        <f t="shared" si="10"/>
        <v>0</v>
      </c>
    </row>
    <row r="84" spans="1:35" ht="20.100000000000001" customHeight="1">
      <c r="A84" s="24" t="str">
        <f>ÖSSZES!$A$103</f>
        <v>Tóth Krisztián</v>
      </c>
      <c r="B84" s="39"/>
      <c r="C84" s="39"/>
      <c r="D84" s="39" t="s">
        <v>2</v>
      </c>
      <c r="E84" s="39" t="s">
        <v>2</v>
      </c>
      <c r="F84" s="39"/>
      <c r="G84" s="39"/>
      <c r="H84" s="39"/>
      <c r="I84" s="39"/>
      <c r="J84" s="39"/>
      <c r="K84" s="39" t="s">
        <v>2</v>
      </c>
      <c r="L84" s="39" t="s">
        <v>2</v>
      </c>
      <c r="M84" s="39"/>
      <c r="N84" s="39"/>
      <c r="O84" s="39"/>
      <c r="P84" s="39"/>
      <c r="Q84" s="39"/>
      <c r="R84" s="39" t="s">
        <v>2</v>
      </c>
      <c r="S84" s="39" t="s">
        <v>2</v>
      </c>
      <c r="T84" s="39"/>
      <c r="U84" s="39"/>
      <c r="V84" s="39"/>
      <c r="W84" s="39"/>
      <c r="X84" s="39"/>
      <c r="Y84" s="39" t="s">
        <v>2</v>
      </c>
      <c r="Z84" s="39" t="s">
        <v>2</v>
      </c>
      <c r="AA84" s="39"/>
      <c r="AB84" s="39"/>
      <c r="AC84" s="39"/>
      <c r="AD84" s="39"/>
      <c r="AE84" s="39"/>
      <c r="AF84" s="6"/>
      <c r="AH84" s="20">
        <f t="shared" si="9"/>
        <v>0</v>
      </c>
      <c r="AI84" s="20">
        <f t="shared" si="10"/>
        <v>0</v>
      </c>
    </row>
    <row r="85" spans="1:35" ht="20.100000000000001" hidden="1" customHeight="1">
      <c r="A85" s="24" t="str">
        <f>ÖSSZES!$A$104</f>
        <v>Név10</v>
      </c>
      <c r="B85" s="39"/>
      <c r="C85" s="39"/>
      <c r="D85" s="39" t="s">
        <v>2</v>
      </c>
      <c r="E85" s="39" t="s">
        <v>2</v>
      </c>
      <c r="F85" s="39"/>
      <c r="G85" s="39"/>
      <c r="H85" s="39"/>
      <c r="I85" s="39"/>
      <c r="J85" s="39"/>
      <c r="K85" s="39" t="s">
        <v>2</v>
      </c>
      <c r="L85" s="39" t="s">
        <v>2</v>
      </c>
      <c r="M85" s="39"/>
      <c r="N85" s="39"/>
      <c r="O85" s="39"/>
      <c r="P85" s="39"/>
      <c r="Q85" s="39"/>
      <c r="R85" s="39" t="s">
        <v>2</v>
      </c>
      <c r="S85" s="39" t="s">
        <v>2</v>
      </c>
      <c r="T85" s="39"/>
      <c r="U85" s="39"/>
      <c r="V85" s="39"/>
      <c r="W85" s="39"/>
      <c r="X85" s="39"/>
      <c r="Y85" s="39" t="s">
        <v>2</v>
      </c>
      <c r="Z85" s="39" t="s">
        <v>2</v>
      </c>
      <c r="AA85" s="39"/>
      <c r="AB85" s="39"/>
      <c r="AC85" s="39"/>
      <c r="AD85" s="39"/>
      <c r="AE85" s="39"/>
      <c r="AF85" s="6"/>
      <c r="AH85" s="20">
        <f t="shared" si="9"/>
        <v>0</v>
      </c>
      <c r="AI85" s="20">
        <f t="shared" si="10"/>
        <v>0</v>
      </c>
    </row>
    <row r="86" spans="1:35" ht="20.100000000000001" hidden="1" customHeight="1">
      <c r="A86" s="24" t="str">
        <f>ÖSSZES!$A$105</f>
        <v>Név11</v>
      </c>
      <c r="B86" s="39"/>
      <c r="C86" s="39"/>
      <c r="D86" s="39" t="s">
        <v>2</v>
      </c>
      <c r="E86" s="39" t="s">
        <v>2</v>
      </c>
      <c r="F86" s="39"/>
      <c r="G86" s="39"/>
      <c r="H86" s="39"/>
      <c r="I86" s="39"/>
      <c r="J86" s="39"/>
      <c r="K86" s="39" t="s">
        <v>2</v>
      </c>
      <c r="L86" s="39" t="s">
        <v>2</v>
      </c>
      <c r="M86" s="39"/>
      <c r="N86" s="39"/>
      <c r="O86" s="39"/>
      <c r="P86" s="39"/>
      <c r="Q86" s="39"/>
      <c r="R86" s="39" t="s">
        <v>2</v>
      </c>
      <c r="S86" s="39" t="s">
        <v>2</v>
      </c>
      <c r="T86" s="39"/>
      <c r="U86" s="39"/>
      <c r="V86" s="39"/>
      <c r="W86" s="39"/>
      <c r="X86" s="39"/>
      <c r="Y86" s="39" t="s">
        <v>2</v>
      </c>
      <c r="Z86" s="39" t="s">
        <v>2</v>
      </c>
      <c r="AA86" s="39"/>
      <c r="AB86" s="39"/>
      <c r="AC86" s="39"/>
      <c r="AD86" s="39"/>
      <c r="AE86" s="39"/>
      <c r="AF86" s="6"/>
      <c r="AH86" s="20">
        <f t="shared" si="9"/>
        <v>0</v>
      </c>
      <c r="AI86" s="20">
        <f t="shared" si="10"/>
        <v>0</v>
      </c>
    </row>
    <row r="87" spans="1:35" ht="20.100000000000001" hidden="1" customHeight="1">
      <c r="A87" s="24" t="str">
        <f>ÖSSZES!$A$106</f>
        <v>Név12</v>
      </c>
      <c r="B87" s="39"/>
      <c r="C87" s="39"/>
      <c r="D87" s="39" t="s">
        <v>2</v>
      </c>
      <c r="E87" s="39" t="s">
        <v>2</v>
      </c>
      <c r="F87" s="39"/>
      <c r="G87" s="39"/>
      <c r="H87" s="39"/>
      <c r="I87" s="39"/>
      <c r="J87" s="39"/>
      <c r="K87" s="39" t="s">
        <v>2</v>
      </c>
      <c r="L87" s="39" t="s">
        <v>2</v>
      </c>
      <c r="M87" s="39"/>
      <c r="N87" s="39"/>
      <c r="O87" s="39"/>
      <c r="P87" s="39"/>
      <c r="Q87" s="39"/>
      <c r="R87" s="39" t="s">
        <v>2</v>
      </c>
      <c r="S87" s="39" t="s">
        <v>2</v>
      </c>
      <c r="T87" s="39"/>
      <c r="U87" s="39"/>
      <c r="V87" s="39"/>
      <c r="W87" s="39"/>
      <c r="X87" s="39"/>
      <c r="Y87" s="39" t="s">
        <v>2</v>
      </c>
      <c r="Z87" s="39" t="s">
        <v>2</v>
      </c>
      <c r="AA87" s="39"/>
      <c r="AB87" s="39"/>
      <c r="AC87" s="39"/>
      <c r="AD87" s="39"/>
      <c r="AE87" s="39"/>
      <c r="AF87" s="6"/>
      <c r="AH87" s="20">
        <f t="shared" si="9"/>
        <v>0</v>
      </c>
      <c r="AI87" s="20">
        <f t="shared" si="10"/>
        <v>0</v>
      </c>
    </row>
    <row r="88" spans="1:35" ht="20.100000000000001" hidden="1" customHeight="1">
      <c r="A88" s="24" t="str">
        <f>ÖSSZES!$A$107</f>
        <v>Név13</v>
      </c>
      <c r="B88" s="39"/>
      <c r="C88" s="39"/>
      <c r="D88" s="39" t="s">
        <v>2</v>
      </c>
      <c r="E88" s="39" t="s">
        <v>2</v>
      </c>
      <c r="F88" s="39"/>
      <c r="G88" s="39"/>
      <c r="H88" s="39"/>
      <c r="I88" s="39"/>
      <c r="J88" s="39"/>
      <c r="K88" s="39" t="s">
        <v>2</v>
      </c>
      <c r="L88" s="39" t="s">
        <v>2</v>
      </c>
      <c r="M88" s="39"/>
      <c r="N88" s="39"/>
      <c r="O88" s="39"/>
      <c r="P88" s="39"/>
      <c r="Q88" s="39"/>
      <c r="R88" s="39" t="s">
        <v>2</v>
      </c>
      <c r="S88" s="39" t="s">
        <v>2</v>
      </c>
      <c r="T88" s="39"/>
      <c r="U88" s="39"/>
      <c r="V88" s="39"/>
      <c r="W88" s="39"/>
      <c r="X88" s="39"/>
      <c r="Y88" s="39" t="s">
        <v>2</v>
      </c>
      <c r="Z88" s="39" t="s">
        <v>2</v>
      </c>
      <c r="AA88" s="39"/>
      <c r="AB88" s="39"/>
      <c r="AC88" s="39"/>
      <c r="AD88" s="39"/>
      <c r="AE88" s="39"/>
      <c r="AF88" s="6"/>
      <c r="AH88" s="20">
        <f t="shared" si="9"/>
        <v>0</v>
      </c>
      <c r="AI88" s="20">
        <f t="shared" si="10"/>
        <v>0</v>
      </c>
    </row>
    <row r="89" spans="1:35" ht="20.100000000000001" hidden="1" customHeight="1">
      <c r="A89" s="24" t="str">
        <f>ÖSSZES!$A$108</f>
        <v>Név14</v>
      </c>
      <c r="B89" s="39"/>
      <c r="C89" s="39"/>
      <c r="D89" s="39" t="s">
        <v>2</v>
      </c>
      <c r="E89" s="39" t="s">
        <v>2</v>
      </c>
      <c r="F89" s="39"/>
      <c r="G89" s="39"/>
      <c r="H89" s="39"/>
      <c r="I89" s="39"/>
      <c r="J89" s="39"/>
      <c r="K89" s="39" t="s">
        <v>2</v>
      </c>
      <c r="L89" s="39" t="s">
        <v>2</v>
      </c>
      <c r="M89" s="39"/>
      <c r="N89" s="39"/>
      <c r="O89" s="39"/>
      <c r="P89" s="39"/>
      <c r="Q89" s="39"/>
      <c r="R89" s="39" t="s">
        <v>2</v>
      </c>
      <c r="S89" s="39" t="s">
        <v>2</v>
      </c>
      <c r="T89" s="39"/>
      <c r="U89" s="39"/>
      <c r="V89" s="39"/>
      <c r="W89" s="39"/>
      <c r="X89" s="39"/>
      <c r="Y89" s="39" t="s">
        <v>2</v>
      </c>
      <c r="Z89" s="39" t="s">
        <v>2</v>
      </c>
      <c r="AA89" s="39"/>
      <c r="AB89" s="39"/>
      <c r="AC89" s="39"/>
      <c r="AD89" s="39"/>
      <c r="AE89" s="39"/>
      <c r="AF89" s="6"/>
      <c r="AH89" s="20">
        <f t="shared" si="9"/>
        <v>0</v>
      </c>
      <c r="AI89" s="20">
        <f t="shared" si="10"/>
        <v>0</v>
      </c>
    </row>
    <row r="90" spans="1:35" ht="20.100000000000001" hidden="1" customHeight="1">
      <c r="A90" s="24" t="str">
        <f>ÖSSZES!$A$109</f>
        <v>Név15</v>
      </c>
      <c r="B90" s="39"/>
      <c r="C90" s="39"/>
      <c r="D90" s="39" t="s">
        <v>2</v>
      </c>
      <c r="E90" s="39" t="s">
        <v>2</v>
      </c>
      <c r="F90" s="39"/>
      <c r="G90" s="39"/>
      <c r="H90" s="39"/>
      <c r="I90" s="39"/>
      <c r="J90" s="39"/>
      <c r="K90" s="39" t="s">
        <v>2</v>
      </c>
      <c r="L90" s="39" t="s">
        <v>2</v>
      </c>
      <c r="M90" s="39"/>
      <c r="N90" s="39"/>
      <c r="O90" s="39"/>
      <c r="P90" s="39"/>
      <c r="Q90" s="39"/>
      <c r="R90" s="39" t="s">
        <v>2</v>
      </c>
      <c r="S90" s="39" t="s">
        <v>2</v>
      </c>
      <c r="T90" s="39"/>
      <c r="U90" s="39"/>
      <c r="V90" s="39"/>
      <c r="W90" s="39"/>
      <c r="X90" s="39"/>
      <c r="Y90" s="39" t="s">
        <v>2</v>
      </c>
      <c r="Z90" s="39" t="s">
        <v>2</v>
      </c>
      <c r="AA90" s="39"/>
      <c r="AB90" s="39"/>
      <c r="AC90" s="39"/>
      <c r="AD90" s="39"/>
      <c r="AE90" s="39"/>
      <c r="AF90" s="6"/>
      <c r="AH90" s="20">
        <f t="shared" si="9"/>
        <v>0</v>
      </c>
      <c r="AI90" s="20">
        <f t="shared" si="10"/>
        <v>0</v>
      </c>
    </row>
    <row r="91" spans="1:35" ht="20.100000000000001" hidden="1" customHeight="1">
      <c r="A91" s="24" t="str">
        <f>ÖSSZES!$A$110</f>
        <v>Név16</v>
      </c>
      <c r="B91" s="39"/>
      <c r="C91" s="39"/>
      <c r="D91" s="39" t="s">
        <v>2</v>
      </c>
      <c r="E91" s="39" t="s">
        <v>2</v>
      </c>
      <c r="F91" s="39"/>
      <c r="G91" s="39"/>
      <c r="H91" s="39"/>
      <c r="I91" s="39"/>
      <c r="J91" s="39"/>
      <c r="K91" s="39" t="s">
        <v>2</v>
      </c>
      <c r="L91" s="39" t="s">
        <v>2</v>
      </c>
      <c r="M91" s="39"/>
      <c r="N91" s="39"/>
      <c r="O91" s="39"/>
      <c r="P91" s="39"/>
      <c r="Q91" s="39"/>
      <c r="R91" s="39" t="s">
        <v>2</v>
      </c>
      <c r="S91" s="39" t="s">
        <v>2</v>
      </c>
      <c r="T91" s="39"/>
      <c r="U91" s="39"/>
      <c r="V91" s="39"/>
      <c r="W91" s="39"/>
      <c r="X91" s="39"/>
      <c r="Y91" s="39" t="s">
        <v>2</v>
      </c>
      <c r="Z91" s="39" t="s">
        <v>2</v>
      </c>
      <c r="AA91" s="39"/>
      <c r="AB91" s="39"/>
      <c r="AC91" s="39"/>
      <c r="AD91" s="39"/>
      <c r="AE91" s="39"/>
      <c r="AF91" s="6"/>
      <c r="AH91" s="20">
        <f t="shared" si="9"/>
        <v>0</v>
      </c>
      <c r="AI91" s="20">
        <f t="shared" si="10"/>
        <v>0</v>
      </c>
    </row>
    <row r="92" spans="1:35" ht="20.100000000000001" hidden="1" customHeight="1">
      <c r="A92" s="24" t="str">
        <f>ÖSSZES!$A$111</f>
        <v>Név17</v>
      </c>
      <c r="B92" s="39"/>
      <c r="C92" s="39"/>
      <c r="D92" s="39" t="s">
        <v>2</v>
      </c>
      <c r="E92" s="39" t="s">
        <v>2</v>
      </c>
      <c r="F92" s="39"/>
      <c r="G92" s="39"/>
      <c r="H92" s="39"/>
      <c r="I92" s="39"/>
      <c r="J92" s="39"/>
      <c r="K92" s="39" t="s">
        <v>2</v>
      </c>
      <c r="L92" s="39" t="s">
        <v>2</v>
      </c>
      <c r="M92" s="39"/>
      <c r="N92" s="39"/>
      <c r="O92" s="39"/>
      <c r="P92" s="39"/>
      <c r="Q92" s="39"/>
      <c r="R92" s="39" t="s">
        <v>2</v>
      </c>
      <c r="S92" s="39" t="s">
        <v>2</v>
      </c>
      <c r="T92" s="39"/>
      <c r="U92" s="39"/>
      <c r="V92" s="39"/>
      <c r="W92" s="39"/>
      <c r="X92" s="39"/>
      <c r="Y92" s="39" t="s">
        <v>2</v>
      </c>
      <c r="Z92" s="39" t="s">
        <v>2</v>
      </c>
      <c r="AA92" s="39"/>
      <c r="AB92" s="39"/>
      <c r="AC92" s="39"/>
      <c r="AD92" s="39"/>
      <c r="AE92" s="39"/>
      <c r="AF92" s="6"/>
      <c r="AH92" s="20">
        <f t="shared" si="9"/>
        <v>0</v>
      </c>
      <c r="AI92" s="20">
        <f t="shared" si="10"/>
        <v>0</v>
      </c>
    </row>
    <row r="93" spans="1:35" ht="20.100000000000001" hidden="1" customHeight="1">
      <c r="A93" s="24" t="str">
        <f>ÖSSZES!$A$112</f>
        <v>Név18</v>
      </c>
      <c r="B93" s="39"/>
      <c r="C93" s="39"/>
      <c r="D93" s="39" t="s">
        <v>2</v>
      </c>
      <c r="E93" s="39" t="s">
        <v>2</v>
      </c>
      <c r="F93" s="39"/>
      <c r="G93" s="39"/>
      <c r="H93" s="39"/>
      <c r="I93" s="39"/>
      <c r="J93" s="39"/>
      <c r="K93" s="39" t="s">
        <v>2</v>
      </c>
      <c r="L93" s="39" t="s">
        <v>2</v>
      </c>
      <c r="M93" s="39"/>
      <c r="N93" s="39"/>
      <c r="O93" s="39"/>
      <c r="P93" s="39"/>
      <c r="Q93" s="39"/>
      <c r="R93" s="39" t="s">
        <v>2</v>
      </c>
      <c r="S93" s="39" t="s">
        <v>2</v>
      </c>
      <c r="T93" s="39"/>
      <c r="U93" s="39"/>
      <c r="V93" s="39"/>
      <c r="W93" s="39"/>
      <c r="X93" s="39"/>
      <c r="Y93" s="39" t="s">
        <v>2</v>
      </c>
      <c r="Z93" s="39" t="s">
        <v>2</v>
      </c>
      <c r="AA93" s="39"/>
      <c r="AB93" s="39"/>
      <c r="AC93" s="39"/>
      <c r="AD93" s="39"/>
      <c r="AE93" s="39"/>
      <c r="AF93" s="6"/>
      <c r="AH93" s="20">
        <f t="shared" si="9"/>
        <v>0</v>
      </c>
      <c r="AI93" s="20">
        <f t="shared" si="10"/>
        <v>0</v>
      </c>
    </row>
    <row r="94" spans="1:35" ht="20.100000000000001" hidden="1" customHeight="1">
      <c r="A94" s="24" t="str">
        <f>ÖSSZES!$A$113</f>
        <v>Név19</v>
      </c>
      <c r="B94" s="39"/>
      <c r="C94" s="39"/>
      <c r="D94" s="39" t="s">
        <v>2</v>
      </c>
      <c r="E94" s="39" t="s">
        <v>2</v>
      </c>
      <c r="F94" s="39"/>
      <c r="G94" s="39"/>
      <c r="H94" s="39"/>
      <c r="I94" s="39"/>
      <c r="J94" s="39"/>
      <c r="K94" s="39" t="s">
        <v>2</v>
      </c>
      <c r="L94" s="39" t="s">
        <v>2</v>
      </c>
      <c r="M94" s="39"/>
      <c r="N94" s="39"/>
      <c r="O94" s="39"/>
      <c r="P94" s="39"/>
      <c r="Q94" s="39"/>
      <c r="R94" s="39" t="s">
        <v>2</v>
      </c>
      <c r="S94" s="39" t="s">
        <v>2</v>
      </c>
      <c r="T94" s="39"/>
      <c r="U94" s="39"/>
      <c r="V94" s="39"/>
      <c r="W94" s="39"/>
      <c r="X94" s="39"/>
      <c r="Y94" s="39" t="s">
        <v>2</v>
      </c>
      <c r="Z94" s="39" t="s">
        <v>2</v>
      </c>
      <c r="AA94" s="39"/>
      <c r="AB94" s="39"/>
      <c r="AC94" s="39"/>
      <c r="AD94" s="39"/>
      <c r="AE94" s="39"/>
      <c r="AF94" s="6"/>
      <c r="AH94" s="20">
        <f t="shared" si="9"/>
        <v>0</v>
      </c>
      <c r="AI94" s="20">
        <f t="shared" si="10"/>
        <v>0</v>
      </c>
    </row>
    <row r="95" spans="1:35" ht="20.100000000000001" hidden="1" customHeight="1">
      <c r="A95" s="24" t="str">
        <f>ÖSSZES!$A$114</f>
        <v>Név20</v>
      </c>
      <c r="B95" s="39"/>
      <c r="C95" s="39"/>
      <c r="D95" s="39" t="s">
        <v>2</v>
      </c>
      <c r="E95" s="39" t="s">
        <v>2</v>
      </c>
      <c r="F95" s="39"/>
      <c r="G95" s="39"/>
      <c r="H95" s="39"/>
      <c r="I95" s="39"/>
      <c r="J95" s="39"/>
      <c r="K95" s="39" t="s">
        <v>2</v>
      </c>
      <c r="L95" s="39" t="s">
        <v>2</v>
      </c>
      <c r="M95" s="39"/>
      <c r="N95" s="39"/>
      <c r="O95" s="39"/>
      <c r="P95" s="39"/>
      <c r="Q95" s="39"/>
      <c r="R95" s="39" t="s">
        <v>2</v>
      </c>
      <c r="S95" s="39" t="s">
        <v>2</v>
      </c>
      <c r="T95" s="39"/>
      <c r="U95" s="39"/>
      <c r="V95" s="39"/>
      <c r="W95" s="39"/>
      <c r="X95" s="39"/>
      <c r="Y95" s="39" t="s">
        <v>2</v>
      </c>
      <c r="Z95" s="39" t="s">
        <v>2</v>
      </c>
      <c r="AA95" s="39"/>
      <c r="AB95" s="39"/>
      <c r="AC95" s="39"/>
      <c r="AD95" s="39"/>
      <c r="AE95" s="39"/>
      <c r="AF95" s="6"/>
      <c r="AH95" s="20">
        <f t="shared" si="9"/>
        <v>0</v>
      </c>
      <c r="AI95" s="20">
        <f t="shared" si="10"/>
        <v>0</v>
      </c>
    </row>
    <row r="96" spans="1:35" ht="20.100000000000001" customHeight="1"/>
    <row r="97" spans="1:35" s="11" customFormat="1" ht="20.100000000000001" customHeight="1">
      <c r="A97" s="57" t="s">
        <v>9</v>
      </c>
      <c r="B97" s="25">
        <v>1</v>
      </c>
      <c r="C97" s="23">
        <v>2</v>
      </c>
      <c r="D97" s="23">
        <v>3</v>
      </c>
      <c r="E97" s="23">
        <v>4</v>
      </c>
      <c r="F97" s="23">
        <v>5</v>
      </c>
      <c r="G97" s="23">
        <v>6</v>
      </c>
      <c r="H97" s="23">
        <v>7</v>
      </c>
      <c r="I97" s="23">
        <v>8</v>
      </c>
      <c r="J97" s="23">
        <v>9</v>
      </c>
      <c r="K97" s="23">
        <v>10</v>
      </c>
      <c r="L97" s="23">
        <v>11</v>
      </c>
      <c r="M97" s="23">
        <v>12</v>
      </c>
      <c r="N97" s="23">
        <v>13</v>
      </c>
      <c r="O97" s="23">
        <v>14</v>
      </c>
      <c r="P97" s="23">
        <v>15</v>
      </c>
      <c r="Q97" s="23">
        <v>16</v>
      </c>
      <c r="R97" s="23">
        <v>17</v>
      </c>
      <c r="S97" s="23">
        <v>18</v>
      </c>
      <c r="T97" s="23">
        <v>19</v>
      </c>
      <c r="U97" s="23">
        <v>20</v>
      </c>
      <c r="V97" s="23">
        <v>21</v>
      </c>
      <c r="W97" s="23">
        <v>22</v>
      </c>
      <c r="X97" s="23">
        <v>23</v>
      </c>
      <c r="Y97" s="23">
        <v>24</v>
      </c>
      <c r="Z97" s="23">
        <v>25</v>
      </c>
      <c r="AA97" s="23">
        <v>26</v>
      </c>
      <c r="AB97" s="23">
        <v>27</v>
      </c>
      <c r="AC97" s="23">
        <v>28</v>
      </c>
      <c r="AD97" s="23">
        <v>29</v>
      </c>
      <c r="AE97" s="23">
        <v>30</v>
      </c>
      <c r="AF97" s="23">
        <v>31</v>
      </c>
      <c r="AH97" s="59" t="s">
        <v>18</v>
      </c>
      <c r="AI97" s="59" t="s">
        <v>19</v>
      </c>
    </row>
    <row r="98" spans="1:35" ht="20.100000000000001" customHeight="1">
      <c r="A98" s="61"/>
      <c r="B98" s="16" t="str">
        <f>'2021'!B36</f>
        <v>Szo</v>
      </c>
      <c r="C98" s="16" t="str">
        <f>'2021'!C36</f>
        <v>V</v>
      </c>
      <c r="D98" s="16" t="str">
        <f>'2021'!D36</f>
        <v>H</v>
      </c>
      <c r="E98" s="16" t="str">
        <f>'2021'!E36</f>
        <v>K</v>
      </c>
      <c r="F98" s="16" t="str">
        <f>'2021'!F36</f>
        <v>Sze</v>
      </c>
      <c r="G98" s="16" t="str">
        <f>'2021'!G36</f>
        <v>Cs</v>
      </c>
      <c r="H98" s="16" t="str">
        <f>'2021'!H36</f>
        <v>P</v>
      </c>
      <c r="I98" s="16" t="str">
        <f>'2021'!I36</f>
        <v>Szo</v>
      </c>
      <c r="J98" s="16" t="str">
        <f>'2021'!J36</f>
        <v>V</v>
      </c>
      <c r="K98" s="16" t="str">
        <f>'2021'!K36</f>
        <v>H</v>
      </c>
      <c r="L98" s="16" t="str">
        <f>'2021'!L36</f>
        <v>K</v>
      </c>
      <c r="M98" s="16" t="str">
        <f>'2021'!M36</f>
        <v>Sze</v>
      </c>
      <c r="N98" s="16" t="str">
        <f>'2021'!N36</f>
        <v>Cs</v>
      </c>
      <c r="O98" s="16" t="str">
        <f>'2021'!O36</f>
        <v>P</v>
      </c>
      <c r="P98" s="16" t="str">
        <f>'2021'!P36</f>
        <v>Szo</v>
      </c>
      <c r="Q98" s="16" t="str">
        <f>'2021'!Q36</f>
        <v>V</v>
      </c>
      <c r="R98" s="16" t="str">
        <f>'2021'!R36</f>
        <v>H</v>
      </c>
      <c r="S98" s="16" t="str">
        <f>'2021'!S36</f>
        <v>K</v>
      </c>
      <c r="T98" s="16" t="str">
        <f>'2021'!T36</f>
        <v>Sze</v>
      </c>
      <c r="U98" s="16" t="str">
        <f>'2021'!U36</f>
        <v>Cs</v>
      </c>
      <c r="V98" s="16" t="str">
        <f>'2021'!V36</f>
        <v>P</v>
      </c>
      <c r="W98" s="16" t="str">
        <f>'2021'!W36</f>
        <v>Szo</v>
      </c>
      <c r="X98" s="16" t="str">
        <f>'2021'!X36</f>
        <v>V</v>
      </c>
      <c r="Y98" s="16" t="str">
        <f>'2021'!Y36</f>
        <v>H</v>
      </c>
      <c r="Z98" s="16" t="str">
        <f>'2021'!Z36</f>
        <v>K</v>
      </c>
      <c r="AA98" s="16" t="str">
        <f>'2021'!AA36</f>
        <v>Sze</v>
      </c>
      <c r="AB98" s="16" t="str">
        <f>'2021'!AB36</f>
        <v>Cs</v>
      </c>
      <c r="AC98" s="16" t="str">
        <f>'2021'!AC36</f>
        <v>P</v>
      </c>
      <c r="AD98" s="16" t="str">
        <f>'2021'!AD36</f>
        <v>Szo</v>
      </c>
      <c r="AE98" s="16" t="str">
        <f>'2021'!AE36</f>
        <v>V</v>
      </c>
      <c r="AF98" s="16" t="str">
        <f>'2021'!AF36</f>
        <v>H</v>
      </c>
      <c r="AH98" s="60"/>
      <c r="AI98" s="60"/>
    </row>
    <row r="99" spans="1:35" ht="20.100000000000001" customHeight="1">
      <c r="A99" s="61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H99" s="60"/>
      <c r="AI99" s="60"/>
    </row>
    <row r="100" spans="1:35" ht="20.100000000000001" customHeight="1">
      <c r="A100" s="24" t="str">
        <f>ÖSSZES!$A$95</f>
        <v>Kovács Kriszitán</v>
      </c>
      <c r="B100" s="39" t="s">
        <v>2</v>
      </c>
      <c r="C100" s="39" t="s">
        <v>2</v>
      </c>
      <c r="D100" s="19"/>
      <c r="E100" s="19"/>
      <c r="F100" s="19"/>
      <c r="G100" s="19"/>
      <c r="H100" s="19"/>
      <c r="I100" s="39" t="s">
        <v>2</v>
      </c>
      <c r="J100" s="39" t="s">
        <v>2</v>
      </c>
      <c r="K100" s="19"/>
      <c r="L100" s="19"/>
      <c r="M100" s="19"/>
      <c r="N100" s="19"/>
      <c r="O100" s="19"/>
      <c r="P100" s="39" t="s">
        <v>2</v>
      </c>
      <c r="Q100" s="39" t="s">
        <v>2</v>
      </c>
      <c r="R100" s="19"/>
      <c r="S100" s="19"/>
      <c r="T100" s="19"/>
      <c r="U100" s="19"/>
      <c r="V100" s="19"/>
      <c r="W100" s="39" t="s">
        <v>2</v>
      </c>
      <c r="X100" s="39" t="s">
        <v>2</v>
      </c>
      <c r="Y100" s="19"/>
      <c r="Z100" s="19"/>
      <c r="AA100" s="19"/>
      <c r="AB100" s="39"/>
      <c r="AC100" s="39"/>
      <c r="AD100" s="39" t="s">
        <v>2</v>
      </c>
      <c r="AE100" s="39" t="s">
        <v>2</v>
      </c>
      <c r="AF100" s="39"/>
      <c r="AH100" s="20">
        <f>1*COUNTIF(A100:AF100,"+")</f>
        <v>0</v>
      </c>
      <c r="AI100" s="20">
        <f t="shared" ref="AI100" si="11">1*COUNTIF(B100:AF100,"szf")</f>
        <v>0</v>
      </c>
    </row>
    <row r="101" spans="1:35" ht="20.100000000000001" customHeight="1">
      <c r="A101" s="24" t="str">
        <f>ÖSSZES!$A$96</f>
        <v>Besse Éva</v>
      </c>
      <c r="B101" s="39" t="s">
        <v>2</v>
      </c>
      <c r="C101" s="39" t="s">
        <v>2</v>
      </c>
      <c r="D101" s="19"/>
      <c r="E101" s="19"/>
      <c r="F101" s="19"/>
      <c r="G101" s="19"/>
      <c r="H101" s="19"/>
      <c r="I101" s="39" t="s">
        <v>2</v>
      </c>
      <c r="J101" s="39" t="s">
        <v>2</v>
      </c>
      <c r="K101" s="19"/>
      <c r="L101" s="19"/>
      <c r="M101" s="19"/>
      <c r="N101" s="19"/>
      <c r="O101" s="19"/>
      <c r="P101" s="39" t="s">
        <v>2</v>
      </c>
      <c r="Q101" s="39" t="s">
        <v>2</v>
      </c>
      <c r="R101" s="19"/>
      <c r="S101" s="19"/>
      <c r="T101" s="19"/>
      <c r="U101" s="19"/>
      <c r="V101" s="19"/>
      <c r="W101" s="39" t="s">
        <v>2</v>
      </c>
      <c r="X101" s="39" t="s">
        <v>2</v>
      </c>
      <c r="Y101" s="19"/>
      <c r="Z101" s="19"/>
      <c r="AA101" s="19"/>
      <c r="AB101" s="39"/>
      <c r="AC101" s="39"/>
      <c r="AD101" s="39" t="s">
        <v>2</v>
      </c>
      <c r="AE101" s="39" t="s">
        <v>2</v>
      </c>
      <c r="AF101" s="39"/>
      <c r="AH101" s="20">
        <f t="shared" ref="AH101:AH119" si="12">1*COUNTIF(A101:AF101,"+")</f>
        <v>0</v>
      </c>
      <c r="AI101" s="20">
        <f t="shared" ref="AI101:AI119" si="13">1*COUNTIF(B101:AF101,"szf")</f>
        <v>0</v>
      </c>
    </row>
    <row r="102" spans="1:35" ht="20.100000000000001" customHeight="1">
      <c r="A102" s="24" t="str">
        <f>ÖSSZES!$A$97</f>
        <v>Bulyáki Csaba</v>
      </c>
      <c r="B102" s="39" t="s">
        <v>2</v>
      </c>
      <c r="C102" s="39" t="s">
        <v>2</v>
      </c>
      <c r="D102" s="19"/>
      <c r="E102" s="19"/>
      <c r="F102" s="19"/>
      <c r="G102" s="19"/>
      <c r="H102" s="19"/>
      <c r="I102" s="39" t="s">
        <v>2</v>
      </c>
      <c r="J102" s="39" t="s">
        <v>2</v>
      </c>
      <c r="K102" s="19"/>
      <c r="L102" s="19"/>
      <c r="M102" s="19"/>
      <c r="N102" s="19"/>
      <c r="O102" s="19"/>
      <c r="P102" s="39" t="s">
        <v>2</v>
      </c>
      <c r="Q102" s="39" t="s">
        <v>2</v>
      </c>
      <c r="R102" s="19"/>
      <c r="S102" s="19"/>
      <c r="T102" s="19"/>
      <c r="U102" s="19"/>
      <c r="V102" s="19"/>
      <c r="W102" s="39" t="s">
        <v>2</v>
      </c>
      <c r="X102" s="39" t="s">
        <v>2</v>
      </c>
      <c r="Y102" s="19"/>
      <c r="Z102" s="19"/>
      <c r="AA102" s="19"/>
      <c r="AB102" s="39"/>
      <c r="AC102" s="39"/>
      <c r="AD102" s="39" t="s">
        <v>2</v>
      </c>
      <c r="AE102" s="39" t="s">
        <v>2</v>
      </c>
      <c r="AF102" s="39"/>
      <c r="AH102" s="20">
        <f t="shared" si="12"/>
        <v>0</v>
      </c>
      <c r="AI102" s="20">
        <f t="shared" si="13"/>
        <v>0</v>
      </c>
    </row>
    <row r="103" spans="1:35" ht="20.100000000000001" customHeight="1">
      <c r="A103" s="24" t="str">
        <f>ÖSSZES!$A$98</f>
        <v>Dancsi Attila</v>
      </c>
      <c r="B103" s="39" t="s">
        <v>2</v>
      </c>
      <c r="C103" s="39" t="s">
        <v>2</v>
      </c>
      <c r="D103" s="19"/>
      <c r="E103" s="19"/>
      <c r="F103" s="19"/>
      <c r="G103" s="19"/>
      <c r="H103" s="19"/>
      <c r="I103" s="39" t="s">
        <v>2</v>
      </c>
      <c r="J103" s="39" t="s">
        <v>2</v>
      </c>
      <c r="K103" s="19"/>
      <c r="L103" s="19"/>
      <c r="M103" s="19"/>
      <c r="N103" s="19"/>
      <c r="O103" s="19"/>
      <c r="P103" s="39" t="s">
        <v>2</v>
      </c>
      <c r="Q103" s="39" t="s">
        <v>2</v>
      </c>
      <c r="R103" s="19"/>
      <c r="S103" s="19"/>
      <c r="T103" s="19"/>
      <c r="U103" s="19"/>
      <c r="V103" s="19"/>
      <c r="W103" s="39" t="s">
        <v>2</v>
      </c>
      <c r="X103" s="39" t="s">
        <v>2</v>
      </c>
      <c r="Y103" s="19"/>
      <c r="Z103" s="19"/>
      <c r="AA103" s="19"/>
      <c r="AB103" s="39"/>
      <c r="AC103" s="39"/>
      <c r="AD103" s="39" t="s">
        <v>2</v>
      </c>
      <c r="AE103" s="39" t="s">
        <v>2</v>
      </c>
      <c r="AF103" s="39"/>
      <c r="AH103" s="20">
        <f t="shared" si="12"/>
        <v>0</v>
      </c>
      <c r="AI103" s="20">
        <f t="shared" si="13"/>
        <v>0</v>
      </c>
    </row>
    <row r="104" spans="1:35" ht="20.100000000000001" customHeight="1">
      <c r="A104" s="24" t="str">
        <f>ÖSSZES!$A$99</f>
        <v>Fekete Tamás</v>
      </c>
      <c r="B104" s="39" t="s">
        <v>2</v>
      </c>
      <c r="C104" s="39" t="s">
        <v>2</v>
      </c>
      <c r="D104" s="19"/>
      <c r="E104" s="19"/>
      <c r="F104" s="19"/>
      <c r="G104" s="19"/>
      <c r="H104" s="19"/>
      <c r="I104" s="39" t="s">
        <v>2</v>
      </c>
      <c r="J104" s="39" t="s">
        <v>2</v>
      </c>
      <c r="K104" s="19"/>
      <c r="L104" s="19"/>
      <c r="M104" s="19"/>
      <c r="N104" s="19"/>
      <c r="O104" s="19"/>
      <c r="P104" s="39" t="s">
        <v>2</v>
      </c>
      <c r="Q104" s="39" t="s">
        <v>2</v>
      </c>
      <c r="R104" s="19"/>
      <c r="S104" s="19"/>
      <c r="T104" s="19"/>
      <c r="U104" s="19"/>
      <c r="V104" s="19"/>
      <c r="W104" s="39" t="s">
        <v>2</v>
      </c>
      <c r="X104" s="39" t="s">
        <v>2</v>
      </c>
      <c r="Y104" s="19"/>
      <c r="Z104" s="19"/>
      <c r="AA104" s="19"/>
      <c r="AB104" s="39"/>
      <c r="AC104" s="39"/>
      <c r="AD104" s="39" t="s">
        <v>2</v>
      </c>
      <c r="AE104" s="39" t="s">
        <v>2</v>
      </c>
      <c r="AF104" s="39"/>
      <c r="AH104" s="20">
        <f t="shared" si="12"/>
        <v>0</v>
      </c>
      <c r="AI104" s="20">
        <f t="shared" si="13"/>
        <v>0</v>
      </c>
    </row>
    <row r="105" spans="1:35" ht="20.100000000000001" customHeight="1">
      <c r="A105" s="24" t="str">
        <f>ÖSSZES!$A$100</f>
        <v>Iványi Roland</v>
      </c>
      <c r="B105" s="39" t="s">
        <v>2</v>
      </c>
      <c r="C105" s="39" t="s">
        <v>2</v>
      </c>
      <c r="D105" s="19"/>
      <c r="E105" s="19"/>
      <c r="F105" s="19"/>
      <c r="G105" s="19"/>
      <c r="H105" s="19"/>
      <c r="I105" s="39" t="s">
        <v>2</v>
      </c>
      <c r="J105" s="39" t="s">
        <v>2</v>
      </c>
      <c r="K105" s="19"/>
      <c r="L105" s="19"/>
      <c r="M105" s="19"/>
      <c r="N105" s="19"/>
      <c r="O105" s="19"/>
      <c r="P105" s="39" t="s">
        <v>2</v>
      </c>
      <c r="Q105" s="39" t="s">
        <v>2</v>
      </c>
      <c r="R105" s="19"/>
      <c r="S105" s="19"/>
      <c r="T105" s="19"/>
      <c r="U105" s="19"/>
      <c r="V105" s="19"/>
      <c r="W105" s="39" t="s">
        <v>2</v>
      </c>
      <c r="X105" s="39" t="s">
        <v>2</v>
      </c>
      <c r="Y105" s="19"/>
      <c r="Z105" s="19"/>
      <c r="AA105" s="19"/>
      <c r="AB105" s="39"/>
      <c r="AC105" s="39"/>
      <c r="AD105" s="39" t="s">
        <v>2</v>
      </c>
      <c r="AE105" s="39" t="s">
        <v>2</v>
      </c>
      <c r="AF105" s="39"/>
      <c r="AH105" s="20">
        <f t="shared" si="12"/>
        <v>0</v>
      </c>
      <c r="AI105" s="20">
        <f t="shared" si="13"/>
        <v>0</v>
      </c>
    </row>
    <row r="106" spans="1:35" ht="20.100000000000001" customHeight="1">
      <c r="A106" s="24" t="str">
        <f>ÖSSZES!$A$101</f>
        <v>Oláh Erika</v>
      </c>
      <c r="B106" s="39" t="s">
        <v>2</v>
      </c>
      <c r="C106" s="39" t="s">
        <v>2</v>
      </c>
      <c r="D106" s="19"/>
      <c r="E106" s="19"/>
      <c r="F106" s="19"/>
      <c r="G106" s="19"/>
      <c r="H106" s="19"/>
      <c r="I106" s="39" t="s">
        <v>2</v>
      </c>
      <c r="J106" s="39" t="s">
        <v>2</v>
      </c>
      <c r="K106" s="19"/>
      <c r="L106" s="19"/>
      <c r="M106" s="19"/>
      <c r="N106" s="19"/>
      <c r="O106" s="19"/>
      <c r="P106" s="39" t="s">
        <v>2</v>
      </c>
      <c r="Q106" s="39" t="s">
        <v>2</v>
      </c>
      <c r="R106" s="19"/>
      <c r="S106" s="19"/>
      <c r="T106" s="19"/>
      <c r="U106" s="19"/>
      <c r="V106" s="19"/>
      <c r="W106" s="39" t="s">
        <v>2</v>
      </c>
      <c r="X106" s="39" t="s">
        <v>2</v>
      </c>
      <c r="Y106" s="19"/>
      <c r="Z106" s="19"/>
      <c r="AA106" s="19"/>
      <c r="AB106" s="39"/>
      <c r="AC106" s="39"/>
      <c r="AD106" s="39" t="s">
        <v>2</v>
      </c>
      <c r="AE106" s="39" t="s">
        <v>2</v>
      </c>
      <c r="AF106" s="39"/>
      <c r="AH106" s="20">
        <f t="shared" si="12"/>
        <v>0</v>
      </c>
      <c r="AI106" s="20">
        <f t="shared" si="13"/>
        <v>0</v>
      </c>
    </row>
    <row r="107" spans="1:35" ht="20.100000000000001" customHeight="1">
      <c r="A107" s="24" t="str">
        <f>ÖSSZES!$A$102</f>
        <v>Tóth János</v>
      </c>
      <c r="B107" s="39" t="s">
        <v>2</v>
      </c>
      <c r="C107" s="39" t="s">
        <v>2</v>
      </c>
      <c r="D107" s="19"/>
      <c r="E107" s="19"/>
      <c r="F107" s="19"/>
      <c r="G107" s="19"/>
      <c r="H107" s="19"/>
      <c r="I107" s="39" t="s">
        <v>2</v>
      </c>
      <c r="J107" s="39" t="s">
        <v>2</v>
      </c>
      <c r="K107" s="19"/>
      <c r="L107" s="19"/>
      <c r="M107" s="19"/>
      <c r="N107" s="19"/>
      <c r="O107" s="19"/>
      <c r="P107" s="39" t="s">
        <v>2</v>
      </c>
      <c r="Q107" s="39" t="s">
        <v>2</v>
      </c>
      <c r="R107" s="19"/>
      <c r="S107" s="19"/>
      <c r="T107" s="19"/>
      <c r="U107" s="19"/>
      <c r="V107" s="19"/>
      <c r="W107" s="39" t="s">
        <v>2</v>
      </c>
      <c r="X107" s="39" t="s">
        <v>2</v>
      </c>
      <c r="Y107" s="19"/>
      <c r="Z107" s="19"/>
      <c r="AA107" s="19"/>
      <c r="AB107" s="39"/>
      <c r="AC107" s="39"/>
      <c r="AD107" s="39" t="s">
        <v>2</v>
      </c>
      <c r="AE107" s="39" t="s">
        <v>2</v>
      </c>
      <c r="AF107" s="39"/>
      <c r="AH107" s="20">
        <f t="shared" si="12"/>
        <v>0</v>
      </c>
      <c r="AI107" s="20">
        <f t="shared" si="13"/>
        <v>0</v>
      </c>
    </row>
    <row r="108" spans="1:35" ht="20.100000000000001" customHeight="1">
      <c r="A108" s="24" t="str">
        <f>ÖSSZES!$A$103</f>
        <v>Tóth Krisztián</v>
      </c>
      <c r="B108" s="39" t="s">
        <v>2</v>
      </c>
      <c r="C108" s="39" t="s">
        <v>2</v>
      </c>
      <c r="D108" s="19"/>
      <c r="E108" s="19"/>
      <c r="F108" s="19"/>
      <c r="G108" s="19"/>
      <c r="H108" s="19"/>
      <c r="I108" s="39" t="s">
        <v>2</v>
      </c>
      <c r="J108" s="39" t="s">
        <v>2</v>
      </c>
      <c r="K108" s="19"/>
      <c r="L108" s="19"/>
      <c r="M108" s="19"/>
      <c r="N108" s="19"/>
      <c r="O108" s="19"/>
      <c r="P108" s="39" t="s">
        <v>2</v>
      </c>
      <c r="Q108" s="39" t="s">
        <v>2</v>
      </c>
      <c r="R108" s="19"/>
      <c r="S108" s="19"/>
      <c r="T108" s="19"/>
      <c r="U108" s="19"/>
      <c r="V108" s="19"/>
      <c r="W108" s="39" t="s">
        <v>2</v>
      </c>
      <c r="X108" s="39" t="s">
        <v>2</v>
      </c>
      <c r="Y108" s="19"/>
      <c r="Z108" s="19"/>
      <c r="AA108" s="19"/>
      <c r="AB108" s="39"/>
      <c r="AC108" s="39"/>
      <c r="AD108" s="39" t="s">
        <v>2</v>
      </c>
      <c r="AE108" s="39" t="s">
        <v>2</v>
      </c>
      <c r="AF108" s="39"/>
      <c r="AH108" s="20">
        <f t="shared" si="12"/>
        <v>0</v>
      </c>
      <c r="AI108" s="20">
        <f t="shared" si="13"/>
        <v>0</v>
      </c>
    </row>
    <row r="109" spans="1:35" ht="20.100000000000001" hidden="1" customHeight="1">
      <c r="A109" s="24" t="str">
        <f>ÖSSZES!$A$104</f>
        <v>Név10</v>
      </c>
      <c r="B109" s="39" t="s">
        <v>2</v>
      </c>
      <c r="C109" s="39" t="s">
        <v>2</v>
      </c>
      <c r="D109" s="19"/>
      <c r="E109" s="19"/>
      <c r="F109" s="19"/>
      <c r="G109" s="19"/>
      <c r="H109" s="19"/>
      <c r="I109" s="39" t="s">
        <v>2</v>
      </c>
      <c r="J109" s="39" t="s">
        <v>2</v>
      </c>
      <c r="K109" s="19"/>
      <c r="L109" s="19"/>
      <c r="M109" s="19"/>
      <c r="N109" s="19"/>
      <c r="O109" s="19"/>
      <c r="P109" s="39" t="s">
        <v>2</v>
      </c>
      <c r="Q109" s="39" t="s">
        <v>2</v>
      </c>
      <c r="R109" s="19"/>
      <c r="S109" s="19"/>
      <c r="T109" s="19"/>
      <c r="U109" s="19"/>
      <c r="V109" s="19"/>
      <c r="W109" s="39" t="s">
        <v>2</v>
      </c>
      <c r="X109" s="39" t="s">
        <v>2</v>
      </c>
      <c r="Y109" s="19"/>
      <c r="Z109" s="19"/>
      <c r="AA109" s="19"/>
      <c r="AB109" s="39"/>
      <c r="AC109" s="39"/>
      <c r="AD109" s="39" t="s">
        <v>2</v>
      </c>
      <c r="AE109" s="39" t="s">
        <v>2</v>
      </c>
      <c r="AF109" s="39"/>
      <c r="AH109" s="20">
        <f t="shared" si="12"/>
        <v>0</v>
      </c>
      <c r="AI109" s="20">
        <f t="shared" si="13"/>
        <v>0</v>
      </c>
    </row>
    <row r="110" spans="1:35" ht="20.100000000000001" hidden="1" customHeight="1">
      <c r="A110" s="24" t="str">
        <f>ÖSSZES!$A$105</f>
        <v>Név11</v>
      </c>
      <c r="B110" s="39" t="s">
        <v>2</v>
      </c>
      <c r="C110" s="39" t="s">
        <v>2</v>
      </c>
      <c r="D110" s="19"/>
      <c r="E110" s="19"/>
      <c r="F110" s="19"/>
      <c r="G110" s="19"/>
      <c r="H110" s="19"/>
      <c r="I110" s="39" t="s">
        <v>2</v>
      </c>
      <c r="J110" s="39" t="s">
        <v>2</v>
      </c>
      <c r="K110" s="19"/>
      <c r="L110" s="19"/>
      <c r="M110" s="19"/>
      <c r="N110" s="19"/>
      <c r="O110" s="19"/>
      <c r="P110" s="39" t="s">
        <v>2</v>
      </c>
      <c r="Q110" s="39" t="s">
        <v>2</v>
      </c>
      <c r="R110" s="19"/>
      <c r="S110" s="19"/>
      <c r="T110" s="19"/>
      <c r="U110" s="19"/>
      <c r="V110" s="19"/>
      <c r="W110" s="39" t="s">
        <v>2</v>
      </c>
      <c r="X110" s="39" t="s">
        <v>2</v>
      </c>
      <c r="Y110" s="19"/>
      <c r="Z110" s="19"/>
      <c r="AA110" s="19"/>
      <c r="AB110" s="39"/>
      <c r="AC110" s="39"/>
      <c r="AD110" s="39" t="s">
        <v>2</v>
      </c>
      <c r="AE110" s="39" t="s">
        <v>2</v>
      </c>
      <c r="AF110" s="39"/>
      <c r="AH110" s="20">
        <f t="shared" si="12"/>
        <v>0</v>
      </c>
      <c r="AI110" s="20">
        <f t="shared" si="13"/>
        <v>0</v>
      </c>
    </row>
    <row r="111" spans="1:35" ht="20.100000000000001" hidden="1" customHeight="1">
      <c r="A111" s="24" t="str">
        <f>ÖSSZES!$A$106</f>
        <v>Név12</v>
      </c>
      <c r="B111" s="39" t="s">
        <v>2</v>
      </c>
      <c r="C111" s="39" t="s">
        <v>2</v>
      </c>
      <c r="D111" s="19"/>
      <c r="E111" s="19"/>
      <c r="F111" s="19"/>
      <c r="G111" s="19"/>
      <c r="H111" s="19"/>
      <c r="I111" s="39" t="s">
        <v>2</v>
      </c>
      <c r="J111" s="39" t="s">
        <v>2</v>
      </c>
      <c r="K111" s="19"/>
      <c r="L111" s="19"/>
      <c r="M111" s="19"/>
      <c r="N111" s="19"/>
      <c r="O111" s="19"/>
      <c r="P111" s="39" t="s">
        <v>2</v>
      </c>
      <c r="Q111" s="39" t="s">
        <v>2</v>
      </c>
      <c r="R111" s="19"/>
      <c r="S111" s="19"/>
      <c r="T111" s="19"/>
      <c r="U111" s="19"/>
      <c r="V111" s="19"/>
      <c r="W111" s="39" t="s">
        <v>2</v>
      </c>
      <c r="X111" s="39" t="s">
        <v>2</v>
      </c>
      <c r="Y111" s="19"/>
      <c r="Z111" s="19"/>
      <c r="AA111" s="19"/>
      <c r="AB111" s="39"/>
      <c r="AC111" s="39"/>
      <c r="AD111" s="39" t="s">
        <v>2</v>
      </c>
      <c r="AE111" s="39" t="s">
        <v>2</v>
      </c>
      <c r="AF111" s="39"/>
      <c r="AH111" s="20">
        <f t="shared" si="12"/>
        <v>0</v>
      </c>
      <c r="AI111" s="20">
        <f t="shared" si="13"/>
        <v>0</v>
      </c>
    </row>
    <row r="112" spans="1:35" ht="20.100000000000001" hidden="1" customHeight="1">
      <c r="A112" s="24" t="str">
        <f>ÖSSZES!$A$107</f>
        <v>Név13</v>
      </c>
      <c r="B112" s="39" t="s">
        <v>2</v>
      </c>
      <c r="C112" s="39" t="s">
        <v>2</v>
      </c>
      <c r="D112" s="19"/>
      <c r="E112" s="19"/>
      <c r="F112" s="19"/>
      <c r="G112" s="19"/>
      <c r="H112" s="19"/>
      <c r="I112" s="39" t="s">
        <v>2</v>
      </c>
      <c r="J112" s="39" t="s">
        <v>2</v>
      </c>
      <c r="K112" s="19"/>
      <c r="L112" s="19"/>
      <c r="M112" s="19"/>
      <c r="N112" s="19"/>
      <c r="O112" s="19"/>
      <c r="P112" s="39" t="s">
        <v>2</v>
      </c>
      <c r="Q112" s="39" t="s">
        <v>2</v>
      </c>
      <c r="R112" s="19"/>
      <c r="S112" s="19"/>
      <c r="T112" s="19"/>
      <c r="U112" s="19"/>
      <c r="V112" s="19"/>
      <c r="W112" s="39" t="s">
        <v>2</v>
      </c>
      <c r="X112" s="39" t="s">
        <v>2</v>
      </c>
      <c r="Y112" s="19"/>
      <c r="Z112" s="19"/>
      <c r="AA112" s="19"/>
      <c r="AB112" s="39"/>
      <c r="AC112" s="39"/>
      <c r="AD112" s="39" t="s">
        <v>2</v>
      </c>
      <c r="AE112" s="39" t="s">
        <v>2</v>
      </c>
      <c r="AF112" s="39"/>
      <c r="AH112" s="20">
        <f t="shared" si="12"/>
        <v>0</v>
      </c>
      <c r="AI112" s="20">
        <f t="shared" si="13"/>
        <v>0</v>
      </c>
    </row>
    <row r="113" spans="1:35" ht="20.100000000000001" hidden="1" customHeight="1">
      <c r="A113" s="24" t="str">
        <f>ÖSSZES!$A$108</f>
        <v>Név14</v>
      </c>
      <c r="B113" s="39" t="s">
        <v>2</v>
      </c>
      <c r="C113" s="39" t="s">
        <v>2</v>
      </c>
      <c r="D113" s="19"/>
      <c r="E113" s="19"/>
      <c r="F113" s="19"/>
      <c r="G113" s="19"/>
      <c r="H113" s="19"/>
      <c r="I113" s="39" t="s">
        <v>2</v>
      </c>
      <c r="J113" s="39" t="s">
        <v>2</v>
      </c>
      <c r="K113" s="19"/>
      <c r="L113" s="19"/>
      <c r="M113" s="19"/>
      <c r="N113" s="19"/>
      <c r="O113" s="19"/>
      <c r="P113" s="39" t="s">
        <v>2</v>
      </c>
      <c r="Q113" s="39" t="s">
        <v>2</v>
      </c>
      <c r="R113" s="19"/>
      <c r="S113" s="19"/>
      <c r="T113" s="19"/>
      <c r="U113" s="19"/>
      <c r="V113" s="19"/>
      <c r="W113" s="39" t="s">
        <v>2</v>
      </c>
      <c r="X113" s="39" t="s">
        <v>2</v>
      </c>
      <c r="Y113" s="19"/>
      <c r="Z113" s="19"/>
      <c r="AA113" s="19"/>
      <c r="AB113" s="39"/>
      <c r="AC113" s="39"/>
      <c r="AD113" s="39" t="s">
        <v>2</v>
      </c>
      <c r="AE113" s="39" t="s">
        <v>2</v>
      </c>
      <c r="AF113" s="39"/>
      <c r="AH113" s="20">
        <f t="shared" si="12"/>
        <v>0</v>
      </c>
      <c r="AI113" s="20">
        <f t="shared" si="13"/>
        <v>0</v>
      </c>
    </row>
    <row r="114" spans="1:35" ht="20.100000000000001" hidden="1" customHeight="1">
      <c r="A114" s="24" t="str">
        <f>ÖSSZES!$A$109</f>
        <v>Név15</v>
      </c>
      <c r="B114" s="39" t="s">
        <v>2</v>
      </c>
      <c r="C114" s="39" t="s">
        <v>2</v>
      </c>
      <c r="D114" s="19"/>
      <c r="E114" s="19"/>
      <c r="F114" s="19"/>
      <c r="G114" s="19"/>
      <c r="H114" s="19"/>
      <c r="I114" s="39" t="s">
        <v>2</v>
      </c>
      <c r="J114" s="39" t="s">
        <v>2</v>
      </c>
      <c r="K114" s="19"/>
      <c r="L114" s="19"/>
      <c r="M114" s="19"/>
      <c r="N114" s="19"/>
      <c r="O114" s="19"/>
      <c r="P114" s="39" t="s">
        <v>2</v>
      </c>
      <c r="Q114" s="39" t="s">
        <v>2</v>
      </c>
      <c r="R114" s="19"/>
      <c r="S114" s="19"/>
      <c r="T114" s="19"/>
      <c r="U114" s="19"/>
      <c r="V114" s="19"/>
      <c r="W114" s="39" t="s">
        <v>2</v>
      </c>
      <c r="X114" s="39" t="s">
        <v>2</v>
      </c>
      <c r="Y114" s="19"/>
      <c r="Z114" s="19"/>
      <c r="AA114" s="19"/>
      <c r="AB114" s="39"/>
      <c r="AC114" s="39"/>
      <c r="AD114" s="39" t="s">
        <v>2</v>
      </c>
      <c r="AE114" s="39" t="s">
        <v>2</v>
      </c>
      <c r="AF114" s="39"/>
      <c r="AH114" s="20">
        <f t="shared" si="12"/>
        <v>0</v>
      </c>
      <c r="AI114" s="20">
        <f t="shared" si="13"/>
        <v>0</v>
      </c>
    </row>
    <row r="115" spans="1:35" ht="20.100000000000001" hidden="1" customHeight="1">
      <c r="A115" s="24" t="str">
        <f>ÖSSZES!$A$110</f>
        <v>Név16</v>
      </c>
      <c r="B115" s="39" t="s">
        <v>2</v>
      </c>
      <c r="C115" s="39" t="s">
        <v>2</v>
      </c>
      <c r="D115" s="19"/>
      <c r="E115" s="19"/>
      <c r="F115" s="19"/>
      <c r="G115" s="19"/>
      <c r="H115" s="19"/>
      <c r="I115" s="39" t="s">
        <v>2</v>
      </c>
      <c r="J115" s="39" t="s">
        <v>2</v>
      </c>
      <c r="K115" s="19"/>
      <c r="L115" s="19"/>
      <c r="M115" s="19"/>
      <c r="N115" s="19"/>
      <c r="O115" s="19"/>
      <c r="P115" s="39" t="s">
        <v>2</v>
      </c>
      <c r="Q115" s="39" t="s">
        <v>2</v>
      </c>
      <c r="R115" s="19"/>
      <c r="S115" s="19"/>
      <c r="T115" s="19"/>
      <c r="U115" s="19"/>
      <c r="V115" s="19"/>
      <c r="W115" s="39" t="s">
        <v>2</v>
      </c>
      <c r="X115" s="39" t="s">
        <v>2</v>
      </c>
      <c r="Y115" s="19"/>
      <c r="Z115" s="19"/>
      <c r="AA115" s="19"/>
      <c r="AB115" s="39"/>
      <c r="AC115" s="39"/>
      <c r="AD115" s="39" t="s">
        <v>2</v>
      </c>
      <c r="AE115" s="39" t="s">
        <v>2</v>
      </c>
      <c r="AF115" s="39"/>
      <c r="AH115" s="20">
        <f t="shared" si="12"/>
        <v>0</v>
      </c>
      <c r="AI115" s="20">
        <f t="shared" si="13"/>
        <v>0</v>
      </c>
    </row>
    <row r="116" spans="1:35" ht="20.100000000000001" hidden="1" customHeight="1">
      <c r="A116" s="24" t="str">
        <f>ÖSSZES!$A$111</f>
        <v>Név17</v>
      </c>
      <c r="B116" s="39" t="s">
        <v>2</v>
      </c>
      <c r="C116" s="39" t="s">
        <v>2</v>
      </c>
      <c r="D116" s="19"/>
      <c r="E116" s="19"/>
      <c r="F116" s="19"/>
      <c r="G116" s="19"/>
      <c r="H116" s="19"/>
      <c r="I116" s="39" t="s">
        <v>2</v>
      </c>
      <c r="J116" s="39" t="s">
        <v>2</v>
      </c>
      <c r="K116" s="19"/>
      <c r="L116" s="19"/>
      <c r="M116" s="19"/>
      <c r="N116" s="19"/>
      <c r="O116" s="19"/>
      <c r="P116" s="39" t="s">
        <v>2</v>
      </c>
      <c r="Q116" s="39" t="s">
        <v>2</v>
      </c>
      <c r="R116" s="19"/>
      <c r="S116" s="19"/>
      <c r="T116" s="19"/>
      <c r="U116" s="19"/>
      <c r="V116" s="19"/>
      <c r="W116" s="39" t="s">
        <v>2</v>
      </c>
      <c r="X116" s="39" t="s">
        <v>2</v>
      </c>
      <c r="Y116" s="19"/>
      <c r="Z116" s="19"/>
      <c r="AA116" s="19"/>
      <c r="AB116" s="39"/>
      <c r="AC116" s="39"/>
      <c r="AD116" s="39" t="s">
        <v>2</v>
      </c>
      <c r="AE116" s="39" t="s">
        <v>2</v>
      </c>
      <c r="AF116" s="39"/>
      <c r="AH116" s="20">
        <f t="shared" si="12"/>
        <v>0</v>
      </c>
      <c r="AI116" s="20">
        <f t="shared" si="13"/>
        <v>0</v>
      </c>
    </row>
    <row r="117" spans="1:35" ht="20.100000000000001" hidden="1" customHeight="1">
      <c r="A117" s="24" t="str">
        <f>ÖSSZES!$A$112</f>
        <v>Név18</v>
      </c>
      <c r="B117" s="39" t="s">
        <v>2</v>
      </c>
      <c r="C117" s="39" t="s">
        <v>2</v>
      </c>
      <c r="D117" s="19"/>
      <c r="E117" s="19"/>
      <c r="F117" s="19"/>
      <c r="G117" s="19"/>
      <c r="H117" s="19"/>
      <c r="I117" s="39" t="s">
        <v>2</v>
      </c>
      <c r="J117" s="39" t="s">
        <v>2</v>
      </c>
      <c r="K117" s="19"/>
      <c r="L117" s="19"/>
      <c r="M117" s="19"/>
      <c r="N117" s="19"/>
      <c r="O117" s="19"/>
      <c r="P117" s="39" t="s">
        <v>2</v>
      </c>
      <c r="Q117" s="39" t="s">
        <v>2</v>
      </c>
      <c r="R117" s="19"/>
      <c r="S117" s="19"/>
      <c r="T117" s="19"/>
      <c r="U117" s="19"/>
      <c r="V117" s="19"/>
      <c r="W117" s="39" t="s">
        <v>2</v>
      </c>
      <c r="X117" s="39" t="s">
        <v>2</v>
      </c>
      <c r="Y117" s="19"/>
      <c r="Z117" s="19"/>
      <c r="AA117" s="19"/>
      <c r="AB117" s="39"/>
      <c r="AC117" s="39"/>
      <c r="AD117" s="39" t="s">
        <v>2</v>
      </c>
      <c r="AE117" s="39" t="s">
        <v>2</v>
      </c>
      <c r="AF117" s="39"/>
      <c r="AH117" s="20">
        <f t="shared" si="12"/>
        <v>0</v>
      </c>
      <c r="AI117" s="20">
        <f t="shared" si="13"/>
        <v>0</v>
      </c>
    </row>
    <row r="118" spans="1:35" ht="20.100000000000001" hidden="1" customHeight="1">
      <c r="A118" s="24" t="str">
        <f>ÖSSZES!$A$113</f>
        <v>Név19</v>
      </c>
      <c r="B118" s="39" t="s">
        <v>2</v>
      </c>
      <c r="C118" s="39" t="s">
        <v>2</v>
      </c>
      <c r="D118" s="19"/>
      <c r="E118" s="19"/>
      <c r="F118" s="19"/>
      <c r="G118" s="19"/>
      <c r="H118" s="19"/>
      <c r="I118" s="39" t="s">
        <v>2</v>
      </c>
      <c r="J118" s="39" t="s">
        <v>2</v>
      </c>
      <c r="K118" s="19"/>
      <c r="L118" s="19"/>
      <c r="M118" s="19"/>
      <c r="N118" s="19"/>
      <c r="O118" s="19"/>
      <c r="P118" s="39" t="s">
        <v>2</v>
      </c>
      <c r="Q118" s="39" t="s">
        <v>2</v>
      </c>
      <c r="R118" s="19"/>
      <c r="S118" s="19"/>
      <c r="T118" s="19"/>
      <c r="U118" s="19"/>
      <c r="V118" s="19"/>
      <c r="W118" s="39" t="s">
        <v>2</v>
      </c>
      <c r="X118" s="39" t="s">
        <v>2</v>
      </c>
      <c r="Y118" s="19"/>
      <c r="Z118" s="19"/>
      <c r="AA118" s="19"/>
      <c r="AB118" s="39"/>
      <c r="AC118" s="39"/>
      <c r="AD118" s="39" t="s">
        <v>2</v>
      </c>
      <c r="AE118" s="39" t="s">
        <v>2</v>
      </c>
      <c r="AF118" s="39"/>
      <c r="AH118" s="20">
        <f t="shared" si="12"/>
        <v>0</v>
      </c>
      <c r="AI118" s="20">
        <f t="shared" si="13"/>
        <v>0</v>
      </c>
    </row>
    <row r="119" spans="1:35" ht="20.100000000000001" hidden="1" customHeight="1">
      <c r="A119" s="24" t="str">
        <f>ÖSSZES!$A$114</f>
        <v>Név20</v>
      </c>
      <c r="B119" s="39" t="s">
        <v>2</v>
      </c>
      <c r="C119" s="39" t="s">
        <v>2</v>
      </c>
      <c r="D119" s="19"/>
      <c r="E119" s="19"/>
      <c r="F119" s="19"/>
      <c r="G119" s="19"/>
      <c r="H119" s="19"/>
      <c r="I119" s="39" t="s">
        <v>2</v>
      </c>
      <c r="J119" s="39" t="s">
        <v>2</v>
      </c>
      <c r="K119" s="19"/>
      <c r="L119" s="19"/>
      <c r="M119" s="19"/>
      <c r="N119" s="19"/>
      <c r="O119" s="19"/>
      <c r="P119" s="39" t="s">
        <v>2</v>
      </c>
      <c r="Q119" s="39" t="s">
        <v>2</v>
      </c>
      <c r="R119" s="19"/>
      <c r="S119" s="19"/>
      <c r="T119" s="19"/>
      <c r="U119" s="19"/>
      <c r="V119" s="19"/>
      <c r="W119" s="39" t="s">
        <v>2</v>
      </c>
      <c r="X119" s="39" t="s">
        <v>2</v>
      </c>
      <c r="Y119" s="19"/>
      <c r="Z119" s="19"/>
      <c r="AA119" s="19"/>
      <c r="AB119" s="39"/>
      <c r="AC119" s="39"/>
      <c r="AD119" s="39" t="s">
        <v>2</v>
      </c>
      <c r="AE119" s="39" t="s">
        <v>2</v>
      </c>
      <c r="AF119" s="39"/>
      <c r="AH119" s="20">
        <f t="shared" si="12"/>
        <v>0</v>
      </c>
      <c r="AI119" s="20">
        <f t="shared" si="13"/>
        <v>0</v>
      </c>
    </row>
    <row r="120" spans="1:35" ht="20.100000000000001" customHeight="1"/>
    <row r="121" spans="1:35" s="11" customFormat="1" ht="20.100000000000001" customHeight="1">
      <c r="A121" s="57" t="s">
        <v>10</v>
      </c>
      <c r="B121" s="23">
        <v>1</v>
      </c>
      <c r="C121" s="23">
        <v>2</v>
      </c>
      <c r="D121" s="23">
        <v>3</v>
      </c>
      <c r="E121" s="23">
        <v>4</v>
      </c>
      <c r="F121" s="23">
        <v>5</v>
      </c>
      <c r="G121" s="23">
        <v>6</v>
      </c>
      <c r="H121" s="23">
        <v>7</v>
      </c>
      <c r="I121" s="23">
        <v>8</v>
      </c>
      <c r="J121" s="23">
        <v>9</v>
      </c>
      <c r="K121" s="23">
        <v>10</v>
      </c>
      <c r="L121" s="23">
        <v>11</v>
      </c>
      <c r="M121" s="23">
        <v>12</v>
      </c>
      <c r="N121" s="23">
        <v>13</v>
      </c>
      <c r="O121" s="23">
        <v>14</v>
      </c>
      <c r="P121" s="23">
        <v>15</v>
      </c>
      <c r="Q121" s="23">
        <v>16</v>
      </c>
      <c r="R121" s="23">
        <v>17</v>
      </c>
      <c r="S121" s="23">
        <v>18</v>
      </c>
      <c r="T121" s="23">
        <v>19</v>
      </c>
      <c r="U121" s="23">
        <v>20</v>
      </c>
      <c r="V121" s="23">
        <v>21</v>
      </c>
      <c r="W121" s="23">
        <v>22</v>
      </c>
      <c r="X121" s="23">
        <v>23</v>
      </c>
      <c r="Y121" s="23">
        <v>24</v>
      </c>
      <c r="Z121" s="23">
        <v>25</v>
      </c>
      <c r="AA121" s="23">
        <v>26</v>
      </c>
      <c r="AB121" s="23">
        <v>27</v>
      </c>
      <c r="AC121" s="23">
        <v>28</v>
      </c>
      <c r="AD121" s="23">
        <v>29</v>
      </c>
      <c r="AE121" s="23">
        <v>30</v>
      </c>
      <c r="AH121" s="59" t="s">
        <v>18</v>
      </c>
      <c r="AI121" s="59" t="s">
        <v>19</v>
      </c>
    </row>
    <row r="122" spans="1:35" ht="20.100000000000001" customHeight="1">
      <c r="A122" s="61"/>
      <c r="B122" s="15" t="str">
        <f>'2021'!B44</f>
        <v>K</v>
      </c>
      <c r="C122" s="15" t="str">
        <f>'2021'!C44</f>
        <v>Sze</v>
      </c>
      <c r="D122" s="15" t="str">
        <f>'2021'!D44</f>
        <v>Cs</v>
      </c>
      <c r="E122" s="15" t="str">
        <f>'2021'!E44</f>
        <v>P</v>
      </c>
      <c r="F122" s="15" t="str">
        <f>'2021'!F44</f>
        <v>Szo</v>
      </c>
      <c r="G122" s="15" t="str">
        <f>'2021'!G44</f>
        <v>V</v>
      </c>
      <c r="H122" s="15" t="str">
        <f>'2021'!H44</f>
        <v>H</v>
      </c>
      <c r="I122" s="15" t="str">
        <f>'2021'!I44</f>
        <v>K</v>
      </c>
      <c r="J122" s="15" t="str">
        <f>'2021'!J44</f>
        <v>Sze</v>
      </c>
      <c r="K122" s="15" t="str">
        <f>'2021'!K44</f>
        <v>Cs</v>
      </c>
      <c r="L122" s="15" t="str">
        <f>'2021'!L44</f>
        <v>P</v>
      </c>
      <c r="M122" s="15" t="str">
        <f>'2021'!M44</f>
        <v>Szo</v>
      </c>
      <c r="N122" s="15" t="str">
        <f>'2021'!N44</f>
        <v>V</v>
      </c>
      <c r="O122" s="15" t="str">
        <f>'2021'!O44</f>
        <v>H</v>
      </c>
      <c r="P122" s="15" t="str">
        <f>'2021'!P44</f>
        <v>K</v>
      </c>
      <c r="Q122" s="15" t="str">
        <f>'2021'!Q44</f>
        <v>Sze</v>
      </c>
      <c r="R122" s="15" t="str">
        <f>'2021'!R44</f>
        <v>Cs</v>
      </c>
      <c r="S122" s="15" t="str">
        <f>'2021'!S44</f>
        <v>P</v>
      </c>
      <c r="T122" s="15" t="str">
        <f>'2021'!T44</f>
        <v>Szo</v>
      </c>
      <c r="U122" s="15" t="str">
        <f>'2021'!U44</f>
        <v>V</v>
      </c>
      <c r="V122" s="15" t="str">
        <f>'2021'!V44</f>
        <v>H</v>
      </c>
      <c r="W122" s="15" t="str">
        <f>'2021'!W44</f>
        <v>K</v>
      </c>
      <c r="X122" s="15" t="str">
        <f>'2021'!X44</f>
        <v>Sze</v>
      </c>
      <c r="Y122" s="15" t="str">
        <f>'2021'!Y44</f>
        <v>Cs</v>
      </c>
      <c r="Z122" s="15" t="str">
        <f>'2021'!Z44</f>
        <v>P</v>
      </c>
      <c r="AA122" s="15" t="str">
        <f>'2021'!AA44</f>
        <v>Szo</v>
      </c>
      <c r="AB122" s="15" t="str">
        <f>'2021'!AB44</f>
        <v>V</v>
      </c>
      <c r="AC122" s="15" t="str">
        <f>'2021'!AC44</f>
        <v>H</v>
      </c>
      <c r="AD122" s="15" t="str">
        <f>'2021'!AD44</f>
        <v>K</v>
      </c>
      <c r="AE122" s="15" t="str">
        <f>'2021'!AE44</f>
        <v>Sze</v>
      </c>
      <c r="AF122" s="6"/>
      <c r="AH122" s="60"/>
      <c r="AI122" s="60"/>
    </row>
    <row r="123" spans="1:35" ht="20.100000000000001" customHeight="1">
      <c r="A123" s="6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6"/>
      <c r="AH123" s="60"/>
      <c r="AI123" s="60"/>
    </row>
    <row r="124" spans="1:35" ht="20.100000000000001" customHeight="1">
      <c r="A124" s="24" t="str">
        <f>ÖSSZES!$A$95</f>
        <v>Kovács Kriszitán</v>
      </c>
      <c r="B124" s="39"/>
      <c r="C124" s="39"/>
      <c r="D124" s="39"/>
      <c r="E124" s="39"/>
      <c r="F124" s="39" t="s">
        <v>2</v>
      </c>
      <c r="G124" s="39" t="s">
        <v>2</v>
      </c>
      <c r="H124" s="39"/>
      <c r="I124" s="39"/>
      <c r="J124" s="39"/>
      <c r="K124" s="39"/>
      <c r="L124" s="39"/>
      <c r="M124" s="39" t="s">
        <v>2</v>
      </c>
      <c r="N124" s="39" t="s">
        <v>2</v>
      </c>
      <c r="O124" s="39"/>
      <c r="P124" s="39"/>
      <c r="Q124" s="39"/>
      <c r="R124" s="39"/>
      <c r="S124" s="39"/>
      <c r="T124" s="39" t="s">
        <v>2</v>
      </c>
      <c r="U124" s="39" t="s">
        <v>2</v>
      </c>
      <c r="V124" s="39"/>
      <c r="W124" s="39"/>
      <c r="X124" s="39"/>
      <c r="Y124" s="39"/>
      <c r="Z124" s="39"/>
      <c r="AA124" s="39" t="s">
        <v>2</v>
      </c>
      <c r="AB124" s="39" t="s">
        <v>2</v>
      </c>
      <c r="AC124" s="39"/>
      <c r="AD124" s="39"/>
      <c r="AE124" s="39"/>
      <c r="AF124" s="6"/>
      <c r="AH124" s="20">
        <f>1*COUNTIF(A124:AF124,"+")</f>
        <v>0</v>
      </c>
      <c r="AI124" s="20">
        <f t="shared" ref="AI124" si="14">1*COUNTIF(B124:AF124,"szf")</f>
        <v>0</v>
      </c>
    </row>
    <row r="125" spans="1:35" ht="20.100000000000001" customHeight="1">
      <c r="A125" s="24" t="str">
        <f>ÖSSZES!$A$96</f>
        <v>Besse Éva</v>
      </c>
      <c r="B125" s="39"/>
      <c r="C125" s="39"/>
      <c r="D125" s="39"/>
      <c r="E125" s="39"/>
      <c r="F125" s="39" t="s">
        <v>2</v>
      </c>
      <c r="G125" s="39" t="s">
        <v>2</v>
      </c>
      <c r="H125" s="39"/>
      <c r="I125" s="39"/>
      <c r="J125" s="39"/>
      <c r="K125" s="39"/>
      <c r="L125" s="39"/>
      <c r="M125" s="39" t="s">
        <v>2</v>
      </c>
      <c r="N125" s="39" t="s">
        <v>2</v>
      </c>
      <c r="O125" s="39"/>
      <c r="P125" s="39"/>
      <c r="Q125" s="39"/>
      <c r="R125" s="39"/>
      <c r="S125" s="39"/>
      <c r="T125" s="39" t="s">
        <v>2</v>
      </c>
      <c r="U125" s="39" t="s">
        <v>2</v>
      </c>
      <c r="V125" s="39"/>
      <c r="W125" s="39"/>
      <c r="X125" s="39"/>
      <c r="Y125" s="39"/>
      <c r="Z125" s="39"/>
      <c r="AA125" s="39" t="s">
        <v>2</v>
      </c>
      <c r="AB125" s="39" t="s">
        <v>2</v>
      </c>
      <c r="AC125" s="39"/>
      <c r="AD125" s="39"/>
      <c r="AE125" s="39"/>
      <c r="AF125" s="6"/>
      <c r="AH125" s="20">
        <f t="shared" ref="AH125:AH143" si="15">1*COUNTIF(A125:AF125,"+")</f>
        <v>0</v>
      </c>
      <c r="AI125" s="20">
        <f t="shared" ref="AI125:AI143" si="16">1*COUNTIF(B125:AF125,"szf")</f>
        <v>0</v>
      </c>
    </row>
    <row r="126" spans="1:35" ht="20.100000000000001" customHeight="1">
      <c r="A126" s="24" t="str">
        <f>ÖSSZES!$A$97</f>
        <v>Bulyáki Csaba</v>
      </c>
      <c r="B126" s="39"/>
      <c r="C126" s="39"/>
      <c r="D126" s="39"/>
      <c r="E126" s="39"/>
      <c r="F126" s="39" t="s">
        <v>2</v>
      </c>
      <c r="G126" s="39" t="s">
        <v>2</v>
      </c>
      <c r="H126" s="39"/>
      <c r="I126" s="39"/>
      <c r="J126" s="39"/>
      <c r="K126" s="39"/>
      <c r="L126" s="39"/>
      <c r="M126" s="39" t="s">
        <v>2</v>
      </c>
      <c r="N126" s="39" t="s">
        <v>2</v>
      </c>
      <c r="O126" s="39"/>
      <c r="P126" s="39"/>
      <c r="Q126" s="39"/>
      <c r="R126" s="39"/>
      <c r="S126" s="39"/>
      <c r="T126" s="39" t="s">
        <v>2</v>
      </c>
      <c r="U126" s="39" t="s">
        <v>2</v>
      </c>
      <c r="V126" s="39"/>
      <c r="W126" s="39"/>
      <c r="X126" s="39"/>
      <c r="Y126" s="39"/>
      <c r="Z126" s="39"/>
      <c r="AA126" s="39" t="s">
        <v>2</v>
      </c>
      <c r="AB126" s="39" t="s">
        <v>2</v>
      </c>
      <c r="AC126" s="39"/>
      <c r="AD126" s="39"/>
      <c r="AE126" s="39"/>
      <c r="AF126" s="6"/>
      <c r="AH126" s="20">
        <f t="shared" si="15"/>
        <v>0</v>
      </c>
      <c r="AI126" s="20">
        <f t="shared" si="16"/>
        <v>0</v>
      </c>
    </row>
    <row r="127" spans="1:35" ht="20.100000000000001" customHeight="1">
      <c r="A127" s="24" t="str">
        <f>ÖSSZES!$A$98</f>
        <v>Dancsi Attila</v>
      </c>
      <c r="B127" s="39"/>
      <c r="C127" s="39"/>
      <c r="D127" s="39"/>
      <c r="E127" s="39"/>
      <c r="F127" s="39" t="s">
        <v>2</v>
      </c>
      <c r="G127" s="39" t="s">
        <v>2</v>
      </c>
      <c r="H127" s="39"/>
      <c r="I127" s="39"/>
      <c r="J127" s="39"/>
      <c r="K127" s="39"/>
      <c r="L127" s="39"/>
      <c r="M127" s="39" t="s">
        <v>2</v>
      </c>
      <c r="N127" s="39" t="s">
        <v>2</v>
      </c>
      <c r="O127" s="39"/>
      <c r="P127" s="39"/>
      <c r="Q127" s="39"/>
      <c r="R127" s="39"/>
      <c r="S127" s="39"/>
      <c r="T127" s="39" t="s">
        <v>2</v>
      </c>
      <c r="U127" s="39" t="s">
        <v>2</v>
      </c>
      <c r="V127" s="39"/>
      <c r="W127" s="39"/>
      <c r="X127" s="39"/>
      <c r="Y127" s="39"/>
      <c r="Z127" s="39"/>
      <c r="AA127" s="39" t="s">
        <v>2</v>
      </c>
      <c r="AB127" s="39" t="s">
        <v>2</v>
      </c>
      <c r="AC127" s="39"/>
      <c r="AD127" s="39"/>
      <c r="AE127" s="39"/>
      <c r="AF127" s="6"/>
      <c r="AH127" s="20">
        <f t="shared" si="15"/>
        <v>0</v>
      </c>
      <c r="AI127" s="20">
        <f t="shared" si="16"/>
        <v>0</v>
      </c>
    </row>
    <row r="128" spans="1:35" ht="20.100000000000001" customHeight="1">
      <c r="A128" s="24" t="str">
        <f>ÖSSZES!$A$99</f>
        <v>Fekete Tamás</v>
      </c>
      <c r="B128" s="39"/>
      <c r="C128" s="39"/>
      <c r="D128" s="39"/>
      <c r="E128" s="39"/>
      <c r="F128" s="39" t="s">
        <v>2</v>
      </c>
      <c r="G128" s="39" t="s">
        <v>2</v>
      </c>
      <c r="H128" s="39"/>
      <c r="I128" s="39"/>
      <c r="J128" s="39"/>
      <c r="K128" s="39"/>
      <c r="L128" s="39"/>
      <c r="M128" s="39" t="s">
        <v>2</v>
      </c>
      <c r="N128" s="39" t="s">
        <v>2</v>
      </c>
      <c r="O128" s="39"/>
      <c r="P128" s="39"/>
      <c r="Q128" s="39"/>
      <c r="R128" s="39"/>
      <c r="S128" s="39"/>
      <c r="T128" s="39" t="s">
        <v>2</v>
      </c>
      <c r="U128" s="39" t="s">
        <v>2</v>
      </c>
      <c r="V128" s="39"/>
      <c r="W128" s="39"/>
      <c r="X128" s="39"/>
      <c r="Y128" s="39"/>
      <c r="Z128" s="39"/>
      <c r="AA128" s="39" t="s">
        <v>2</v>
      </c>
      <c r="AB128" s="39" t="s">
        <v>2</v>
      </c>
      <c r="AC128" s="39"/>
      <c r="AD128" s="39"/>
      <c r="AE128" s="39"/>
      <c r="AF128" s="6"/>
      <c r="AH128" s="20">
        <f t="shared" si="15"/>
        <v>0</v>
      </c>
      <c r="AI128" s="20">
        <f t="shared" si="16"/>
        <v>0</v>
      </c>
    </row>
    <row r="129" spans="1:35" ht="20.100000000000001" customHeight="1">
      <c r="A129" s="24" t="str">
        <f>ÖSSZES!$A$100</f>
        <v>Iványi Roland</v>
      </c>
      <c r="B129" s="39"/>
      <c r="C129" s="39"/>
      <c r="D129" s="39"/>
      <c r="E129" s="39"/>
      <c r="F129" s="39" t="s">
        <v>2</v>
      </c>
      <c r="G129" s="39" t="s">
        <v>2</v>
      </c>
      <c r="H129" s="39"/>
      <c r="I129" s="39"/>
      <c r="J129" s="39"/>
      <c r="K129" s="39"/>
      <c r="L129" s="39"/>
      <c r="M129" s="39" t="s">
        <v>2</v>
      </c>
      <c r="N129" s="39" t="s">
        <v>2</v>
      </c>
      <c r="O129" s="39"/>
      <c r="P129" s="39"/>
      <c r="Q129" s="39"/>
      <c r="R129" s="39"/>
      <c r="S129" s="39"/>
      <c r="T129" s="39" t="s">
        <v>2</v>
      </c>
      <c r="U129" s="39" t="s">
        <v>2</v>
      </c>
      <c r="V129" s="39"/>
      <c r="W129" s="39"/>
      <c r="X129" s="39"/>
      <c r="Y129" s="39"/>
      <c r="Z129" s="39"/>
      <c r="AA129" s="39" t="s">
        <v>2</v>
      </c>
      <c r="AB129" s="39" t="s">
        <v>2</v>
      </c>
      <c r="AC129" s="39"/>
      <c r="AD129" s="39"/>
      <c r="AE129" s="39"/>
      <c r="AF129" s="6"/>
      <c r="AH129" s="20">
        <f t="shared" si="15"/>
        <v>0</v>
      </c>
      <c r="AI129" s="20">
        <f t="shared" si="16"/>
        <v>0</v>
      </c>
    </row>
    <row r="130" spans="1:35" ht="20.100000000000001" customHeight="1">
      <c r="A130" s="24" t="str">
        <f>ÖSSZES!$A$101</f>
        <v>Oláh Erika</v>
      </c>
      <c r="B130" s="39"/>
      <c r="C130" s="39"/>
      <c r="D130" s="39"/>
      <c r="E130" s="39"/>
      <c r="F130" s="39" t="s">
        <v>2</v>
      </c>
      <c r="G130" s="39" t="s">
        <v>2</v>
      </c>
      <c r="H130" s="39"/>
      <c r="I130" s="39"/>
      <c r="J130" s="39"/>
      <c r="K130" s="39"/>
      <c r="L130" s="39"/>
      <c r="M130" s="39" t="s">
        <v>2</v>
      </c>
      <c r="N130" s="39" t="s">
        <v>2</v>
      </c>
      <c r="O130" s="39"/>
      <c r="P130" s="39"/>
      <c r="Q130" s="39"/>
      <c r="R130" s="39"/>
      <c r="S130" s="39"/>
      <c r="T130" s="39" t="s">
        <v>2</v>
      </c>
      <c r="U130" s="39" t="s">
        <v>2</v>
      </c>
      <c r="V130" s="39"/>
      <c r="W130" s="39"/>
      <c r="X130" s="39"/>
      <c r="Y130" s="39"/>
      <c r="Z130" s="39"/>
      <c r="AA130" s="39" t="s">
        <v>2</v>
      </c>
      <c r="AB130" s="39" t="s">
        <v>2</v>
      </c>
      <c r="AC130" s="39"/>
      <c r="AD130" s="39"/>
      <c r="AE130" s="39"/>
      <c r="AF130" s="6"/>
      <c r="AH130" s="20">
        <f t="shared" si="15"/>
        <v>0</v>
      </c>
      <c r="AI130" s="20">
        <f t="shared" si="16"/>
        <v>0</v>
      </c>
    </row>
    <row r="131" spans="1:35" ht="20.100000000000001" customHeight="1">
      <c r="A131" s="24" t="str">
        <f>ÖSSZES!$A$102</f>
        <v>Tóth János</v>
      </c>
      <c r="B131" s="39"/>
      <c r="C131" s="39"/>
      <c r="D131" s="39"/>
      <c r="E131" s="39"/>
      <c r="F131" s="39" t="s">
        <v>2</v>
      </c>
      <c r="G131" s="39" t="s">
        <v>2</v>
      </c>
      <c r="H131" s="39"/>
      <c r="I131" s="39"/>
      <c r="J131" s="39"/>
      <c r="K131" s="39"/>
      <c r="L131" s="39"/>
      <c r="M131" s="39" t="s">
        <v>2</v>
      </c>
      <c r="N131" s="39" t="s">
        <v>2</v>
      </c>
      <c r="O131" s="39"/>
      <c r="P131" s="39"/>
      <c r="Q131" s="39"/>
      <c r="R131" s="39"/>
      <c r="S131" s="39"/>
      <c r="T131" s="39" t="s">
        <v>2</v>
      </c>
      <c r="U131" s="39" t="s">
        <v>2</v>
      </c>
      <c r="V131" s="39"/>
      <c r="W131" s="39"/>
      <c r="X131" s="39"/>
      <c r="Y131" s="39"/>
      <c r="Z131" s="39"/>
      <c r="AA131" s="39" t="s">
        <v>2</v>
      </c>
      <c r="AB131" s="39" t="s">
        <v>2</v>
      </c>
      <c r="AC131" s="39"/>
      <c r="AD131" s="39"/>
      <c r="AE131" s="39"/>
      <c r="AF131" s="6"/>
      <c r="AH131" s="20">
        <f t="shared" si="15"/>
        <v>0</v>
      </c>
      <c r="AI131" s="20">
        <f t="shared" si="16"/>
        <v>0</v>
      </c>
    </row>
    <row r="132" spans="1:35" ht="20.100000000000001" customHeight="1">
      <c r="A132" s="24" t="str">
        <f>ÖSSZES!$A$103</f>
        <v>Tóth Krisztián</v>
      </c>
      <c r="B132" s="39"/>
      <c r="C132" s="39"/>
      <c r="D132" s="39"/>
      <c r="E132" s="39"/>
      <c r="F132" s="39" t="s">
        <v>2</v>
      </c>
      <c r="G132" s="39" t="s">
        <v>2</v>
      </c>
      <c r="H132" s="39"/>
      <c r="I132" s="39"/>
      <c r="J132" s="39"/>
      <c r="K132" s="39"/>
      <c r="L132" s="39"/>
      <c r="M132" s="39" t="s">
        <v>2</v>
      </c>
      <c r="N132" s="39" t="s">
        <v>2</v>
      </c>
      <c r="O132" s="39"/>
      <c r="P132" s="39"/>
      <c r="Q132" s="39"/>
      <c r="R132" s="39"/>
      <c r="S132" s="39"/>
      <c r="T132" s="39" t="s">
        <v>2</v>
      </c>
      <c r="U132" s="39" t="s">
        <v>2</v>
      </c>
      <c r="V132" s="39"/>
      <c r="W132" s="39"/>
      <c r="X132" s="39"/>
      <c r="Y132" s="39"/>
      <c r="Z132" s="39"/>
      <c r="AA132" s="39" t="s">
        <v>2</v>
      </c>
      <c r="AB132" s="39" t="s">
        <v>2</v>
      </c>
      <c r="AC132" s="39"/>
      <c r="AD132" s="39"/>
      <c r="AE132" s="39"/>
      <c r="AF132" s="6"/>
      <c r="AH132" s="20">
        <f t="shared" si="15"/>
        <v>0</v>
      </c>
      <c r="AI132" s="20">
        <f t="shared" si="16"/>
        <v>0</v>
      </c>
    </row>
    <row r="133" spans="1:35" ht="20.100000000000001" hidden="1" customHeight="1">
      <c r="A133" s="24" t="str">
        <f>ÖSSZES!$A$104</f>
        <v>Név10</v>
      </c>
      <c r="B133" s="39"/>
      <c r="C133" s="39"/>
      <c r="D133" s="39"/>
      <c r="E133" s="39"/>
      <c r="F133" s="39" t="s">
        <v>2</v>
      </c>
      <c r="G133" s="39" t="s">
        <v>2</v>
      </c>
      <c r="H133" s="39"/>
      <c r="I133" s="39"/>
      <c r="J133" s="39"/>
      <c r="K133" s="39"/>
      <c r="L133" s="39"/>
      <c r="M133" s="39" t="s">
        <v>2</v>
      </c>
      <c r="N133" s="39" t="s">
        <v>2</v>
      </c>
      <c r="O133" s="39"/>
      <c r="P133" s="39"/>
      <c r="Q133" s="39"/>
      <c r="R133" s="39"/>
      <c r="S133" s="39"/>
      <c r="T133" s="39" t="s">
        <v>2</v>
      </c>
      <c r="U133" s="39" t="s">
        <v>2</v>
      </c>
      <c r="V133" s="39"/>
      <c r="W133" s="39"/>
      <c r="X133" s="39"/>
      <c r="Y133" s="39"/>
      <c r="Z133" s="39"/>
      <c r="AA133" s="39" t="s">
        <v>2</v>
      </c>
      <c r="AB133" s="39" t="s">
        <v>2</v>
      </c>
      <c r="AC133" s="39"/>
      <c r="AD133" s="39"/>
      <c r="AE133" s="39"/>
      <c r="AF133" s="6"/>
      <c r="AH133" s="20">
        <f t="shared" si="15"/>
        <v>0</v>
      </c>
      <c r="AI133" s="20">
        <f t="shared" si="16"/>
        <v>0</v>
      </c>
    </row>
    <row r="134" spans="1:35" ht="20.100000000000001" hidden="1" customHeight="1">
      <c r="A134" s="24" t="str">
        <f>ÖSSZES!$A$105</f>
        <v>Név11</v>
      </c>
      <c r="B134" s="39"/>
      <c r="C134" s="39"/>
      <c r="D134" s="39"/>
      <c r="E134" s="39"/>
      <c r="F134" s="39" t="s">
        <v>2</v>
      </c>
      <c r="G134" s="39" t="s">
        <v>2</v>
      </c>
      <c r="H134" s="39"/>
      <c r="I134" s="39"/>
      <c r="J134" s="39"/>
      <c r="K134" s="39"/>
      <c r="L134" s="39"/>
      <c r="M134" s="39" t="s">
        <v>2</v>
      </c>
      <c r="N134" s="39" t="s">
        <v>2</v>
      </c>
      <c r="O134" s="39"/>
      <c r="P134" s="39"/>
      <c r="Q134" s="39"/>
      <c r="R134" s="39"/>
      <c r="S134" s="39"/>
      <c r="T134" s="39" t="s">
        <v>2</v>
      </c>
      <c r="U134" s="39" t="s">
        <v>2</v>
      </c>
      <c r="V134" s="39"/>
      <c r="W134" s="39"/>
      <c r="X134" s="39"/>
      <c r="Y134" s="39"/>
      <c r="Z134" s="39"/>
      <c r="AA134" s="39" t="s">
        <v>2</v>
      </c>
      <c r="AB134" s="39" t="s">
        <v>2</v>
      </c>
      <c r="AC134" s="39"/>
      <c r="AD134" s="39"/>
      <c r="AE134" s="39"/>
      <c r="AF134" s="6"/>
      <c r="AH134" s="20">
        <f t="shared" si="15"/>
        <v>0</v>
      </c>
      <c r="AI134" s="20">
        <f t="shared" si="16"/>
        <v>0</v>
      </c>
    </row>
    <row r="135" spans="1:35" ht="20.100000000000001" hidden="1" customHeight="1">
      <c r="A135" s="24" t="str">
        <f>ÖSSZES!$A$106</f>
        <v>Név12</v>
      </c>
      <c r="B135" s="39"/>
      <c r="C135" s="39"/>
      <c r="D135" s="39"/>
      <c r="E135" s="39"/>
      <c r="F135" s="39" t="s">
        <v>2</v>
      </c>
      <c r="G135" s="39" t="s">
        <v>2</v>
      </c>
      <c r="H135" s="39"/>
      <c r="I135" s="39"/>
      <c r="J135" s="39"/>
      <c r="K135" s="39"/>
      <c r="L135" s="39"/>
      <c r="M135" s="39" t="s">
        <v>2</v>
      </c>
      <c r="N135" s="39" t="s">
        <v>2</v>
      </c>
      <c r="O135" s="39"/>
      <c r="P135" s="39"/>
      <c r="Q135" s="39"/>
      <c r="R135" s="39"/>
      <c r="S135" s="39"/>
      <c r="T135" s="39" t="s">
        <v>2</v>
      </c>
      <c r="U135" s="39" t="s">
        <v>2</v>
      </c>
      <c r="V135" s="39"/>
      <c r="W135" s="39"/>
      <c r="X135" s="39"/>
      <c r="Y135" s="39"/>
      <c r="Z135" s="39"/>
      <c r="AA135" s="39" t="s">
        <v>2</v>
      </c>
      <c r="AB135" s="39" t="s">
        <v>2</v>
      </c>
      <c r="AC135" s="39"/>
      <c r="AD135" s="39"/>
      <c r="AE135" s="39"/>
      <c r="AF135" s="6"/>
      <c r="AH135" s="20">
        <f t="shared" si="15"/>
        <v>0</v>
      </c>
      <c r="AI135" s="20">
        <f t="shared" si="16"/>
        <v>0</v>
      </c>
    </row>
    <row r="136" spans="1:35" ht="20.100000000000001" hidden="1" customHeight="1">
      <c r="A136" s="24" t="str">
        <f>ÖSSZES!$A$107</f>
        <v>Név13</v>
      </c>
      <c r="B136" s="39"/>
      <c r="C136" s="39"/>
      <c r="D136" s="39"/>
      <c r="E136" s="39"/>
      <c r="F136" s="39" t="s">
        <v>2</v>
      </c>
      <c r="G136" s="39" t="s">
        <v>2</v>
      </c>
      <c r="H136" s="39"/>
      <c r="I136" s="39"/>
      <c r="J136" s="39"/>
      <c r="K136" s="39"/>
      <c r="L136" s="39"/>
      <c r="M136" s="39" t="s">
        <v>2</v>
      </c>
      <c r="N136" s="39" t="s">
        <v>2</v>
      </c>
      <c r="O136" s="39"/>
      <c r="P136" s="39"/>
      <c r="Q136" s="39"/>
      <c r="R136" s="39"/>
      <c r="S136" s="39"/>
      <c r="T136" s="39" t="s">
        <v>2</v>
      </c>
      <c r="U136" s="39" t="s">
        <v>2</v>
      </c>
      <c r="V136" s="39"/>
      <c r="W136" s="39"/>
      <c r="X136" s="39"/>
      <c r="Y136" s="39"/>
      <c r="Z136" s="39"/>
      <c r="AA136" s="39" t="s">
        <v>2</v>
      </c>
      <c r="AB136" s="39" t="s">
        <v>2</v>
      </c>
      <c r="AC136" s="39"/>
      <c r="AD136" s="39"/>
      <c r="AE136" s="39"/>
      <c r="AF136" s="6"/>
      <c r="AH136" s="20">
        <f t="shared" si="15"/>
        <v>0</v>
      </c>
      <c r="AI136" s="20">
        <f t="shared" si="16"/>
        <v>0</v>
      </c>
    </row>
    <row r="137" spans="1:35" ht="20.100000000000001" hidden="1" customHeight="1">
      <c r="A137" s="24" t="str">
        <f>ÖSSZES!$A$108</f>
        <v>Név14</v>
      </c>
      <c r="B137" s="39"/>
      <c r="C137" s="39"/>
      <c r="D137" s="39"/>
      <c r="E137" s="39"/>
      <c r="F137" s="39" t="s">
        <v>2</v>
      </c>
      <c r="G137" s="39" t="s">
        <v>2</v>
      </c>
      <c r="H137" s="39"/>
      <c r="I137" s="39"/>
      <c r="J137" s="39"/>
      <c r="K137" s="39"/>
      <c r="L137" s="39"/>
      <c r="M137" s="39" t="s">
        <v>2</v>
      </c>
      <c r="N137" s="39" t="s">
        <v>2</v>
      </c>
      <c r="O137" s="39"/>
      <c r="P137" s="39"/>
      <c r="Q137" s="39"/>
      <c r="R137" s="39"/>
      <c r="S137" s="39"/>
      <c r="T137" s="39" t="s">
        <v>2</v>
      </c>
      <c r="U137" s="39" t="s">
        <v>2</v>
      </c>
      <c r="V137" s="39"/>
      <c r="W137" s="39"/>
      <c r="X137" s="39"/>
      <c r="Y137" s="39"/>
      <c r="Z137" s="39"/>
      <c r="AA137" s="39" t="s">
        <v>2</v>
      </c>
      <c r="AB137" s="39" t="s">
        <v>2</v>
      </c>
      <c r="AC137" s="39"/>
      <c r="AD137" s="39"/>
      <c r="AE137" s="39"/>
      <c r="AF137" s="6"/>
      <c r="AH137" s="20">
        <f t="shared" si="15"/>
        <v>0</v>
      </c>
      <c r="AI137" s="20">
        <f t="shared" si="16"/>
        <v>0</v>
      </c>
    </row>
    <row r="138" spans="1:35" ht="20.100000000000001" hidden="1" customHeight="1">
      <c r="A138" s="24" t="str">
        <f>ÖSSZES!$A$109</f>
        <v>Név15</v>
      </c>
      <c r="B138" s="39"/>
      <c r="C138" s="39"/>
      <c r="D138" s="39"/>
      <c r="E138" s="39"/>
      <c r="F138" s="39" t="s">
        <v>2</v>
      </c>
      <c r="G138" s="39" t="s">
        <v>2</v>
      </c>
      <c r="H138" s="39"/>
      <c r="I138" s="39"/>
      <c r="J138" s="39"/>
      <c r="K138" s="39"/>
      <c r="L138" s="39"/>
      <c r="M138" s="39" t="s">
        <v>2</v>
      </c>
      <c r="N138" s="39" t="s">
        <v>2</v>
      </c>
      <c r="O138" s="39"/>
      <c r="P138" s="39"/>
      <c r="Q138" s="39"/>
      <c r="R138" s="39"/>
      <c r="S138" s="39"/>
      <c r="T138" s="39" t="s">
        <v>2</v>
      </c>
      <c r="U138" s="39" t="s">
        <v>2</v>
      </c>
      <c r="V138" s="39"/>
      <c r="W138" s="39"/>
      <c r="X138" s="39"/>
      <c r="Y138" s="39"/>
      <c r="Z138" s="39"/>
      <c r="AA138" s="39" t="s">
        <v>2</v>
      </c>
      <c r="AB138" s="39" t="s">
        <v>2</v>
      </c>
      <c r="AC138" s="39"/>
      <c r="AD138" s="39"/>
      <c r="AE138" s="39"/>
      <c r="AF138" s="6"/>
      <c r="AH138" s="20">
        <f t="shared" si="15"/>
        <v>0</v>
      </c>
      <c r="AI138" s="20">
        <f t="shared" si="16"/>
        <v>0</v>
      </c>
    </row>
    <row r="139" spans="1:35" ht="20.100000000000001" hidden="1" customHeight="1">
      <c r="A139" s="24" t="str">
        <f>ÖSSZES!$A$110</f>
        <v>Név16</v>
      </c>
      <c r="B139" s="39"/>
      <c r="C139" s="39"/>
      <c r="D139" s="39"/>
      <c r="E139" s="39"/>
      <c r="F139" s="39" t="s">
        <v>2</v>
      </c>
      <c r="G139" s="39" t="s">
        <v>2</v>
      </c>
      <c r="H139" s="39"/>
      <c r="I139" s="39"/>
      <c r="J139" s="39"/>
      <c r="K139" s="39"/>
      <c r="L139" s="39"/>
      <c r="M139" s="39" t="s">
        <v>2</v>
      </c>
      <c r="N139" s="39" t="s">
        <v>2</v>
      </c>
      <c r="O139" s="39"/>
      <c r="P139" s="39"/>
      <c r="Q139" s="39"/>
      <c r="R139" s="39"/>
      <c r="S139" s="39"/>
      <c r="T139" s="39" t="s">
        <v>2</v>
      </c>
      <c r="U139" s="39" t="s">
        <v>2</v>
      </c>
      <c r="V139" s="39"/>
      <c r="W139" s="39"/>
      <c r="X139" s="39"/>
      <c r="Y139" s="39"/>
      <c r="Z139" s="39"/>
      <c r="AA139" s="39" t="s">
        <v>2</v>
      </c>
      <c r="AB139" s="39" t="s">
        <v>2</v>
      </c>
      <c r="AC139" s="39"/>
      <c r="AD139" s="39"/>
      <c r="AE139" s="39"/>
      <c r="AF139" s="6"/>
      <c r="AH139" s="20">
        <f t="shared" si="15"/>
        <v>0</v>
      </c>
      <c r="AI139" s="20">
        <f t="shared" si="16"/>
        <v>0</v>
      </c>
    </row>
    <row r="140" spans="1:35" ht="20.100000000000001" hidden="1" customHeight="1">
      <c r="A140" s="24" t="str">
        <f>ÖSSZES!$A$111</f>
        <v>Név17</v>
      </c>
      <c r="B140" s="39"/>
      <c r="C140" s="39"/>
      <c r="D140" s="39"/>
      <c r="E140" s="39"/>
      <c r="F140" s="39" t="s">
        <v>2</v>
      </c>
      <c r="G140" s="39" t="s">
        <v>2</v>
      </c>
      <c r="H140" s="39"/>
      <c r="I140" s="39"/>
      <c r="J140" s="39"/>
      <c r="K140" s="39"/>
      <c r="L140" s="39"/>
      <c r="M140" s="39" t="s">
        <v>2</v>
      </c>
      <c r="N140" s="39" t="s">
        <v>2</v>
      </c>
      <c r="O140" s="39"/>
      <c r="P140" s="39"/>
      <c r="Q140" s="39"/>
      <c r="R140" s="39"/>
      <c r="S140" s="39"/>
      <c r="T140" s="39" t="s">
        <v>2</v>
      </c>
      <c r="U140" s="39" t="s">
        <v>2</v>
      </c>
      <c r="V140" s="39"/>
      <c r="W140" s="39"/>
      <c r="X140" s="39"/>
      <c r="Y140" s="39"/>
      <c r="Z140" s="39"/>
      <c r="AA140" s="39" t="s">
        <v>2</v>
      </c>
      <c r="AB140" s="39" t="s">
        <v>2</v>
      </c>
      <c r="AC140" s="39"/>
      <c r="AD140" s="39"/>
      <c r="AE140" s="39"/>
      <c r="AF140" s="6"/>
      <c r="AH140" s="20">
        <f t="shared" si="15"/>
        <v>0</v>
      </c>
      <c r="AI140" s="20">
        <f t="shared" si="16"/>
        <v>0</v>
      </c>
    </row>
    <row r="141" spans="1:35" ht="20.100000000000001" hidden="1" customHeight="1">
      <c r="A141" s="24" t="str">
        <f>ÖSSZES!$A$112</f>
        <v>Név18</v>
      </c>
      <c r="B141" s="39"/>
      <c r="C141" s="39"/>
      <c r="D141" s="39"/>
      <c r="E141" s="39"/>
      <c r="F141" s="39" t="s">
        <v>2</v>
      </c>
      <c r="G141" s="39" t="s">
        <v>2</v>
      </c>
      <c r="H141" s="39"/>
      <c r="I141" s="39"/>
      <c r="J141" s="39"/>
      <c r="K141" s="39"/>
      <c r="L141" s="39"/>
      <c r="M141" s="39" t="s">
        <v>2</v>
      </c>
      <c r="N141" s="39" t="s">
        <v>2</v>
      </c>
      <c r="O141" s="39"/>
      <c r="P141" s="39"/>
      <c r="Q141" s="39"/>
      <c r="R141" s="39"/>
      <c r="S141" s="39"/>
      <c r="T141" s="39" t="s">
        <v>2</v>
      </c>
      <c r="U141" s="39" t="s">
        <v>2</v>
      </c>
      <c r="V141" s="39"/>
      <c r="W141" s="39"/>
      <c r="X141" s="39"/>
      <c r="Y141" s="39"/>
      <c r="Z141" s="39"/>
      <c r="AA141" s="39" t="s">
        <v>2</v>
      </c>
      <c r="AB141" s="39" t="s">
        <v>2</v>
      </c>
      <c r="AC141" s="39"/>
      <c r="AD141" s="39"/>
      <c r="AE141" s="39"/>
      <c r="AF141" s="6"/>
      <c r="AH141" s="20">
        <f t="shared" si="15"/>
        <v>0</v>
      </c>
      <c r="AI141" s="20">
        <f t="shared" si="16"/>
        <v>0</v>
      </c>
    </row>
    <row r="142" spans="1:35" ht="20.100000000000001" hidden="1" customHeight="1">
      <c r="A142" s="24" t="str">
        <f>ÖSSZES!$A$113</f>
        <v>Név19</v>
      </c>
      <c r="B142" s="39"/>
      <c r="C142" s="39"/>
      <c r="D142" s="39"/>
      <c r="E142" s="39"/>
      <c r="F142" s="39" t="s">
        <v>2</v>
      </c>
      <c r="G142" s="39" t="s">
        <v>2</v>
      </c>
      <c r="H142" s="39"/>
      <c r="I142" s="39"/>
      <c r="J142" s="39"/>
      <c r="K142" s="39"/>
      <c r="L142" s="39"/>
      <c r="M142" s="39" t="s">
        <v>2</v>
      </c>
      <c r="N142" s="39" t="s">
        <v>2</v>
      </c>
      <c r="O142" s="39"/>
      <c r="P142" s="39"/>
      <c r="Q142" s="39"/>
      <c r="R142" s="39"/>
      <c r="S142" s="39"/>
      <c r="T142" s="39" t="s">
        <v>2</v>
      </c>
      <c r="U142" s="39" t="s">
        <v>2</v>
      </c>
      <c r="V142" s="39"/>
      <c r="W142" s="39"/>
      <c r="X142" s="39"/>
      <c r="Y142" s="39"/>
      <c r="Z142" s="39"/>
      <c r="AA142" s="39" t="s">
        <v>2</v>
      </c>
      <c r="AB142" s="39" t="s">
        <v>2</v>
      </c>
      <c r="AC142" s="39"/>
      <c r="AD142" s="39"/>
      <c r="AE142" s="39"/>
      <c r="AF142" s="6"/>
      <c r="AH142" s="20">
        <f t="shared" si="15"/>
        <v>0</v>
      </c>
      <c r="AI142" s="20">
        <f t="shared" si="16"/>
        <v>0</v>
      </c>
    </row>
    <row r="143" spans="1:35" ht="20.100000000000001" hidden="1" customHeight="1">
      <c r="A143" s="24" t="str">
        <f>ÖSSZES!$A$114</f>
        <v>Név20</v>
      </c>
      <c r="B143" s="39"/>
      <c r="C143" s="39"/>
      <c r="D143" s="39"/>
      <c r="E143" s="39"/>
      <c r="F143" s="39" t="s">
        <v>2</v>
      </c>
      <c r="G143" s="39" t="s">
        <v>2</v>
      </c>
      <c r="H143" s="39"/>
      <c r="I143" s="39"/>
      <c r="J143" s="39"/>
      <c r="K143" s="39"/>
      <c r="L143" s="39"/>
      <c r="M143" s="39" t="s">
        <v>2</v>
      </c>
      <c r="N143" s="39" t="s">
        <v>2</v>
      </c>
      <c r="O143" s="39"/>
      <c r="P143" s="39"/>
      <c r="Q143" s="39"/>
      <c r="R143" s="39"/>
      <c r="S143" s="39"/>
      <c r="T143" s="39" t="s">
        <v>2</v>
      </c>
      <c r="U143" s="39" t="s">
        <v>2</v>
      </c>
      <c r="V143" s="39"/>
      <c r="W143" s="39"/>
      <c r="X143" s="39"/>
      <c r="Y143" s="39"/>
      <c r="Z143" s="39"/>
      <c r="AA143" s="39" t="s">
        <v>2</v>
      </c>
      <c r="AB143" s="39" t="s">
        <v>2</v>
      </c>
      <c r="AC143" s="39"/>
      <c r="AD143" s="39"/>
      <c r="AE143" s="39"/>
      <c r="AF143" s="6"/>
      <c r="AH143" s="20">
        <f t="shared" si="15"/>
        <v>0</v>
      </c>
      <c r="AI143" s="20">
        <f t="shared" si="16"/>
        <v>0</v>
      </c>
    </row>
    <row r="144" spans="1:35" ht="20.100000000000001" customHeight="1"/>
    <row r="145" spans="1:35" s="11" customFormat="1" ht="20.100000000000001" customHeight="1">
      <c r="A145" s="57" t="s">
        <v>11</v>
      </c>
      <c r="B145" s="23">
        <v>1</v>
      </c>
      <c r="C145" s="23">
        <v>2</v>
      </c>
      <c r="D145" s="23">
        <v>3</v>
      </c>
      <c r="E145" s="23">
        <v>4</v>
      </c>
      <c r="F145" s="23">
        <v>5</v>
      </c>
      <c r="G145" s="23">
        <v>6</v>
      </c>
      <c r="H145" s="23">
        <v>7</v>
      </c>
      <c r="I145" s="23">
        <v>8</v>
      </c>
      <c r="J145" s="23">
        <v>9</v>
      </c>
      <c r="K145" s="23">
        <v>10</v>
      </c>
      <c r="L145" s="23">
        <v>11</v>
      </c>
      <c r="M145" s="23">
        <v>12</v>
      </c>
      <c r="N145" s="23">
        <v>13</v>
      </c>
      <c r="O145" s="23">
        <v>14</v>
      </c>
      <c r="P145" s="23">
        <v>15</v>
      </c>
      <c r="Q145" s="23">
        <v>16</v>
      </c>
      <c r="R145" s="23">
        <v>17</v>
      </c>
      <c r="S145" s="23">
        <v>18</v>
      </c>
      <c r="T145" s="23">
        <v>19</v>
      </c>
      <c r="U145" s="23">
        <v>20</v>
      </c>
      <c r="V145" s="23">
        <v>21</v>
      </c>
      <c r="W145" s="23">
        <v>22</v>
      </c>
      <c r="X145" s="23">
        <v>23</v>
      </c>
      <c r="Y145" s="23">
        <v>24</v>
      </c>
      <c r="Z145" s="23">
        <v>25</v>
      </c>
      <c r="AA145" s="23">
        <v>26</v>
      </c>
      <c r="AB145" s="23">
        <v>27</v>
      </c>
      <c r="AC145" s="23">
        <v>28</v>
      </c>
      <c r="AD145" s="23">
        <v>29</v>
      </c>
      <c r="AE145" s="23">
        <v>30</v>
      </c>
      <c r="AF145" s="23">
        <v>31</v>
      </c>
      <c r="AH145" s="59" t="s">
        <v>18</v>
      </c>
      <c r="AI145" s="59" t="s">
        <v>19</v>
      </c>
    </row>
    <row r="146" spans="1:35" ht="20.100000000000001" customHeight="1">
      <c r="A146" s="61"/>
      <c r="B146" s="15" t="str">
        <f>'2021'!B52</f>
        <v>Cs</v>
      </c>
      <c r="C146" s="15" t="str">
        <f>'2021'!C52</f>
        <v>P</v>
      </c>
      <c r="D146" s="15" t="str">
        <f>'2021'!D52</f>
        <v>Szo</v>
      </c>
      <c r="E146" s="15" t="str">
        <f>'2021'!E52</f>
        <v>V</v>
      </c>
      <c r="F146" s="15" t="str">
        <f>'2021'!F52</f>
        <v>H</v>
      </c>
      <c r="G146" s="15" t="str">
        <f>'2021'!G52</f>
        <v>K</v>
      </c>
      <c r="H146" s="15" t="str">
        <f>'2021'!H52</f>
        <v>Sze</v>
      </c>
      <c r="I146" s="15" t="str">
        <f>'2021'!I52</f>
        <v>Cs</v>
      </c>
      <c r="J146" s="15" t="str">
        <f>'2021'!J52</f>
        <v>P</v>
      </c>
      <c r="K146" s="15" t="str">
        <f>'2021'!K52</f>
        <v>Szo</v>
      </c>
      <c r="L146" s="15" t="str">
        <f>'2021'!L52</f>
        <v>V</v>
      </c>
      <c r="M146" s="15" t="str">
        <f>'2021'!M52</f>
        <v>H</v>
      </c>
      <c r="N146" s="15" t="str">
        <f>'2021'!N52</f>
        <v>K</v>
      </c>
      <c r="O146" s="15" t="str">
        <f>'2021'!O52</f>
        <v>Sze</v>
      </c>
      <c r="P146" s="15" t="str">
        <f>'2021'!P52</f>
        <v>Cs</v>
      </c>
      <c r="Q146" s="15" t="str">
        <f>'2021'!Q52</f>
        <v>P</v>
      </c>
      <c r="R146" s="15" t="str">
        <f>'2021'!R52</f>
        <v>Szo</v>
      </c>
      <c r="S146" s="15" t="str">
        <f>'2021'!S52</f>
        <v>V</v>
      </c>
      <c r="T146" s="15" t="str">
        <f>'2021'!T52</f>
        <v>H</v>
      </c>
      <c r="U146" s="15" t="str">
        <f>'2021'!U52</f>
        <v>K</v>
      </c>
      <c r="V146" s="15" t="str">
        <f>'2021'!V52</f>
        <v>Sze</v>
      </c>
      <c r="W146" s="15" t="str">
        <f>'2021'!W52</f>
        <v>Cs</v>
      </c>
      <c r="X146" s="15" t="str">
        <f>'2021'!X52</f>
        <v>P</v>
      </c>
      <c r="Y146" s="15" t="str">
        <f>'2021'!Y52</f>
        <v>Szo</v>
      </c>
      <c r="Z146" s="15" t="str">
        <f>'2021'!Z52</f>
        <v>V</v>
      </c>
      <c r="AA146" s="15" t="str">
        <f>'2021'!AA52</f>
        <v>H</v>
      </c>
      <c r="AB146" s="15" t="str">
        <f>'2021'!AB52</f>
        <v>K</v>
      </c>
      <c r="AC146" s="15" t="str">
        <f>'2021'!AC52</f>
        <v>Sze</v>
      </c>
      <c r="AD146" s="15" t="str">
        <f>'2021'!AD52</f>
        <v>Cs</v>
      </c>
      <c r="AE146" s="15" t="str">
        <f>'2021'!AE52</f>
        <v>P</v>
      </c>
      <c r="AF146" s="15" t="str">
        <f>'2021'!AF52</f>
        <v>Szo</v>
      </c>
      <c r="AH146" s="60"/>
      <c r="AI146" s="60"/>
    </row>
    <row r="147" spans="1:35" ht="20.100000000000001" customHeight="1">
      <c r="A147" s="61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H147" s="60"/>
      <c r="AI147" s="60"/>
    </row>
    <row r="148" spans="1:35" ht="20.100000000000001" customHeight="1">
      <c r="A148" s="24" t="str">
        <f>ÖSSZES!$A$95</f>
        <v>Kovács Kriszitán</v>
      </c>
      <c r="B148" s="39"/>
      <c r="C148" s="39"/>
      <c r="D148" s="39" t="s">
        <v>2</v>
      </c>
      <c r="E148" s="39" t="s">
        <v>2</v>
      </c>
      <c r="F148" s="39"/>
      <c r="G148" s="39"/>
      <c r="H148" s="39"/>
      <c r="I148" s="39"/>
      <c r="J148" s="39"/>
      <c r="K148" s="39" t="s">
        <v>2</v>
      </c>
      <c r="L148" s="39" t="s">
        <v>2</v>
      </c>
      <c r="M148" s="39"/>
      <c r="N148" s="39"/>
      <c r="O148" s="39"/>
      <c r="P148" s="39"/>
      <c r="Q148" s="39"/>
      <c r="R148" s="39" t="s">
        <v>2</v>
      </c>
      <c r="S148" s="39" t="s">
        <v>2</v>
      </c>
      <c r="T148" s="39"/>
      <c r="U148" s="39"/>
      <c r="V148" s="39"/>
      <c r="W148" s="39"/>
      <c r="X148" s="39"/>
      <c r="Y148" s="39" t="s">
        <v>2</v>
      </c>
      <c r="Z148" s="39" t="s">
        <v>2</v>
      </c>
      <c r="AA148" s="39"/>
      <c r="AB148" s="39"/>
      <c r="AC148" s="39"/>
      <c r="AD148" s="39"/>
      <c r="AE148" s="39"/>
      <c r="AF148" s="39" t="s">
        <v>2</v>
      </c>
      <c r="AH148" s="20">
        <f>1*COUNTIF(A148:AF148,"+")</f>
        <v>0</v>
      </c>
      <c r="AI148" s="20">
        <f t="shared" ref="AI148" si="17">1*COUNTIF(B148:AF148,"szf")</f>
        <v>0</v>
      </c>
    </row>
    <row r="149" spans="1:35" ht="20.100000000000001" customHeight="1">
      <c r="A149" s="24" t="str">
        <f>ÖSSZES!$A$96</f>
        <v>Besse Éva</v>
      </c>
      <c r="B149" s="39"/>
      <c r="C149" s="39"/>
      <c r="D149" s="39" t="s">
        <v>2</v>
      </c>
      <c r="E149" s="39" t="s">
        <v>2</v>
      </c>
      <c r="F149" s="39"/>
      <c r="G149" s="39"/>
      <c r="H149" s="39"/>
      <c r="I149" s="39"/>
      <c r="J149" s="39"/>
      <c r="K149" s="39" t="s">
        <v>2</v>
      </c>
      <c r="L149" s="39" t="s">
        <v>2</v>
      </c>
      <c r="M149" s="39"/>
      <c r="N149" s="39"/>
      <c r="O149" s="39"/>
      <c r="P149" s="39"/>
      <c r="Q149" s="39"/>
      <c r="R149" s="39" t="s">
        <v>2</v>
      </c>
      <c r="S149" s="39" t="s">
        <v>2</v>
      </c>
      <c r="T149" s="39"/>
      <c r="U149" s="39"/>
      <c r="V149" s="39"/>
      <c r="W149" s="39"/>
      <c r="X149" s="39"/>
      <c r="Y149" s="39" t="s">
        <v>2</v>
      </c>
      <c r="Z149" s="39" t="s">
        <v>2</v>
      </c>
      <c r="AA149" s="39"/>
      <c r="AB149" s="39"/>
      <c r="AC149" s="39"/>
      <c r="AD149" s="39"/>
      <c r="AE149" s="39"/>
      <c r="AF149" s="39" t="s">
        <v>2</v>
      </c>
      <c r="AH149" s="20">
        <f t="shared" ref="AH149:AH167" si="18">1*COUNTIF(A149:AF149,"+")</f>
        <v>0</v>
      </c>
      <c r="AI149" s="20">
        <f t="shared" ref="AI149:AI167" si="19">1*COUNTIF(B149:AF149,"szf")</f>
        <v>0</v>
      </c>
    </row>
    <row r="150" spans="1:35" ht="20.100000000000001" customHeight="1">
      <c r="A150" s="24" t="str">
        <f>ÖSSZES!$A$97</f>
        <v>Bulyáki Csaba</v>
      </c>
      <c r="B150" s="39"/>
      <c r="C150" s="39"/>
      <c r="D150" s="39" t="s">
        <v>2</v>
      </c>
      <c r="E150" s="39" t="s">
        <v>2</v>
      </c>
      <c r="F150" s="39"/>
      <c r="G150" s="39"/>
      <c r="H150" s="39"/>
      <c r="I150" s="39"/>
      <c r="J150" s="39"/>
      <c r="K150" s="39" t="s">
        <v>2</v>
      </c>
      <c r="L150" s="39" t="s">
        <v>2</v>
      </c>
      <c r="M150" s="39"/>
      <c r="N150" s="39"/>
      <c r="O150" s="39"/>
      <c r="P150" s="39"/>
      <c r="Q150" s="39"/>
      <c r="R150" s="39" t="s">
        <v>2</v>
      </c>
      <c r="S150" s="39" t="s">
        <v>2</v>
      </c>
      <c r="T150" s="39"/>
      <c r="U150" s="39"/>
      <c r="V150" s="39"/>
      <c r="W150" s="39"/>
      <c r="X150" s="39"/>
      <c r="Y150" s="39" t="s">
        <v>2</v>
      </c>
      <c r="Z150" s="39" t="s">
        <v>2</v>
      </c>
      <c r="AA150" s="39"/>
      <c r="AB150" s="39"/>
      <c r="AC150" s="39"/>
      <c r="AD150" s="39"/>
      <c r="AE150" s="39"/>
      <c r="AF150" s="39" t="s">
        <v>2</v>
      </c>
      <c r="AH150" s="20">
        <f t="shared" si="18"/>
        <v>0</v>
      </c>
      <c r="AI150" s="20">
        <f t="shared" si="19"/>
        <v>0</v>
      </c>
    </row>
    <row r="151" spans="1:35" ht="20.100000000000001" customHeight="1">
      <c r="A151" s="24" t="str">
        <f>ÖSSZES!$A$98</f>
        <v>Dancsi Attila</v>
      </c>
      <c r="B151" s="39"/>
      <c r="C151" s="39"/>
      <c r="D151" s="39" t="s">
        <v>2</v>
      </c>
      <c r="E151" s="39" t="s">
        <v>2</v>
      </c>
      <c r="F151" s="39"/>
      <c r="G151" s="39"/>
      <c r="H151" s="39"/>
      <c r="I151" s="39"/>
      <c r="J151" s="39"/>
      <c r="K151" s="39" t="s">
        <v>2</v>
      </c>
      <c r="L151" s="39" t="s">
        <v>2</v>
      </c>
      <c r="M151" s="39"/>
      <c r="N151" s="39"/>
      <c r="O151" s="39"/>
      <c r="P151" s="39"/>
      <c r="Q151" s="39"/>
      <c r="R151" s="39" t="s">
        <v>2</v>
      </c>
      <c r="S151" s="39" t="s">
        <v>2</v>
      </c>
      <c r="T151" s="39"/>
      <c r="U151" s="39"/>
      <c r="V151" s="39"/>
      <c r="W151" s="39"/>
      <c r="X151" s="39"/>
      <c r="Y151" s="39" t="s">
        <v>2</v>
      </c>
      <c r="Z151" s="39" t="s">
        <v>2</v>
      </c>
      <c r="AA151" s="39"/>
      <c r="AB151" s="39"/>
      <c r="AC151" s="39"/>
      <c r="AD151" s="39"/>
      <c r="AE151" s="39"/>
      <c r="AF151" s="39" t="s">
        <v>2</v>
      </c>
      <c r="AH151" s="20">
        <f t="shared" si="18"/>
        <v>0</v>
      </c>
      <c r="AI151" s="20">
        <f t="shared" si="19"/>
        <v>0</v>
      </c>
    </row>
    <row r="152" spans="1:35" ht="20.100000000000001" customHeight="1">
      <c r="A152" s="24" t="str">
        <f>ÖSSZES!$A$99</f>
        <v>Fekete Tamás</v>
      </c>
      <c r="B152" s="39"/>
      <c r="C152" s="39"/>
      <c r="D152" s="39" t="s">
        <v>2</v>
      </c>
      <c r="E152" s="39" t="s">
        <v>2</v>
      </c>
      <c r="F152" s="39"/>
      <c r="G152" s="39"/>
      <c r="H152" s="39"/>
      <c r="I152" s="39"/>
      <c r="J152" s="39"/>
      <c r="K152" s="39" t="s">
        <v>2</v>
      </c>
      <c r="L152" s="39" t="s">
        <v>2</v>
      </c>
      <c r="M152" s="39"/>
      <c r="N152" s="39"/>
      <c r="O152" s="39"/>
      <c r="P152" s="39"/>
      <c r="Q152" s="39"/>
      <c r="R152" s="39" t="s">
        <v>2</v>
      </c>
      <c r="S152" s="39" t="s">
        <v>2</v>
      </c>
      <c r="T152" s="39"/>
      <c r="U152" s="39"/>
      <c r="V152" s="39"/>
      <c r="W152" s="39"/>
      <c r="X152" s="39"/>
      <c r="Y152" s="39" t="s">
        <v>2</v>
      </c>
      <c r="Z152" s="39" t="s">
        <v>2</v>
      </c>
      <c r="AA152" s="39"/>
      <c r="AB152" s="39"/>
      <c r="AC152" s="39"/>
      <c r="AD152" s="39"/>
      <c r="AE152" s="39"/>
      <c r="AF152" s="39" t="s">
        <v>2</v>
      </c>
      <c r="AH152" s="20">
        <f t="shared" si="18"/>
        <v>0</v>
      </c>
      <c r="AI152" s="20">
        <f t="shared" si="19"/>
        <v>0</v>
      </c>
    </row>
    <row r="153" spans="1:35" ht="20.100000000000001" customHeight="1">
      <c r="A153" s="24" t="str">
        <f>ÖSSZES!$A$100</f>
        <v>Iványi Roland</v>
      </c>
      <c r="B153" s="39"/>
      <c r="C153" s="39"/>
      <c r="D153" s="39" t="s">
        <v>2</v>
      </c>
      <c r="E153" s="39" t="s">
        <v>2</v>
      </c>
      <c r="F153" s="39"/>
      <c r="G153" s="39"/>
      <c r="H153" s="39"/>
      <c r="I153" s="39"/>
      <c r="J153" s="39"/>
      <c r="K153" s="39" t="s">
        <v>2</v>
      </c>
      <c r="L153" s="39" t="s">
        <v>2</v>
      </c>
      <c r="M153" s="39"/>
      <c r="N153" s="39"/>
      <c r="O153" s="39"/>
      <c r="P153" s="39"/>
      <c r="Q153" s="39"/>
      <c r="R153" s="39" t="s">
        <v>2</v>
      </c>
      <c r="S153" s="39" t="s">
        <v>2</v>
      </c>
      <c r="T153" s="39"/>
      <c r="U153" s="39"/>
      <c r="V153" s="39"/>
      <c r="W153" s="39"/>
      <c r="X153" s="39"/>
      <c r="Y153" s="39" t="s">
        <v>2</v>
      </c>
      <c r="Z153" s="39" t="s">
        <v>2</v>
      </c>
      <c r="AA153" s="39"/>
      <c r="AB153" s="39"/>
      <c r="AC153" s="39"/>
      <c r="AD153" s="39"/>
      <c r="AE153" s="39"/>
      <c r="AF153" s="39" t="s">
        <v>2</v>
      </c>
      <c r="AH153" s="20">
        <f t="shared" si="18"/>
        <v>0</v>
      </c>
      <c r="AI153" s="20">
        <f t="shared" si="19"/>
        <v>0</v>
      </c>
    </row>
    <row r="154" spans="1:35" ht="20.100000000000001" customHeight="1">
      <c r="A154" s="24" t="str">
        <f>ÖSSZES!$A$101</f>
        <v>Oláh Erika</v>
      </c>
      <c r="B154" s="39"/>
      <c r="C154" s="39"/>
      <c r="D154" s="39" t="s">
        <v>2</v>
      </c>
      <c r="E154" s="39" t="s">
        <v>2</v>
      </c>
      <c r="F154" s="39"/>
      <c r="G154" s="39"/>
      <c r="H154" s="39"/>
      <c r="I154" s="39"/>
      <c r="J154" s="39"/>
      <c r="K154" s="39" t="s">
        <v>2</v>
      </c>
      <c r="L154" s="39" t="s">
        <v>2</v>
      </c>
      <c r="M154" s="39"/>
      <c r="N154" s="39"/>
      <c r="O154" s="39"/>
      <c r="P154" s="39"/>
      <c r="Q154" s="39"/>
      <c r="R154" s="39" t="s">
        <v>2</v>
      </c>
      <c r="S154" s="39" t="s">
        <v>2</v>
      </c>
      <c r="T154" s="39"/>
      <c r="U154" s="39"/>
      <c r="V154" s="39"/>
      <c r="W154" s="39"/>
      <c r="X154" s="39"/>
      <c r="Y154" s="39" t="s">
        <v>2</v>
      </c>
      <c r="Z154" s="39" t="s">
        <v>2</v>
      </c>
      <c r="AA154" s="39"/>
      <c r="AB154" s="39"/>
      <c r="AC154" s="39"/>
      <c r="AD154" s="39"/>
      <c r="AE154" s="39"/>
      <c r="AF154" s="39" t="s">
        <v>2</v>
      </c>
      <c r="AH154" s="20">
        <f t="shared" si="18"/>
        <v>0</v>
      </c>
      <c r="AI154" s="20">
        <f t="shared" si="19"/>
        <v>0</v>
      </c>
    </row>
    <row r="155" spans="1:35" ht="20.100000000000001" customHeight="1">
      <c r="A155" s="24" t="str">
        <f>ÖSSZES!$A$102</f>
        <v>Tóth János</v>
      </c>
      <c r="B155" s="39"/>
      <c r="C155" s="39"/>
      <c r="D155" s="39" t="s">
        <v>2</v>
      </c>
      <c r="E155" s="39" t="s">
        <v>2</v>
      </c>
      <c r="F155" s="39"/>
      <c r="G155" s="39"/>
      <c r="H155" s="39"/>
      <c r="I155" s="39"/>
      <c r="J155" s="39"/>
      <c r="K155" s="39" t="s">
        <v>2</v>
      </c>
      <c r="L155" s="39" t="s">
        <v>2</v>
      </c>
      <c r="M155" s="39"/>
      <c r="N155" s="39"/>
      <c r="O155" s="39"/>
      <c r="P155" s="39"/>
      <c r="Q155" s="39"/>
      <c r="R155" s="39" t="s">
        <v>2</v>
      </c>
      <c r="S155" s="39" t="s">
        <v>2</v>
      </c>
      <c r="T155" s="39"/>
      <c r="U155" s="39"/>
      <c r="V155" s="39"/>
      <c r="W155" s="39"/>
      <c r="X155" s="39"/>
      <c r="Y155" s="39" t="s">
        <v>2</v>
      </c>
      <c r="Z155" s="39" t="s">
        <v>2</v>
      </c>
      <c r="AA155" s="39"/>
      <c r="AB155" s="39"/>
      <c r="AC155" s="39"/>
      <c r="AD155" s="39"/>
      <c r="AE155" s="39"/>
      <c r="AF155" s="39" t="s">
        <v>2</v>
      </c>
      <c r="AH155" s="20">
        <f t="shared" si="18"/>
        <v>0</v>
      </c>
      <c r="AI155" s="20">
        <f t="shared" si="19"/>
        <v>0</v>
      </c>
    </row>
    <row r="156" spans="1:35" ht="20.100000000000001" customHeight="1">
      <c r="A156" s="24" t="str">
        <f>ÖSSZES!$A$103</f>
        <v>Tóth Krisztián</v>
      </c>
      <c r="B156" s="39"/>
      <c r="C156" s="39"/>
      <c r="D156" s="39" t="s">
        <v>2</v>
      </c>
      <c r="E156" s="39" t="s">
        <v>2</v>
      </c>
      <c r="F156" s="39"/>
      <c r="G156" s="39"/>
      <c r="H156" s="39"/>
      <c r="I156" s="39"/>
      <c r="J156" s="39"/>
      <c r="K156" s="39" t="s">
        <v>2</v>
      </c>
      <c r="L156" s="39" t="s">
        <v>2</v>
      </c>
      <c r="M156" s="39"/>
      <c r="N156" s="39"/>
      <c r="O156" s="39"/>
      <c r="P156" s="39"/>
      <c r="Q156" s="39"/>
      <c r="R156" s="39" t="s">
        <v>2</v>
      </c>
      <c r="S156" s="39" t="s">
        <v>2</v>
      </c>
      <c r="T156" s="39"/>
      <c r="U156" s="39"/>
      <c r="V156" s="39"/>
      <c r="W156" s="39"/>
      <c r="X156" s="39"/>
      <c r="Y156" s="39" t="s">
        <v>2</v>
      </c>
      <c r="Z156" s="39" t="s">
        <v>2</v>
      </c>
      <c r="AA156" s="39"/>
      <c r="AB156" s="39"/>
      <c r="AC156" s="39"/>
      <c r="AD156" s="39"/>
      <c r="AE156" s="39"/>
      <c r="AF156" s="39" t="s">
        <v>2</v>
      </c>
      <c r="AH156" s="20">
        <f t="shared" si="18"/>
        <v>0</v>
      </c>
      <c r="AI156" s="20">
        <f t="shared" si="19"/>
        <v>0</v>
      </c>
    </row>
    <row r="157" spans="1:35" ht="20.100000000000001" hidden="1" customHeight="1">
      <c r="A157" s="24" t="str">
        <f>ÖSSZES!$A$104</f>
        <v>Név10</v>
      </c>
      <c r="B157" s="39"/>
      <c r="C157" s="39"/>
      <c r="D157" s="39" t="s">
        <v>2</v>
      </c>
      <c r="E157" s="39" t="s">
        <v>2</v>
      </c>
      <c r="F157" s="39"/>
      <c r="G157" s="39"/>
      <c r="H157" s="39"/>
      <c r="I157" s="39"/>
      <c r="J157" s="39"/>
      <c r="K157" s="39" t="s">
        <v>2</v>
      </c>
      <c r="L157" s="39" t="s">
        <v>2</v>
      </c>
      <c r="M157" s="39"/>
      <c r="N157" s="39"/>
      <c r="O157" s="39"/>
      <c r="P157" s="39"/>
      <c r="Q157" s="39"/>
      <c r="R157" s="39" t="s">
        <v>2</v>
      </c>
      <c r="S157" s="39" t="s">
        <v>2</v>
      </c>
      <c r="T157" s="39"/>
      <c r="U157" s="39"/>
      <c r="V157" s="39"/>
      <c r="W157" s="39"/>
      <c r="X157" s="39"/>
      <c r="Y157" s="39" t="s">
        <v>2</v>
      </c>
      <c r="Z157" s="39" t="s">
        <v>2</v>
      </c>
      <c r="AA157" s="39"/>
      <c r="AB157" s="39"/>
      <c r="AC157" s="39"/>
      <c r="AD157" s="39"/>
      <c r="AE157" s="39"/>
      <c r="AF157" s="39" t="s">
        <v>2</v>
      </c>
      <c r="AH157" s="20">
        <f t="shared" si="18"/>
        <v>0</v>
      </c>
      <c r="AI157" s="20">
        <f t="shared" si="19"/>
        <v>0</v>
      </c>
    </row>
    <row r="158" spans="1:35" ht="20.100000000000001" hidden="1" customHeight="1">
      <c r="A158" s="24" t="str">
        <f>ÖSSZES!$A$105</f>
        <v>Név11</v>
      </c>
      <c r="B158" s="39"/>
      <c r="C158" s="39"/>
      <c r="D158" s="39" t="s">
        <v>2</v>
      </c>
      <c r="E158" s="39" t="s">
        <v>2</v>
      </c>
      <c r="F158" s="39"/>
      <c r="G158" s="39"/>
      <c r="H158" s="39"/>
      <c r="I158" s="39"/>
      <c r="J158" s="39"/>
      <c r="K158" s="39" t="s">
        <v>2</v>
      </c>
      <c r="L158" s="39" t="s">
        <v>2</v>
      </c>
      <c r="M158" s="39"/>
      <c r="N158" s="39"/>
      <c r="O158" s="39"/>
      <c r="P158" s="39"/>
      <c r="Q158" s="39"/>
      <c r="R158" s="39" t="s">
        <v>2</v>
      </c>
      <c r="S158" s="39" t="s">
        <v>2</v>
      </c>
      <c r="T158" s="39"/>
      <c r="U158" s="39"/>
      <c r="V158" s="39"/>
      <c r="W158" s="39"/>
      <c r="X158" s="39"/>
      <c r="Y158" s="39" t="s">
        <v>2</v>
      </c>
      <c r="Z158" s="39" t="s">
        <v>2</v>
      </c>
      <c r="AA158" s="39"/>
      <c r="AB158" s="39"/>
      <c r="AC158" s="39"/>
      <c r="AD158" s="39"/>
      <c r="AE158" s="39"/>
      <c r="AF158" s="39" t="s">
        <v>2</v>
      </c>
      <c r="AH158" s="20">
        <f t="shared" si="18"/>
        <v>0</v>
      </c>
      <c r="AI158" s="20">
        <f t="shared" si="19"/>
        <v>0</v>
      </c>
    </row>
    <row r="159" spans="1:35" ht="20.100000000000001" hidden="1" customHeight="1">
      <c r="A159" s="24" t="str">
        <f>ÖSSZES!$A$106</f>
        <v>Név12</v>
      </c>
      <c r="B159" s="39"/>
      <c r="C159" s="39"/>
      <c r="D159" s="39" t="s">
        <v>2</v>
      </c>
      <c r="E159" s="39" t="s">
        <v>2</v>
      </c>
      <c r="F159" s="39"/>
      <c r="G159" s="39"/>
      <c r="H159" s="39"/>
      <c r="I159" s="39"/>
      <c r="J159" s="39"/>
      <c r="K159" s="39" t="s">
        <v>2</v>
      </c>
      <c r="L159" s="39" t="s">
        <v>2</v>
      </c>
      <c r="M159" s="39"/>
      <c r="N159" s="39"/>
      <c r="O159" s="39"/>
      <c r="P159" s="39"/>
      <c r="Q159" s="39"/>
      <c r="R159" s="39" t="s">
        <v>2</v>
      </c>
      <c r="S159" s="39" t="s">
        <v>2</v>
      </c>
      <c r="T159" s="39"/>
      <c r="U159" s="39"/>
      <c r="V159" s="39"/>
      <c r="W159" s="39"/>
      <c r="X159" s="39"/>
      <c r="Y159" s="39" t="s">
        <v>2</v>
      </c>
      <c r="Z159" s="39" t="s">
        <v>2</v>
      </c>
      <c r="AA159" s="39"/>
      <c r="AB159" s="39"/>
      <c r="AC159" s="39"/>
      <c r="AD159" s="39"/>
      <c r="AE159" s="39"/>
      <c r="AF159" s="39" t="s">
        <v>2</v>
      </c>
      <c r="AH159" s="20">
        <f t="shared" si="18"/>
        <v>0</v>
      </c>
      <c r="AI159" s="20">
        <f t="shared" si="19"/>
        <v>0</v>
      </c>
    </row>
    <row r="160" spans="1:35" ht="20.100000000000001" hidden="1" customHeight="1">
      <c r="A160" s="24" t="str">
        <f>ÖSSZES!$A$107</f>
        <v>Név13</v>
      </c>
      <c r="B160" s="39"/>
      <c r="C160" s="39"/>
      <c r="D160" s="39" t="s">
        <v>2</v>
      </c>
      <c r="E160" s="39" t="s">
        <v>2</v>
      </c>
      <c r="F160" s="39"/>
      <c r="G160" s="39"/>
      <c r="H160" s="39"/>
      <c r="I160" s="39"/>
      <c r="J160" s="39"/>
      <c r="K160" s="39" t="s">
        <v>2</v>
      </c>
      <c r="L160" s="39" t="s">
        <v>2</v>
      </c>
      <c r="M160" s="39"/>
      <c r="N160" s="39"/>
      <c r="O160" s="39"/>
      <c r="P160" s="39"/>
      <c r="Q160" s="39"/>
      <c r="R160" s="39" t="s">
        <v>2</v>
      </c>
      <c r="S160" s="39" t="s">
        <v>2</v>
      </c>
      <c r="T160" s="39"/>
      <c r="U160" s="39"/>
      <c r="V160" s="39"/>
      <c r="W160" s="39"/>
      <c r="X160" s="39"/>
      <c r="Y160" s="39" t="s">
        <v>2</v>
      </c>
      <c r="Z160" s="39" t="s">
        <v>2</v>
      </c>
      <c r="AA160" s="39"/>
      <c r="AB160" s="39"/>
      <c r="AC160" s="39"/>
      <c r="AD160" s="39"/>
      <c r="AE160" s="39"/>
      <c r="AF160" s="39" t="s">
        <v>2</v>
      </c>
      <c r="AH160" s="20">
        <f t="shared" si="18"/>
        <v>0</v>
      </c>
      <c r="AI160" s="20">
        <f t="shared" si="19"/>
        <v>0</v>
      </c>
    </row>
    <row r="161" spans="1:35" ht="20.100000000000001" hidden="1" customHeight="1">
      <c r="A161" s="24" t="str">
        <f>ÖSSZES!$A$108</f>
        <v>Név14</v>
      </c>
      <c r="B161" s="39"/>
      <c r="C161" s="39"/>
      <c r="D161" s="39" t="s">
        <v>2</v>
      </c>
      <c r="E161" s="39" t="s">
        <v>2</v>
      </c>
      <c r="F161" s="39"/>
      <c r="G161" s="39"/>
      <c r="H161" s="39"/>
      <c r="I161" s="39"/>
      <c r="J161" s="39"/>
      <c r="K161" s="39" t="s">
        <v>2</v>
      </c>
      <c r="L161" s="39" t="s">
        <v>2</v>
      </c>
      <c r="M161" s="39"/>
      <c r="N161" s="39"/>
      <c r="O161" s="39"/>
      <c r="P161" s="39"/>
      <c r="Q161" s="39"/>
      <c r="R161" s="39" t="s">
        <v>2</v>
      </c>
      <c r="S161" s="39" t="s">
        <v>2</v>
      </c>
      <c r="T161" s="39"/>
      <c r="U161" s="39"/>
      <c r="V161" s="39"/>
      <c r="W161" s="39"/>
      <c r="X161" s="39"/>
      <c r="Y161" s="39" t="s">
        <v>2</v>
      </c>
      <c r="Z161" s="39" t="s">
        <v>2</v>
      </c>
      <c r="AA161" s="39"/>
      <c r="AB161" s="39"/>
      <c r="AC161" s="39"/>
      <c r="AD161" s="39"/>
      <c r="AE161" s="39"/>
      <c r="AF161" s="39" t="s">
        <v>2</v>
      </c>
      <c r="AH161" s="20">
        <f t="shared" si="18"/>
        <v>0</v>
      </c>
      <c r="AI161" s="20">
        <f t="shared" si="19"/>
        <v>0</v>
      </c>
    </row>
    <row r="162" spans="1:35" ht="20.100000000000001" hidden="1" customHeight="1">
      <c r="A162" s="24" t="str">
        <f>ÖSSZES!$A$109</f>
        <v>Név15</v>
      </c>
      <c r="B162" s="39"/>
      <c r="C162" s="39"/>
      <c r="D162" s="39" t="s">
        <v>2</v>
      </c>
      <c r="E162" s="39" t="s">
        <v>2</v>
      </c>
      <c r="F162" s="39"/>
      <c r="G162" s="39"/>
      <c r="H162" s="39"/>
      <c r="I162" s="39"/>
      <c r="J162" s="39"/>
      <c r="K162" s="39" t="s">
        <v>2</v>
      </c>
      <c r="L162" s="39" t="s">
        <v>2</v>
      </c>
      <c r="M162" s="39"/>
      <c r="N162" s="39"/>
      <c r="O162" s="39"/>
      <c r="P162" s="39"/>
      <c r="Q162" s="39"/>
      <c r="R162" s="39" t="s">
        <v>2</v>
      </c>
      <c r="S162" s="39" t="s">
        <v>2</v>
      </c>
      <c r="T162" s="39"/>
      <c r="U162" s="39"/>
      <c r="V162" s="39"/>
      <c r="W162" s="39"/>
      <c r="X162" s="39"/>
      <c r="Y162" s="39" t="s">
        <v>2</v>
      </c>
      <c r="Z162" s="39" t="s">
        <v>2</v>
      </c>
      <c r="AA162" s="39"/>
      <c r="AB162" s="39"/>
      <c r="AC162" s="39"/>
      <c r="AD162" s="39"/>
      <c r="AE162" s="39"/>
      <c r="AF162" s="39" t="s">
        <v>2</v>
      </c>
      <c r="AH162" s="20">
        <f t="shared" si="18"/>
        <v>0</v>
      </c>
      <c r="AI162" s="20">
        <f t="shared" si="19"/>
        <v>0</v>
      </c>
    </row>
    <row r="163" spans="1:35" ht="20.100000000000001" hidden="1" customHeight="1">
      <c r="A163" s="24" t="str">
        <f>ÖSSZES!$A$110</f>
        <v>Név16</v>
      </c>
      <c r="B163" s="39"/>
      <c r="C163" s="39"/>
      <c r="D163" s="39" t="s">
        <v>2</v>
      </c>
      <c r="E163" s="39" t="s">
        <v>2</v>
      </c>
      <c r="F163" s="39"/>
      <c r="G163" s="39"/>
      <c r="H163" s="39"/>
      <c r="I163" s="39"/>
      <c r="J163" s="39"/>
      <c r="K163" s="39" t="s">
        <v>2</v>
      </c>
      <c r="L163" s="39" t="s">
        <v>2</v>
      </c>
      <c r="M163" s="39"/>
      <c r="N163" s="39"/>
      <c r="O163" s="39"/>
      <c r="P163" s="39"/>
      <c r="Q163" s="39"/>
      <c r="R163" s="39" t="s">
        <v>2</v>
      </c>
      <c r="S163" s="39" t="s">
        <v>2</v>
      </c>
      <c r="T163" s="39"/>
      <c r="U163" s="39"/>
      <c r="V163" s="39"/>
      <c r="W163" s="39"/>
      <c r="X163" s="39"/>
      <c r="Y163" s="39" t="s">
        <v>2</v>
      </c>
      <c r="Z163" s="39" t="s">
        <v>2</v>
      </c>
      <c r="AA163" s="39"/>
      <c r="AB163" s="39"/>
      <c r="AC163" s="39"/>
      <c r="AD163" s="39"/>
      <c r="AE163" s="39"/>
      <c r="AF163" s="39" t="s">
        <v>2</v>
      </c>
      <c r="AH163" s="20">
        <f t="shared" si="18"/>
        <v>0</v>
      </c>
      <c r="AI163" s="20">
        <f t="shared" si="19"/>
        <v>0</v>
      </c>
    </row>
    <row r="164" spans="1:35" ht="20.100000000000001" hidden="1" customHeight="1">
      <c r="A164" s="24" t="str">
        <f>ÖSSZES!$A$111</f>
        <v>Név17</v>
      </c>
      <c r="B164" s="39"/>
      <c r="C164" s="39"/>
      <c r="D164" s="39" t="s">
        <v>2</v>
      </c>
      <c r="E164" s="39" t="s">
        <v>2</v>
      </c>
      <c r="F164" s="39"/>
      <c r="G164" s="39"/>
      <c r="H164" s="39"/>
      <c r="I164" s="39"/>
      <c r="J164" s="39"/>
      <c r="K164" s="39" t="s">
        <v>2</v>
      </c>
      <c r="L164" s="39" t="s">
        <v>2</v>
      </c>
      <c r="M164" s="39"/>
      <c r="N164" s="39"/>
      <c r="O164" s="39"/>
      <c r="P164" s="39"/>
      <c r="Q164" s="39"/>
      <c r="R164" s="39" t="s">
        <v>2</v>
      </c>
      <c r="S164" s="39" t="s">
        <v>2</v>
      </c>
      <c r="T164" s="39"/>
      <c r="U164" s="39"/>
      <c r="V164" s="39"/>
      <c r="W164" s="39"/>
      <c r="X164" s="39"/>
      <c r="Y164" s="39" t="s">
        <v>2</v>
      </c>
      <c r="Z164" s="39" t="s">
        <v>2</v>
      </c>
      <c r="AA164" s="39"/>
      <c r="AB164" s="39"/>
      <c r="AC164" s="39"/>
      <c r="AD164" s="39"/>
      <c r="AE164" s="39"/>
      <c r="AF164" s="39" t="s">
        <v>2</v>
      </c>
      <c r="AH164" s="20">
        <f t="shared" si="18"/>
        <v>0</v>
      </c>
      <c r="AI164" s="20">
        <f t="shared" si="19"/>
        <v>0</v>
      </c>
    </row>
    <row r="165" spans="1:35" ht="20.100000000000001" hidden="1" customHeight="1">
      <c r="A165" s="24" t="str">
        <f>ÖSSZES!$A$112</f>
        <v>Név18</v>
      </c>
      <c r="B165" s="39"/>
      <c r="C165" s="39"/>
      <c r="D165" s="39" t="s">
        <v>2</v>
      </c>
      <c r="E165" s="39" t="s">
        <v>2</v>
      </c>
      <c r="F165" s="39"/>
      <c r="G165" s="39"/>
      <c r="H165" s="39"/>
      <c r="I165" s="39"/>
      <c r="J165" s="39"/>
      <c r="K165" s="39" t="s">
        <v>2</v>
      </c>
      <c r="L165" s="39" t="s">
        <v>2</v>
      </c>
      <c r="M165" s="39"/>
      <c r="N165" s="39"/>
      <c r="O165" s="39"/>
      <c r="P165" s="39"/>
      <c r="Q165" s="39"/>
      <c r="R165" s="39" t="s">
        <v>2</v>
      </c>
      <c r="S165" s="39" t="s">
        <v>2</v>
      </c>
      <c r="T165" s="39"/>
      <c r="U165" s="39"/>
      <c r="V165" s="39"/>
      <c r="W165" s="39"/>
      <c r="X165" s="39"/>
      <c r="Y165" s="39" t="s">
        <v>2</v>
      </c>
      <c r="Z165" s="39" t="s">
        <v>2</v>
      </c>
      <c r="AA165" s="39"/>
      <c r="AB165" s="39"/>
      <c r="AC165" s="39"/>
      <c r="AD165" s="39"/>
      <c r="AE165" s="39"/>
      <c r="AF165" s="39" t="s">
        <v>2</v>
      </c>
      <c r="AH165" s="20">
        <f t="shared" si="18"/>
        <v>0</v>
      </c>
      <c r="AI165" s="20">
        <f t="shared" si="19"/>
        <v>0</v>
      </c>
    </row>
    <row r="166" spans="1:35" ht="20.100000000000001" hidden="1" customHeight="1">
      <c r="A166" s="24" t="str">
        <f>ÖSSZES!$A$113</f>
        <v>Név19</v>
      </c>
      <c r="B166" s="39"/>
      <c r="C166" s="39"/>
      <c r="D166" s="39" t="s">
        <v>2</v>
      </c>
      <c r="E166" s="39" t="s">
        <v>2</v>
      </c>
      <c r="F166" s="39"/>
      <c r="G166" s="39"/>
      <c r="H166" s="39"/>
      <c r="I166" s="39"/>
      <c r="J166" s="39"/>
      <c r="K166" s="39" t="s">
        <v>2</v>
      </c>
      <c r="L166" s="39" t="s">
        <v>2</v>
      </c>
      <c r="M166" s="39"/>
      <c r="N166" s="39"/>
      <c r="O166" s="39"/>
      <c r="P166" s="39"/>
      <c r="Q166" s="39"/>
      <c r="R166" s="39" t="s">
        <v>2</v>
      </c>
      <c r="S166" s="39" t="s">
        <v>2</v>
      </c>
      <c r="T166" s="39"/>
      <c r="U166" s="39"/>
      <c r="V166" s="39"/>
      <c r="W166" s="39"/>
      <c r="X166" s="39"/>
      <c r="Y166" s="39" t="s">
        <v>2</v>
      </c>
      <c r="Z166" s="39" t="s">
        <v>2</v>
      </c>
      <c r="AA166" s="39"/>
      <c r="AB166" s="39"/>
      <c r="AC166" s="39"/>
      <c r="AD166" s="39"/>
      <c r="AE166" s="39"/>
      <c r="AF166" s="39" t="s">
        <v>2</v>
      </c>
      <c r="AH166" s="20">
        <f t="shared" si="18"/>
        <v>0</v>
      </c>
      <c r="AI166" s="20">
        <f t="shared" si="19"/>
        <v>0</v>
      </c>
    </row>
    <row r="167" spans="1:35" ht="20.100000000000001" hidden="1" customHeight="1">
      <c r="A167" s="24" t="str">
        <f>ÖSSZES!$A$114</f>
        <v>Név20</v>
      </c>
      <c r="B167" s="39"/>
      <c r="C167" s="39"/>
      <c r="D167" s="39" t="s">
        <v>2</v>
      </c>
      <c r="E167" s="39" t="s">
        <v>2</v>
      </c>
      <c r="F167" s="39"/>
      <c r="G167" s="39"/>
      <c r="H167" s="39"/>
      <c r="I167" s="39"/>
      <c r="J167" s="39"/>
      <c r="K167" s="39" t="s">
        <v>2</v>
      </c>
      <c r="L167" s="39" t="s">
        <v>2</v>
      </c>
      <c r="M167" s="39"/>
      <c r="N167" s="39"/>
      <c r="O167" s="39"/>
      <c r="P167" s="39"/>
      <c r="Q167" s="39"/>
      <c r="R167" s="39" t="s">
        <v>2</v>
      </c>
      <c r="S167" s="39" t="s">
        <v>2</v>
      </c>
      <c r="T167" s="39"/>
      <c r="U167" s="39"/>
      <c r="V167" s="39"/>
      <c r="W167" s="39"/>
      <c r="X167" s="39"/>
      <c r="Y167" s="39" t="s">
        <v>2</v>
      </c>
      <c r="Z167" s="39" t="s">
        <v>2</v>
      </c>
      <c r="AA167" s="39"/>
      <c r="AB167" s="39"/>
      <c r="AC167" s="39"/>
      <c r="AD167" s="39"/>
      <c r="AE167" s="39"/>
      <c r="AF167" s="39" t="s">
        <v>2</v>
      </c>
      <c r="AH167" s="20">
        <f t="shared" si="18"/>
        <v>0</v>
      </c>
      <c r="AI167" s="20">
        <f t="shared" si="19"/>
        <v>0</v>
      </c>
    </row>
    <row r="168" spans="1:35" ht="20.100000000000001" customHeight="1"/>
    <row r="169" spans="1:35" s="11" customFormat="1" ht="20.100000000000001" customHeight="1">
      <c r="A169" s="57" t="s">
        <v>12</v>
      </c>
      <c r="B169" s="23">
        <v>1</v>
      </c>
      <c r="C169" s="23">
        <v>2</v>
      </c>
      <c r="D169" s="23">
        <v>3</v>
      </c>
      <c r="E169" s="23">
        <v>4</v>
      </c>
      <c r="F169" s="23">
        <v>5</v>
      </c>
      <c r="G169" s="23">
        <v>6</v>
      </c>
      <c r="H169" s="23">
        <v>7</v>
      </c>
      <c r="I169" s="23">
        <v>8</v>
      </c>
      <c r="J169" s="23">
        <v>9</v>
      </c>
      <c r="K169" s="23">
        <v>10</v>
      </c>
      <c r="L169" s="23">
        <v>11</v>
      </c>
      <c r="M169" s="23">
        <v>12</v>
      </c>
      <c r="N169" s="23">
        <v>13</v>
      </c>
      <c r="O169" s="23">
        <v>14</v>
      </c>
      <c r="P169" s="23">
        <v>15</v>
      </c>
      <c r="Q169" s="23">
        <v>16</v>
      </c>
      <c r="R169" s="23">
        <v>17</v>
      </c>
      <c r="S169" s="23">
        <v>18</v>
      </c>
      <c r="T169" s="23">
        <v>19</v>
      </c>
      <c r="U169" s="25">
        <v>20</v>
      </c>
      <c r="V169" s="23">
        <v>21</v>
      </c>
      <c r="W169" s="23">
        <v>22</v>
      </c>
      <c r="X169" s="23">
        <v>23</v>
      </c>
      <c r="Y169" s="23">
        <v>24</v>
      </c>
      <c r="Z169" s="23">
        <v>25</v>
      </c>
      <c r="AA169" s="23">
        <v>26</v>
      </c>
      <c r="AB169" s="23">
        <v>27</v>
      </c>
      <c r="AC169" s="23">
        <v>28</v>
      </c>
      <c r="AD169" s="23">
        <v>29</v>
      </c>
      <c r="AE169" s="23">
        <v>30</v>
      </c>
      <c r="AF169" s="23">
        <v>31</v>
      </c>
      <c r="AH169" s="59" t="s">
        <v>18</v>
      </c>
      <c r="AI169" s="59" t="s">
        <v>19</v>
      </c>
    </row>
    <row r="170" spans="1:35" ht="20.100000000000001" customHeight="1">
      <c r="A170" s="61"/>
      <c r="B170" s="15" t="str">
        <f>'2021'!B60</f>
        <v>V</v>
      </c>
      <c r="C170" s="15" t="str">
        <f>'2021'!C60</f>
        <v>H</v>
      </c>
      <c r="D170" s="15" t="str">
        <f>'2021'!D60</f>
        <v>K</v>
      </c>
      <c r="E170" s="15" t="str">
        <f>'2021'!E60</f>
        <v>Sze</v>
      </c>
      <c r="F170" s="15" t="str">
        <f>'2021'!F60</f>
        <v>Cs</v>
      </c>
      <c r="G170" s="15" t="str">
        <f>'2021'!G60</f>
        <v>P</v>
      </c>
      <c r="H170" s="15" t="str">
        <f>'2021'!H60</f>
        <v>Szo</v>
      </c>
      <c r="I170" s="15" t="str">
        <f>'2021'!I60</f>
        <v>V</v>
      </c>
      <c r="J170" s="15" t="str">
        <f>'2021'!J60</f>
        <v>H</v>
      </c>
      <c r="K170" s="15" t="str">
        <f>'2021'!K60</f>
        <v>K</v>
      </c>
      <c r="L170" s="15" t="str">
        <f>'2021'!L60</f>
        <v>Sze</v>
      </c>
      <c r="M170" s="15" t="str">
        <f>'2021'!M60</f>
        <v>Cs</v>
      </c>
      <c r="N170" s="15" t="str">
        <f>'2021'!N60</f>
        <v>P</v>
      </c>
      <c r="O170" s="15" t="str">
        <f>'2021'!O60</f>
        <v>Szo</v>
      </c>
      <c r="P170" s="15" t="str">
        <f>'2021'!P60</f>
        <v>V</v>
      </c>
      <c r="Q170" s="15" t="str">
        <f>'2021'!Q60</f>
        <v>H</v>
      </c>
      <c r="R170" s="15" t="str">
        <f>'2021'!R60</f>
        <v>K</v>
      </c>
      <c r="S170" s="15" t="str">
        <f>'2021'!S60</f>
        <v>Sze</v>
      </c>
      <c r="T170" s="15" t="str">
        <f>'2021'!T60</f>
        <v>Cs</v>
      </c>
      <c r="U170" s="15" t="str">
        <f>'2021'!U60</f>
        <v>P</v>
      </c>
      <c r="V170" s="15" t="str">
        <f>'2021'!V60</f>
        <v>Szo</v>
      </c>
      <c r="W170" s="15" t="str">
        <f>'2021'!W60</f>
        <v>V</v>
      </c>
      <c r="X170" s="15" t="str">
        <f>'2021'!X60</f>
        <v>H</v>
      </c>
      <c r="Y170" s="15" t="str">
        <f>'2021'!Y60</f>
        <v>K</v>
      </c>
      <c r="Z170" s="15" t="str">
        <f>'2021'!Z60</f>
        <v>Sze</v>
      </c>
      <c r="AA170" s="15" t="str">
        <f>'2021'!AA60</f>
        <v>Cs</v>
      </c>
      <c r="AB170" s="15" t="str">
        <f>'2021'!AB60</f>
        <v>P</v>
      </c>
      <c r="AC170" s="15" t="str">
        <f>'2021'!AC60</f>
        <v>Szo</v>
      </c>
      <c r="AD170" s="15" t="str">
        <f>'2021'!AD60</f>
        <v>V</v>
      </c>
      <c r="AE170" s="15" t="str">
        <f>'2021'!AE60</f>
        <v>H</v>
      </c>
      <c r="AF170" s="15" t="str">
        <f>'2021'!AF60</f>
        <v>K</v>
      </c>
      <c r="AH170" s="60"/>
      <c r="AI170" s="60"/>
    </row>
    <row r="171" spans="1:35" ht="20.100000000000001" customHeight="1">
      <c r="A171" s="6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H171" s="60"/>
      <c r="AI171" s="60"/>
    </row>
    <row r="172" spans="1:35" ht="20.100000000000001" customHeight="1">
      <c r="A172" s="24" t="str">
        <f>ÖSSZES!$A$95</f>
        <v>Kovács Kriszitán</v>
      </c>
      <c r="B172" s="39" t="s">
        <v>2</v>
      </c>
      <c r="C172" s="39"/>
      <c r="D172" s="39"/>
      <c r="E172" s="39"/>
      <c r="F172" s="39"/>
      <c r="G172" s="39"/>
      <c r="H172" s="39" t="s">
        <v>2</v>
      </c>
      <c r="I172" s="39" t="s">
        <v>2</v>
      </c>
      <c r="J172" s="39"/>
      <c r="K172" s="39"/>
      <c r="L172" s="39"/>
      <c r="M172" s="39"/>
      <c r="N172" s="39"/>
      <c r="O172" s="39" t="s">
        <v>2</v>
      </c>
      <c r="P172" s="39" t="s">
        <v>2</v>
      </c>
      <c r="Q172" s="39"/>
      <c r="R172" s="39"/>
      <c r="S172" s="39"/>
      <c r="T172" s="39"/>
      <c r="U172" s="19" t="s">
        <v>63</v>
      </c>
      <c r="V172" s="39" t="s">
        <v>2</v>
      </c>
      <c r="W172" s="39" t="s">
        <v>2</v>
      </c>
      <c r="X172" s="39"/>
      <c r="Y172" s="39"/>
      <c r="Z172" s="39"/>
      <c r="AA172" s="39"/>
      <c r="AB172" s="39"/>
      <c r="AC172" s="39" t="s">
        <v>2</v>
      </c>
      <c r="AD172" s="39" t="s">
        <v>2</v>
      </c>
      <c r="AE172" s="39"/>
      <c r="AF172" s="39"/>
      <c r="AH172" s="20">
        <f>1*COUNTIF(A172:AF172,"+")</f>
        <v>0</v>
      </c>
      <c r="AI172" s="20">
        <f t="shared" ref="AI172" si="20">1*COUNTIF(B172:AF172,"szf")</f>
        <v>0</v>
      </c>
    </row>
    <row r="173" spans="1:35" ht="20.100000000000001" customHeight="1">
      <c r="A173" s="24" t="str">
        <f>ÖSSZES!$A$96</f>
        <v>Besse Éva</v>
      </c>
      <c r="B173" s="39" t="s">
        <v>2</v>
      </c>
      <c r="C173" s="39"/>
      <c r="D173" s="39"/>
      <c r="E173" s="39"/>
      <c r="F173" s="39"/>
      <c r="G173" s="39"/>
      <c r="H173" s="39" t="s">
        <v>2</v>
      </c>
      <c r="I173" s="39" t="s">
        <v>2</v>
      </c>
      <c r="J173" s="39"/>
      <c r="K173" s="39"/>
      <c r="L173" s="39"/>
      <c r="M173" s="39"/>
      <c r="N173" s="39"/>
      <c r="O173" s="39" t="s">
        <v>2</v>
      </c>
      <c r="P173" s="39" t="s">
        <v>2</v>
      </c>
      <c r="Q173" s="39"/>
      <c r="R173" s="39"/>
      <c r="S173" s="39"/>
      <c r="T173" s="39"/>
      <c r="U173" s="19" t="s">
        <v>63</v>
      </c>
      <c r="V173" s="39" t="s">
        <v>2</v>
      </c>
      <c r="W173" s="39" t="s">
        <v>2</v>
      </c>
      <c r="X173" s="39"/>
      <c r="Y173" s="39"/>
      <c r="Z173" s="39"/>
      <c r="AA173" s="39"/>
      <c r="AB173" s="39"/>
      <c r="AC173" s="39" t="s">
        <v>2</v>
      </c>
      <c r="AD173" s="39" t="s">
        <v>2</v>
      </c>
      <c r="AE173" s="39"/>
      <c r="AF173" s="39"/>
      <c r="AH173" s="20">
        <f t="shared" ref="AH173:AH191" si="21">1*COUNTIF(A173:AF173,"+")</f>
        <v>0</v>
      </c>
      <c r="AI173" s="20">
        <f t="shared" ref="AI173:AI191" si="22">1*COUNTIF(B173:AF173,"szf")</f>
        <v>0</v>
      </c>
    </row>
    <row r="174" spans="1:35" ht="20.100000000000001" customHeight="1">
      <c r="A174" s="24" t="str">
        <f>ÖSSZES!$A$97</f>
        <v>Bulyáki Csaba</v>
      </c>
      <c r="B174" s="39" t="s">
        <v>2</v>
      </c>
      <c r="C174" s="39"/>
      <c r="D174" s="39"/>
      <c r="E174" s="39"/>
      <c r="F174" s="39"/>
      <c r="G174" s="39"/>
      <c r="H174" s="39" t="s">
        <v>2</v>
      </c>
      <c r="I174" s="39" t="s">
        <v>2</v>
      </c>
      <c r="J174" s="39"/>
      <c r="K174" s="39"/>
      <c r="L174" s="39"/>
      <c r="M174" s="39"/>
      <c r="N174" s="39"/>
      <c r="O174" s="39" t="s">
        <v>2</v>
      </c>
      <c r="P174" s="39" t="s">
        <v>2</v>
      </c>
      <c r="Q174" s="39"/>
      <c r="R174" s="39"/>
      <c r="S174" s="39"/>
      <c r="T174" s="39"/>
      <c r="U174" s="19" t="s">
        <v>63</v>
      </c>
      <c r="V174" s="39" t="s">
        <v>2</v>
      </c>
      <c r="W174" s="39" t="s">
        <v>2</v>
      </c>
      <c r="X174" s="39"/>
      <c r="Y174" s="39"/>
      <c r="Z174" s="39"/>
      <c r="AA174" s="39"/>
      <c r="AB174" s="39"/>
      <c r="AC174" s="39" t="s">
        <v>2</v>
      </c>
      <c r="AD174" s="39" t="s">
        <v>2</v>
      </c>
      <c r="AE174" s="39"/>
      <c r="AF174" s="39"/>
      <c r="AH174" s="20">
        <f t="shared" si="21"/>
        <v>0</v>
      </c>
      <c r="AI174" s="20">
        <f t="shared" si="22"/>
        <v>0</v>
      </c>
    </row>
    <row r="175" spans="1:35" ht="20.100000000000001" customHeight="1">
      <c r="A175" s="24" t="str">
        <f>ÖSSZES!$A$98</f>
        <v>Dancsi Attila</v>
      </c>
      <c r="B175" s="39" t="s">
        <v>2</v>
      </c>
      <c r="C175" s="39"/>
      <c r="D175" s="39"/>
      <c r="E175" s="39"/>
      <c r="F175" s="39"/>
      <c r="G175" s="39"/>
      <c r="H175" s="39" t="s">
        <v>2</v>
      </c>
      <c r="I175" s="39" t="s">
        <v>2</v>
      </c>
      <c r="J175" s="39"/>
      <c r="K175" s="39"/>
      <c r="L175" s="39"/>
      <c r="M175" s="39"/>
      <c r="N175" s="39"/>
      <c r="O175" s="39" t="s">
        <v>2</v>
      </c>
      <c r="P175" s="39" t="s">
        <v>2</v>
      </c>
      <c r="Q175" s="39"/>
      <c r="R175" s="39"/>
      <c r="S175" s="39"/>
      <c r="T175" s="39"/>
      <c r="U175" s="19" t="s">
        <v>63</v>
      </c>
      <c r="V175" s="39" t="s">
        <v>2</v>
      </c>
      <c r="W175" s="39" t="s">
        <v>2</v>
      </c>
      <c r="X175" s="39"/>
      <c r="Y175" s="39"/>
      <c r="Z175" s="39"/>
      <c r="AA175" s="39"/>
      <c r="AB175" s="39"/>
      <c r="AC175" s="39" t="s">
        <v>2</v>
      </c>
      <c r="AD175" s="39" t="s">
        <v>2</v>
      </c>
      <c r="AE175" s="39"/>
      <c r="AF175" s="39"/>
      <c r="AH175" s="20">
        <f t="shared" si="21"/>
        <v>0</v>
      </c>
      <c r="AI175" s="20">
        <f t="shared" si="22"/>
        <v>0</v>
      </c>
    </row>
    <row r="176" spans="1:35" ht="20.100000000000001" customHeight="1">
      <c r="A176" s="24" t="str">
        <f>ÖSSZES!$A$99</f>
        <v>Fekete Tamás</v>
      </c>
      <c r="B176" s="39" t="s">
        <v>2</v>
      </c>
      <c r="C176" s="39"/>
      <c r="D176" s="39"/>
      <c r="E176" s="39"/>
      <c r="F176" s="39"/>
      <c r="G176" s="39"/>
      <c r="H176" s="39" t="s">
        <v>2</v>
      </c>
      <c r="I176" s="39" t="s">
        <v>2</v>
      </c>
      <c r="J176" s="39"/>
      <c r="K176" s="39"/>
      <c r="L176" s="39"/>
      <c r="M176" s="39"/>
      <c r="N176" s="39"/>
      <c r="O176" s="39" t="s">
        <v>2</v>
      </c>
      <c r="P176" s="39" t="s">
        <v>2</v>
      </c>
      <c r="Q176" s="39"/>
      <c r="R176" s="39"/>
      <c r="S176" s="39"/>
      <c r="T176" s="39"/>
      <c r="U176" s="19" t="s">
        <v>63</v>
      </c>
      <c r="V176" s="39" t="s">
        <v>2</v>
      </c>
      <c r="W176" s="39" t="s">
        <v>2</v>
      </c>
      <c r="X176" s="39"/>
      <c r="Y176" s="39"/>
      <c r="Z176" s="39"/>
      <c r="AA176" s="39"/>
      <c r="AB176" s="39"/>
      <c r="AC176" s="39" t="s">
        <v>2</v>
      </c>
      <c r="AD176" s="39" t="s">
        <v>2</v>
      </c>
      <c r="AE176" s="39"/>
      <c r="AF176" s="39"/>
      <c r="AH176" s="20">
        <f t="shared" si="21"/>
        <v>0</v>
      </c>
      <c r="AI176" s="20">
        <f t="shared" si="22"/>
        <v>0</v>
      </c>
    </row>
    <row r="177" spans="1:35" ht="20.100000000000001" customHeight="1">
      <c r="A177" s="24" t="str">
        <f>ÖSSZES!$A$100</f>
        <v>Iványi Roland</v>
      </c>
      <c r="B177" s="39" t="s">
        <v>2</v>
      </c>
      <c r="C177" s="39"/>
      <c r="D177" s="39"/>
      <c r="E177" s="39"/>
      <c r="F177" s="39"/>
      <c r="G177" s="39"/>
      <c r="H177" s="39" t="s">
        <v>2</v>
      </c>
      <c r="I177" s="39" t="s">
        <v>2</v>
      </c>
      <c r="J177" s="39"/>
      <c r="K177" s="39"/>
      <c r="L177" s="39"/>
      <c r="M177" s="39"/>
      <c r="N177" s="39"/>
      <c r="O177" s="39" t="s">
        <v>2</v>
      </c>
      <c r="P177" s="39" t="s">
        <v>2</v>
      </c>
      <c r="Q177" s="39"/>
      <c r="R177" s="39"/>
      <c r="S177" s="39"/>
      <c r="T177" s="39"/>
      <c r="U177" s="19" t="s">
        <v>63</v>
      </c>
      <c r="V177" s="39" t="s">
        <v>2</v>
      </c>
      <c r="W177" s="39" t="s">
        <v>2</v>
      </c>
      <c r="X177" s="39"/>
      <c r="Y177" s="39"/>
      <c r="Z177" s="39"/>
      <c r="AA177" s="39"/>
      <c r="AB177" s="39"/>
      <c r="AC177" s="39" t="s">
        <v>2</v>
      </c>
      <c r="AD177" s="39" t="s">
        <v>2</v>
      </c>
      <c r="AE177" s="39"/>
      <c r="AF177" s="39"/>
      <c r="AH177" s="20">
        <f t="shared" si="21"/>
        <v>0</v>
      </c>
      <c r="AI177" s="20">
        <f t="shared" si="22"/>
        <v>0</v>
      </c>
    </row>
    <row r="178" spans="1:35" ht="20.100000000000001" customHeight="1">
      <c r="A178" s="24" t="str">
        <f>ÖSSZES!$A$101</f>
        <v>Oláh Erika</v>
      </c>
      <c r="B178" s="39" t="s">
        <v>2</v>
      </c>
      <c r="C178" s="39"/>
      <c r="D178" s="39"/>
      <c r="E178" s="39"/>
      <c r="F178" s="39"/>
      <c r="G178" s="39"/>
      <c r="H178" s="39" t="s">
        <v>2</v>
      </c>
      <c r="I178" s="39" t="s">
        <v>2</v>
      </c>
      <c r="J178" s="39"/>
      <c r="K178" s="39"/>
      <c r="L178" s="39"/>
      <c r="M178" s="39"/>
      <c r="N178" s="39"/>
      <c r="O178" s="39" t="s">
        <v>2</v>
      </c>
      <c r="P178" s="39" t="s">
        <v>2</v>
      </c>
      <c r="Q178" s="39"/>
      <c r="R178" s="39"/>
      <c r="S178" s="39"/>
      <c r="T178" s="39"/>
      <c r="U178" s="19" t="s">
        <v>63</v>
      </c>
      <c r="V178" s="39" t="s">
        <v>2</v>
      </c>
      <c r="W178" s="39" t="s">
        <v>2</v>
      </c>
      <c r="X178" s="39"/>
      <c r="Y178" s="39"/>
      <c r="Z178" s="39"/>
      <c r="AA178" s="39"/>
      <c r="AB178" s="39"/>
      <c r="AC178" s="39" t="s">
        <v>2</v>
      </c>
      <c r="AD178" s="39" t="s">
        <v>2</v>
      </c>
      <c r="AE178" s="39"/>
      <c r="AF178" s="39"/>
      <c r="AH178" s="20">
        <f t="shared" si="21"/>
        <v>0</v>
      </c>
      <c r="AI178" s="20">
        <f t="shared" si="22"/>
        <v>0</v>
      </c>
    </row>
    <row r="179" spans="1:35" ht="20.100000000000001" customHeight="1">
      <c r="A179" s="24" t="str">
        <f>ÖSSZES!$A$102</f>
        <v>Tóth János</v>
      </c>
      <c r="B179" s="39" t="s">
        <v>2</v>
      </c>
      <c r="C179" s="39"/>
      <c r="D179" s="39"/>
      <c r="E179" s="39"/>
      <c r="F179" s="39"/>
      <c r="G179" s="39"/>
      <c r="H179" s="39" t="s">
        <v>2</v>
      </c>
      <c r="I179" s="39" t="s">
        <v>2</v>
      </c>
      <c r="J179" s="39"/>
      <c r="K179" s="39"/>
      <c r="L179" s="39"/>
      <c r="M179" s="39"/>
      <c r="N179" s="39"/>
      <c r="O179" s="39" t="s">
        <v>2</v>
      </c>
      <c r="P179" s="39" t="s">
        <v>2</v>
      </c>
      <c r="Q179" s="39"/>
      <c r="R179" s="39"/>
      <c r="S179" s="39"/>
      <c r="T179" s="39"/>
      <c r="U179" s="19" t="s">
        <v>63</v>
      </c>
      <c r="V179" s="39" t="s">
        <v>2</v>
      </c>
      <c r="W179" s="39" t="s">
        <v>2</v>
      </c>
      <c r="X179" s="39"/>
      <c r="Y179" s="39"/>
      <c r="Z179" s="39"/>
      <c r="AA179" s="39"/>
      <c r="AB179" s="39"/>
      <c r="AC179" s="39" t="s">
        <v>2</v>
      </c>
      <c r="AD179" s="39" t="s">
        <v>2</v>
      </c>
      <c r="AE179" s="39"/>
      <c r="AF179" s="39"/>
      <c r="AH179" s="20">
        <f t="shared" si="21"/>
        <v>0</v>
      </c>
      <c r="AI179" s="20">
        <f t="shared" si="22"/>
        <v>0</v>
      </c>
    </row>
    <row r="180" spans="1:35" ht="20.100000000000001" customHeight="1">
      <c r="A180" s="24" t="str">
        <f>ÖSSZES!$A$103</f>
        <v>Tóth Krisztián</v>
      </c>
      <c r="B180" s="39" t="s">
        <v>2</v>
      </c>
      <c r="C180" s="39"/>
      <c r="D180" s="39"/>
      <c r="E180" s="39"/>
      <c r="F180" s="39"/>
      <c r="G180" s="39"/>
      <c r="H180" s="39" t="s">
        <v>2</v>
      </c>
      <c r="I180" s="39" t="s">
        <v>2</v>
      </c>
      <c r="J180" s="39"/>
      <c r="K180" s="39"/>
      <c r="L180" s="39"/>
      <c r="M180" s="39"/>
      <c r="N180" s="39"/>
      <c r="O180" s="39" t="s">
        <v>2</v>
      </c>
      <c r="P180" s="39" t="s">
        <v>2</v>
      </c>
      <c r="Q180" s="39"/>
      <c r="R180" s="39"/>
      <c r="S180" s="39"/>
      <c r="T180" s="39"/>
      <c r="U180" s="19" t="s">
        <v>63</v>
      </c>
      <c r="V180" s="39" t="s">
        <v>2</v>
      </c>
      <c r="W180" s="39" t="s">
        <v>2</v>
      </c>
      <c r="X180" s="39"/>
      <c r="Y180" s="39"/>
      <c r="Z180" s="39"/>
      <c r="AA180" s="39"/>
      <c r="AB180" s="39"/>
      <c r="AC180" s="39" t="s">
        <v>2</v>
      </c>
      <c r="AD180" s="39" t="s">
        <v>2</v>
      </c>
      <c r="AE180" s="39"/>
      <c r="AF180" s="39"/>
      <c r="AH180" s="20">
        <f t="shared" si="21"/>
        <v>0</v>
      </c>
      <c r="AI180" s="20">
        <f t="shared" si="22"/>
        <v>0</v>
      </c>
    </row>
    <row r="181" spans="1:35" ht="20.100000000000001" hidden="1" customHeight="1">
      <c r="A181" s="24" t="str">
        <f>ÖSSZES!$A$104</f>
        <v>Név10</v>
      </c>
      <c r="B181" s="39" t="s">
        <v>2</v>
      </c>
      <c r="C181" s="39"/>
      <c r="D181" s="39"/>
      <c r="E181" s="39"/>
      <c r="F181" s="39"/>
      <c r="G181" s="39"/>
      <c r="H181" s="39" t="s">
        <v>2</v>
      </c>
      <c r="I181" s="39" t="s">
        <v>2</v>
      </c>
      <c r="J181" s="39"/>
      <c r="K181" s="39"/>
      <c r="L181" s="39"/>
      <c r="M181" s="39"/>
      <c r="N181" s="39"/>
      <c r="O181" s="39" t="s">
        <v>2</v>
      </c>
      <c r="P181" s="39" t="s">
        <v>2</v>
      </c>
      <c r="Q181" s="39"/>
      <c r="R181" s="39"/>
      <c r="S181" s="39"/>
      <c r="T181" s="39"/>
      <c r="U181" s="19" t="s">
        <v>63</v>
      </c>
      <c r="V181" s="39" t="s">
        <v>2</v>
      </c>
      <c r="W181" s="39" t="s">
        <v>2</v>
      </c>
      <c r="X181" s="39"/>
      <c r="Y181" s="39"/>
      <c r="Z181" s="39"/>
      <c r="AA181" s="39"/>
      <c r="AB181" s="39"/>
      <c r="AC181" s="39" t="s">
        <v>2</v>
      </c>
      <c r="AD181" s="39" t="s">
        <v>2</v>
      </c>
      <c r="AE181" s="39"/>
      <c r="AF181" s="39"/>
      <c r="AH181" s="20">
        <f t="shared" si="21"/>
        <v>0</v>
      </c>
      <c r="AI181" s="20">
        <f t="shared" si="22"/>
        <v>0</v>
      </c>
    </row>
    <row r="182" spans="1:35" ht="20.100000000000001" hidden="1" customHeight="1">
      <c r="A182" s="24" t="str">
        <f>ÖSSZES!$A$105</f>
        <v>Név11</v>
      </c>
      <c r="B182" s="39" t="s">
        <v>2</v>
      </c>
      <c r="C182" s="39"/>
      <c r="D182" s="39"/>
      <c r="E182" s="39"/>
      <c r="F182" s="39"/>
      <c r="G182" s="39"/>
      <c r="H182" s="39" t="s">
        <v>2</v>
      </c>
      <c r="I182" s="39" t="s">
        <v>2</v>
      </c>
      <c r="J182" s="39"/>
      <c r="K182" s="39"/>
      <c r="L182" s="39"/>
      <c r="M182" s="39"/>
      <c r="N182" s="39"/>
      <c r="O182" s="39" t="s">
        <v>2</v>
      </c>
      <c r="P182" s="39" t="s">
        <v>2</v>
      </c>
      <c r="Q182" s="39"/>
      <c r="R182" s="39"/>
      <c r="S182" s="39"/>
      <c r="T182" s="39"/>
      <c r="U182" s="19" t="s">
        <v>63</v>
      </c>
      <c r="V182" s="39" t="s">
        <v>2</v>
      </c>
      <c r="W182" s="39" t="s">
        <v>2</v>
      </c>
      <c r="X182" s="39"/>
      <c r="Y182" s="39"/>
      <c r="Z182" s="39"/>
      <c r="AA182" s="39"/>
      <c r="AB182" s="39"/>
      <c r="AC182" s="39" t="s">
        <v>2</v>
      </c>
      <c r="AD182" s="39" t="s">
        <v>2</v>
      </c>
      <c r="AE182" s="39"/>
      <c r="AF182" s="39"/>
      <c r="AH182" s="20">
        <f t="shared" si="21"/>
        <v>0</v>
      </c>
      <c r="AI182" s="20">
        <f t="shared" si="22"/>
        <v>0</v>
      </c>
    </row>
    <row r="183" spans="1:35" ht="20.100000000000001" hidden="1" customHeight="1">
      <c r="A183" s="24" t="str">
        <f>ÖSSZES!$A$106</f>
        <v>Név12</v>
      </c>
      <c r="B183" s="39" t="s">
        <v>2</v>
      </c>
      <c r="C183" s="39"/>
      <c r="D183" s="39"/>
      <c r="E183" s="39"/>
      <c r="F183" s="39"/>
      <c r="G183" s="39"/>
      <c r="H183" s="39" t="s">
        <v>2</v>
      </c>
      <c r="I183" s="39" t="s">
        <v>2</v>
      </c>
      <c r="J183" s="39"/>
      <c r="K183" s="39"/>
      <c r="L183" s="39"/>
      <c r="M183" s="39"/>
      <c r="N183" s="39"/>
      <c r="O183" s="39" t="s">
        <v>2</v>
      </c>
      <c r="P183" s="39" t="s">
        <v>2</v>
      </c>
      <c r="Q183" s="39"/>
      <c r="R183" s="39"/>
      <c r="S183" s="39"/>
      <c r="T183" s="39"/>
      <c r="U183" s="19" t="s">
        <v>63</v>
      </c>
      <c r="V183" s="39" t="s">
        <v>2</v>
      </c>
      <c r="W183" s="39" t="s">
        <v>2</v>
      </c>
      <c r="X183" s="39"/>
      <c r="Y183" s="39"/>
      <c r="Z183" s="39"/>
      <c r="AA183" s="39"/>
      <c r="AB183" s="39"/>
      <c r="AC183" s="39" t="s">
        <v>2</v>
      </c>
      <c r="AD183" s="39" t="s">
        <v>2</v>
      </c>
      <c r="AE183" s="39"/>
      <c r="AF183" s="39"/>
      <c r="AH183" s="20">
        <f t="shared" si="21"/>
        <v>0</v>
      </c>
      <c r="AI183" s="20">
        <f t="shared" si="22"/>
        <v>0</v>
      </c>
    </row>
    <row r="184" spans="1:35" ht="20.100000000000001" hidden="1" customHeight="1">
      <c r="A184" s="24" t="str">
        <f>ÖSSZES!$A$107</f>
        <v>Név13</v>
      </c>
      <c r="B184" s="39" t="s">
        <v>2</v>
      </c>
      <c r="C184" s="39"/>
      <c r="D184" s="39"/>
      <c r="E184" s="39"/>
      <c r="F184" s="39"/>
      <c r="G184" s="39"/>
      <c r="H184" s="39" t="s">
        <v>2</v>
      </c>
      <c r="I184" s="39" t="s">
        <v>2</v>
      </c>
      <c r="J184" s="39"/>
      <c r="K184" s="39"/>
      <c r="L184" s="39"/>
      <c r="M184" s="39"/>
      <c r="N184" s="39"/>
      <c r="O184" s="39" t="s">
        <v>2</v>
      </c>
      <c r="P184" s="39" t="s">
        <v>2</v>
      </c>
      <c r="Q184" s="39"/>
      <c r="R184" s="39"/>
      <c r="S184" s="39"/>
      <c r="T184" s="39"/>
      <c r="U184" s="19" t="s">
        <v>63</v>
      </c>
      <c r="V184" s="39" t="s">
        <v>2</v>
      </c>
      <c r="W184" s="39" t="s">
        <v>2</v>
      </c>
      <c r="X184" s="39"/>
      <c r="Y184" s="39"/>
      <c r="Z184" s="39"/>
      <c r="AA184" s="39"/>
      <c r="AB184" s="39"/>
      <c r="AC184" s="39" t="s">
        <v>2</v>
      </c>
      <c r="AD184" s="39" t="s">
        <v>2</v>
      </c>
      <c r="AE184" s="39"/>
      <c r="AF184" s="39"/>
      <c r="AH184" s="20">
        <f t="shared" si="21"/>
        <v>0</v>
      </c>
      <c r="AI184" s="20">
        <f t="shared" si="22"/>
        <v>0</v>
      </c>
    </row>
    <row r="185" spans="1:35" ht="20.100000000000001" hidden="1" customHeight="1">
      <c r="A185" s="24" t="str">
        <f>ÖSSZES!$A$108</f>
        <v>Név14</v>
      </c>
      <c r="B185" s="39" t="s">
        <v>2</v>
      </c>
      <c r="C185" s="39"/>
      <c r="D185" s="39"/>
      <c r="E185" s="39"/>
      <c r="F185" s="39"/>
      <c r="G185" s="39"/>
      <c r="H185" s="39" t="s">
        <v>2</v>
      </c>
      <c r="I185" s="39" t="s">
        <v>2</v>
      </c>
      <c r="J185" s="39"/>
      <c r="K185" s="39"/>
      <c r="L185" s="39"/>
      <c r="M185" s="39"/>
      <c r="N185" s="39"/>
      <c r="O185" s="39" t="s">
        <v>2</v>
      </c>
      <c r="P185" s="39" t="s">
        <v>2</v>
      </c>
      <c r="Q185" s="39"/>
      <c r="R185" s="39"/>
      <c r="S185" s="39"/>
      <c r="T185" s="39"/>
      <c r="U185" s="19" t="s">
        <v>63</v>
      </c>
      <c r="V185" s="39" t="s">
        <v>2</v>
      </c>
      <c r="W185" s="39" t="s">
        <v>2</v>
      </c>
      <c r="X185" s="39"/>
      <c r="Y185" s="39"/>
      <c r="Z185" s="39"/>
      <c r="AA185" s="39"/>
      <c r="AB185" s="39"/>
      <c r="AC185" s="39" t="s">
        <v>2</v>
      </c>
      <c r="AD185" s="39" t="s">
        <v>2</v>
      </c>
      <c r="AE185" s="39"/>
      <c r="AF185" s="39"/>
      <c r="AH185" s="20">
        <f t="shared" si="21"/>
        <v>0</v>
      </c>
      <c r="AI185" s="20">
        <f t="shared" si="22"/>
        <v>0</v>
      </c>
    </row>
    <row r="186" spans="1:35" ht="20.100000000000001" hidden="1" customHeight="1">
      <c r="A186" s="24" t="str">
        <f>ÖSSZES!$A$109</f>
        <v>Név15</v>
      </c>
      <c r="B186" s="39" t="s">
        <v>2</v>
      </c>
      <c r="C186" s="39"/>
      <c r="D186" s="39"/>
      <c r="E186" s="39"/>
      <c r="F186" s="39"/>
      <c r="G186" s="39"/>
      <c r="H186" s="39" t="s">
        <v>2</v>
      </c>
      <c r="I186" s="39" t="s">
        <v>2</v>
      </c>
      <c r="J186" s="39"/>
      <c r="K186" s="39"/>
      <c r="L186" s="39"/>
      <c r="M186" s="39"/>
      <c r="N186" s="39"/>
      <c r="O186" s="39" t="s">
        <v>2</v>
      </c>
      <c r="P186" s="39" t="s">
        <v>2</v>
      </c>
      <c r="Q186" s="39"/>
      <c r="R186" s="39"/>
      <c r="S186" s="39"/>
      <c r="T186" s="39"/>
      <c r="U186" s="19" t="s">
        <v>63</v>
      </c>
      <c r="V186" s="39" t="s">
        <v>2</v>
      </c>
      <c r="W186" s="39" t="s">
        <v>2</v>
      </c>
      <c r="X186" s="39"/>
      <c r="Y186" s="39"/>
      <c r="Z186" s="39"/>
      <c r="AA186" s="39"/>
      <c r="AB186" s="39"/>
      <c r="AC186" s="39" t="s">
        <v>2</v>
      </c>
      <c r="AD186" s="39" t="s">
        <v>2</v>
      </c>
      <c r="AE186" s="39"/>
      <c r="AF186" s="39"/>
      <c r="AH186" s="20">
        <f t="shared" si="21"/>
        <v>0</v>
      </c>
      <c r="AI186" s="20">
        <f t="shared" si="22"/>
        <v>0</v>
      </c>
    </row>
    <row r="187" spans="1:35" ht="20.100000000000001" hidden="1" customHeight="1">
      <c r="A187" s="24" t="str">
        <f>ÖSSZES!$A$110</f>
        <v>Név16</v>
      </c>
      <c r="B187" s="39" t="s">
        <v>2</v>
      </c>
      <c r="C187" s="39"/>
      <c r="D187" s="39"/>
      <c r="E187" s="39"/>
      <c r="F187" s="39"/>
      <c r="G187" s="39"/>
      <c r="H187" s="39" t="s">
        <v>2</v>
      </c>
      <c r="I187" s="39" t="s">
        <v>2</v>
      </c>
      <c r="J187" s="39"/>
      <c r="K187" s="39"/>
      <c r="L187" s="39"/>
      <c r="M187" s="39"/>
      <c r="N187" s="39"/>
      <c r="O187" s="39" t="s">
        <v>2</v>
      </c>
      <c r="P187" s="39" t="s">
        <v>2</v>
      </c>
      <c r="Q187" s="39"/>
      <c r="R187" s="39"/>
      <c r="S187" s="39"/>
      <c r="T187" s="39"/>
      <c r="U187" s="19" t="s">
        <v>63</v>
      </c>
      <c r="V187" s="39" t="s">
        <v>2</v>
      </c>
      <c r="W187" s="39" t="s">
        <v>2</v>
      </c>
      <c r="X187" s="39"/>
      <c r="Y187" s="39"/>
      <c r="Z187" s="39"/>
      <c r="AA187" s="39"/>
      <c r="AB187" s="39"/>
      <c r="AC187" s="39" t="s">
        <v>2</v>
      </c>
      <c r="AD187" s="39" t="s">
        <v>2</v>
      </c>
      <c r="AE187" s="39"/>
      <c r="AF187" s="39"/>
      <c r="AH187" s="20">
        <f t="shared" si="21"/>
        <v>0</v>
      </c>
      <c r="AI187" s="20">
        <f t="shared" si="22"/>
        <v>0</v>
      </c>
    </row>
    <row r="188" spans="1:35" ht="20.100000000000001" hidden="1" customHeight="1">
      <c r="A188" s="24" t="str">
        <f>ÖSSZES!$A$111</f>
        <v>Név17</v>
      </c>
      <c r="B188" s="39" t="s">
        <v>2</v>
      </c>
      <c r="C188" s="39"/>
      <c r="D188" s="39"/>
      <c r="E188" s="39"/>
      <c r="F188" s="39"/>
      <c r="G188" s="39"/>
      <c r="H188" s="39" t="s">
        <v>2</v>
      </c>
      <c r="I188" s="39" t="s">
        <v>2</v>
      </c>
      <c r="J188" s="39"/>
      <c r="K188" s="39"/>
      <c r="L188" s="39"/>
      <c r="M188" s="39"/>
      <c r="N188" s="39"/>
      <c r="O188" s="39" t="s">
        <v>2</v>
      </c>
      <c r="P188" s="39" t="s">
        <v>2</v>
      </c>
      <c r="Q188" s="39"/>
      <c r="R188" s="39"/>
      <c r="S188" s="39"/>
      <c r="T188" s="39"/>
      <c r="U188" s="19" t="s">
        <v>63</v>
      </c>
      <c r="V188" s="39" t="s">
        <v>2</v>
      </c>
      <c r="W188" s="39" t="s">
        <v>2</v>
      </c>
      <c r="X188" s="39"/>
      <c r="Y188" s="39"/>
      <c r="Z188" s="39"/>
      <c r="AA188" s="39"/>
      <c r="AB188" s="39"/>
      <c r="AC188" s="39" t="s">
        <v>2</v>
      </c>
      <c r="AD188" s="39" t="s">
        <v>2</v>
      </c>
      <c r="AE188" s="39"/>
      <c r="AF188" s="39"/>
      <c r="AH188" s="20">
        <f t="shared" si="21"/>
        <v>0</v>
      </c>
      <c r="AI188" s="20">
        <f t="shared" si="22"/>
        <v>0</v>
      </c>
    </row>
    <row r="189" spans="1:35" ht="20.100000000000001" hidden="1" customHeight="1">
      <c r="A189" s="24" t="str">
        <f>ÖSSZES!$A$112</f>
        <v>Név18</v>
      </c>
      <c r="B189" s="39" t="s">
        <v>2</v>
      </c>
      <c r="C189" s="39"/>
      <c r="D189" s="39"/>
      <c r="E189" s="39"/>
      <c r="F189" s="39"/>
      <c r="G189" s="39"/>
      <c r="H189" s="39" t="s">
        <v>2</v>
      </c>
      <c r="I189" s="39" t="s">
        <v>2</v>
      </c>
      <c r="J189" s="39"/>
      <c r="K189" s="39"/>
      <c r="L189" s="39"/>
      <c r="M189" s="39"/>
      <c r="N189" s="39"/>
      <c r="O189" s="39" t="s">
        <v>2</v>
      </c>
      <c r="P189" s="39" t="s">
        <v>2</v>
      </c>
      <c r="Q189" s="39"/>
      <c r="R189" s="39"/>
      <c r="S189" s="39"/>
      <c r="T189" s="39"/>
      <c r="U189" s="19" t="s">
        <v>63</v>
      </c>
      <c r="V189" s="39" t="s">
        <v>2</v>
      </c>
      <c r="W189" s="39" t="s">
        <v>2</v>
      </c>
      <c r="X189" s="39"/>
      <c r="Y189" s="39"/>
      <c r="Z189" s="39"/>
      <c r="AA189" s="39"/>
      <c r="AB189" s="39"/>
      <c r="AC189" s="39" t="s">
        <v>2</v>
      </c>
      <c r="AD189" s="39" t="s">
        <v>2</v>
      </c>
      <c r="AE189" s="39"/>
      <c r="AF189" s="39"/>
      <c r="AH189" s="20">
        <f t="shared" si="21"/>
        <v>0</v>
      </c>
      <c r="AI189" s="20">
        <f t="shared" si="22"/>
        <v>0</v>
      </c>
    </row>
    <row r="190" spans="1:35" ht="20.100000000000001" hidden="1" customHeight="1">
      <c r="A190" s="24" t="str">
        <f>ÖSSZES!$A$113</f>
        <v>Név19</v>
      </c>
      <c r="B190" s="39" t="s">
        <v>2</v>
      </c>
      <c r="C190" s="39"/>
      <c r="D190" s="39"/>
      <c r="E190" s="39"/>
      <c r="F190" s="39"/>
      <c r="G190" s="39"/>
      <c r="H190" s="39" t="s">
        <v>2</v>
      </c>
      <c r="I190" s="39" t="s">
        <v>2</v>
      </c>
      <c r="J190" s="39"/>
      <c r="K190" s="39"/>
      <c r="L190" s="39"/>
      <c r="M190" s="39"/>
      <c r="N190" s="39"/>
      <c r="O190" s="39" t="s">
        <v>2</v>
      </c>
      <c r="P190" s="39" t="s">
        <v>2</v>
      </c>
      <c r="Q190" s="39"/>
      <c r="R190" s="39"/>
      <c r="S190" s="39"/>
      <c r="T190" s="39"/>
      <c r="U190" s="19" t="s">
        <v>63</v>
      </c>
      <c r="V190" s="39" t="s">
        <v>2</v>
      </c>
      <c r="W190" s="39" t="s">
        <v>2</v>
      </c>
      <c r="X190" s="39"/>
      <c r="Y190" s="39"/>
      <c r="Z190" s="39"/>
      <c r="AA190" s="39"/>
      <c r="AB190" s="39"/>
      <c r="AC190" s="39" t="s">
        <v>2</v>
      </c>
      <c r="AD190" s="39" t="s">
        <v>2</v>
      </c>
      <c r="AE190" s="39"/>
      <c r="AF190" s="39"/>
      <c r="AH190" s="20">
        <f t="shared" si="21"/>
        <v>0</v>
      </c>
      <c r="AI190" s="20">
        <f t="shared" si="22"/>
        <v>0</v>
      </c>
    </row>
    <row r="191" spans="1:35" ht="20.100000000000001" hidden="1" customHeight="1">
      <c r="A191" s="24" t="str">
        <f>ÖSSZES!$A$114</f>
        <v>Név20</v>
      </c>
      <c r="B191" s="39" t="s">
        <v>2</v>
      </c>
      <c r="C191" s="39"/>
      <c r="D191" s="39"/>
      <c r="E191" s="39"/>
      <c r="F191" s="39"/>
      <c r="G191" s="39"/>
      <c r="H191" s="39" t="s">
        <v>2</v>
      </c>
      <c r="I191" s="39" t="s">
        <v>2</v>
      </c>
      <c r="J191" s="39"/>
      <c r="K191" s="39"/>
      <c r="L191" s="39"/>
      <c r="M191" s="39"/>
      <c r="N191" s="39"/>
      <c r="O191" s="39" t="s">
        <v>2</v>
      </c>
      <c r="P191" s="39" t="s">
        <v>2</v>
      </c>
      <c r="Q191" s="39"/>
      <c r="R191" s="39"/>
      <c r="S191" s="39"/>
      <c r="T191" s="39"/>
      <c r="U191" s="19" t="s">
        <v>63</v>
      </c>
      <c r="V191" s="39" t="s">
        <v>2</v>
      </c>
      <c r="W191" s="39" t="s">
        <v>2</v>
      </c>
      <c r="X191" s="39"/>
      <c r="Y191" s="39"/>
      <c r="Z191" s="39"/>
      <c r="AA191" s="39"/>
      <c r="AB191" s="39"/>
      <c r="AC191" s="39" t="s">
        <v>2</v>
      </c>
      <c r="AD191" s="39" t="s">
        <v>2</v>
      </c>
      <c r="AE191" s="39"/>
      <c r="AF191" s="39"/>
      <c r="AH191" s="20">
        <f t="shared" si="21"/>
        <v>0</v>
      </c>
      <c r="AI191" s="20">
        <f t="shared" si="22"/>
        <v>0</v>
      </c>
    </row>
    <row r="192" spans="1:35" ht="20.100000000000001" customHeight="1"/>
    <row r="193" spans="1:35" s="11" customFormat="1" ht="20.100000000000001" customHeight="1">
      <c r="A193" s="57" t="s">
        <v>13</v>
      </c>
      <c r="B193" s="23">
        <v>1</v>
      </c>
      <c r="C193" s="23">
        <v>2</v>
      </c>
      <c r="D193" s="23">
        <v>3</v>
      </c>
      <c r="E193" s="23">
        <v>4</v>
      </c>
      <c r="F193" s="23">
        <v>5</v>
      </c>
      <c r="G193" s="23">
        <v>6</v>
      </c>
      <c r="H193" s="23">
        <v>7</v>
      </c>
      <c r="I193" s="23">
        <v>8</v>
      </c>
      <c r="J193" s="23">
        <v>9</v>
      </c>
      <c r="K193" s="23">
        <v>10</v>
      </c>
      <c r="L193" s="23">
        <v>11</v>
      </c>
      <c r="M193" s="23">
        <v>12</v>
      </c>
      <c r="N193" s="23">
        <v>13</v>
      </c>
      <c r="O193" s="23">
        <v>14</v>
      </c>
      <c r="P193" s="23">
        <v>15</v>
      </c>
      <c r="Q193" s="23">
        <v>16</v>
      </c>
      <c r="R193" s="23">
        <v>17</v>
      </c>
      <c r="S193" s="23">
        <v>18</v>
      </c>
      <c r="T193" s="23">
        <v>19</v>
      </c>
      <c r="U193" s="23">
        <v>20</v>
      </c>
      <c r="V193" s="23">
        <v>21</v>
      </c>
      <c r="W193" s="23">
        <v>22</v>
      </c>
      <c r="X193" s="23">
        <v>23</v>
      </c>
      <c r="Y193" s="23">
        <v>24</v>
      </c>
      <c r="Z193" s="23">
        <v>25</v>
      </c>
      <c r="AA193" s="23">
        <v>26</v>
      </c>
      <c r="AB193" s="23">
        <v>27</v>
      </c>
      <c r="AC193" s="23">
        <v>28</v>
      </c>
      <c r="AD193" s="23">
        <v>29</v>
      </c>
      <c r="AE193" s="23">
        <v>30</v>
      </c>
      <c r="AH193" s="59" t="s">
        <v>18</v>
      </c>
      <c r="AI193" s="59" t="s">
        <v>19</v>
      </c>
    </row>
    <row r="194" spans="1:35" ht="20.100000000000001" customHeight="1">
      <c r="A194" s="61"/>
      <c r="B194" s="15" t="str">
        <f>'2021'!B68</f>
        <v>Sze</v>
      </c>
      <c r="C194" s="15" t="str">
        <f>'2021'!C68</f>
        <v>Cs</v>
      </c>
      <c r="D194" s="15" t="str">
        <f>'2021'!D68</f>
        <v>P</v>
      </c>
      <c r="E194" s="15" t="str">
        <f>'2021'!E68</f>
        <v>Szo</v>
      </c>
      <c r="F194" s="15" t="str">
        <f>'2021'!F68</f>
        <v>V</v>
      </c>
      <c r="G194" s="15" t="str">
        <f>'2021'!G68</f>
        <v>H</v>
      </c>
      <c r="H194" s="15" t="str">
        <f>'2021'!H68</f>
        <v>K</v>
      </c>
      <c r="I194" s="15" t="str">
        <f>'2021'!I68</f>
        <v>Sze</v>
      </c>
      <c r="J194" s="15" t="str">
        <f>'2021'!J68</f>
        <v>Cs</v>
      </c>
      <c r="K194" s="15" t="str">
        <f>'2021'!K68</f>
        <v>P</v>
      </c>
      <c r="L194" s="15" t="str">
        <f>'2021'!L68</f>
        <v>Szo</v>
      </c>
      <c r="M194" s="15" t="str">
        <f>'2021'!M68</f>
        <v>V</v>
      </c>
      <c r="N194" s="15" t="str">
        <f>'2021'!N68</f>
        <v>H</v>
      </c>
      <c r="O194" s="15" t="str">
        <f>'2021'!O68</f>
        <v>K</v>
      </c>
      <c r="P194" s="15" t="str">
        <f>'2021'!P68</f>
        <v>Sze</v>
      </c>
      <c r="Q194" s="15" t="str">
        <f>'2021'!Q68</f>
        <v>Cs</v>
      </c>
      <c r="R194" s="15" t="str">
        <f>'2021'!R68</f>
        <v>P</v>
      </c>
      <c r="S194" s="15" t="str">
        <f>'2021'!S68</f>
        <v>Szo</v>
      </c>
      <c r="T194" s="15" t="str">
        <f>'2021'!T68</f>
        <v>V</v>
      </c>
      <c r="U194" s="15" t="str">
        <f>'2021'!U68</f>
        <v>H</v>
      </c>
      <c r="V194" s="15" t="str">
        <f>'2021'!V68</f>
        <v>K</v>
      </c>
      <c r="W194" s="15" t="str">
        <f>'2021'!W68</f>
        <v>Sze</v>
      </c>
      <c r="X194" s="15" t="str">
        <f>'2021'!X68</f>
        <v>Cs</v>
      </c>
      <c r="Y194" s="15" t="str">
        <f>'2021'!Y68</f>
        <v>P</v>
      </c>
      <c r="Z194" s="15" t="str">
        <f>'2021'!Z68</f>
        <v>Szo</v>
      </c>
      <c r="AA194" s="15" t="str">
        <f>'2021'!AA68</f>
        <v>V</v>
      </c>
      <c r="AB194" s="15" t="str">
        <f>'2021'!AB68</f>
        <v>H</v>
      </c>
      <c r="AC194" s="15" t="str">
        <f>'2021'!AC68</f>
        <v>K</v>
      </c>
      <c r="AD194" s="15" t="str">
        <f>'2021'!AD68</f>
        <v>Sze</v>
      </c>
      <c r="AE194" s="15" t="str">
        <f>'2021'!AE68</f>
        <v>Cs</v>
      </c>
      <c r="AF194" s="6"/>
      <c r="AH194" s="60"/>
      <c r="AI194" s="60"/>
    </row>
    <row r="195" spans="1:35" ht="20.100000000000001" customHeight="1">
      <c r="A195" s="61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6"/>
      <c r="AH195" s="60"/>
      <c r="AI195" s="60"/>
    </row>
    <row r="196" spans="1:35" ht="20.100000000000001" customHeight="1">
      <c r="A196" s="24" t="str">
        <f>ÖSSZES!$A$95</f>
        <v>Kovács Kriszitán</v>
      </c>
      <c r="B196" s="39"/>
      <c r="C196" s="39"/>
      <c r="D196" s="39"/>
      <c r="E196" s="39" t="s">
        <v>2</v>
      </c>
      <c r="F196" s="39" t="s">
        <v>2</v>
      </c>
      <c r="G196" s="39"/>
      <c r="H196" s="39"/>
      <c r="I196" s="39"/>
      <c r="J196" s="39"/>
      <c r="K196" s="39"/>
      <c r="L196" s="39" t="s">
        <v>2</v>
      </c>
      <c r="M196" s="39" t="s">
        <v>2</v>
      </c>
      <c r="N196" s="39"/>
      <c r="O196" s="39"/>
      <c r="P196" s="39"/>
      <c r="Q196" s="39"/>
      <c r="R196" s="39"/>
      <c r="S196" s="39" t="s">
        <v>2</v>
      </c>
      <c r="T196" s="39" t="s">
        <v>2</v>
      </c>
      <c r="U196" s="39"/>
      <c r="V196" s="39"/>
      <c r="W196" s="39"/>
      <c r="X196" s="39"/>
      <c r="Y196" s="39"/>
      <c r="Z196" s="39" t="s">
        <v>2</v>
      </c>
      <c r="AA196" s="39" t="s">
        <v>2</v>
      </c>
      <c r="AB196" s="39"/>
      <c r="AC196" s="39"/>
      <c r="AD196" s="39"/>
      <c r="AE196" s="39"/>
      <c r="AF196" s="6"/>
      <c r="AH196" s="20">
        <f>1*COUNTIF(A196:AF196,"+")</f>
        <v>0</v>
      </c>
      <c r="AI196" s="20">
        <f t="shared" ref="AI196" si="23">1*COUNTIF(B196:AF196,"szf")</f>
        <v>0</v>
      </c>
    </row>
    <row r="197" spans="1:35" ht="20.100000000000001" customHeight="1">
      <c r="A197" s="24" t="str">
        <f>ÖSSZES!$A$96</f>
        <v>Besse Éva</v>
      </c>
      <c r="B197" s="39"/>
      <c r="C197" s="39"/>
      <c r="D197" s="39"/>
      <c r="E197" s="39" t="s">
        <v>2</v>
      </c>
      <c r="F197" s="39" t="s">
        <v>2</v>
      </c>
      <c r="G197" s="39"/>
      <c r="H197" s="39"/>
      <c r="I197" s="39"/>
      <c r="J197" s="39"/>
      <c r="K197" s="39"/>
      <c r="L197" s="39" t="s">
        <v>2</v>
      </c>
      <c r="M197" s="39" t="s">
        <v>2</v>
      </c>
      <c r="N197" s="39"/>
      <c r="O197" s="39"/>
      <c r="P197" s="39"/>
      <c r="Q197" s="39"/>
      <c r="R197" s="39"/>
      <c r="S197" s="39" t="s">
        <v>2</v>
      </c>
      <c r="T197" s="39" t="s">
        <v>2</v>
      </c>
      <c r="U197" s="39"/>
      <c r="V197" s="39"/>
      <c r="W197" s="39"/>
      <c r="X197" s="39"/>
      <c r="Y197" s="39"/>
      <c r="Z197" s="39" t="s">
        <v>2</v>
      </c>
      <c r="AA197" s="39" t="s">
        <v>2</v>
      </c>
      <c r="AB197" s="39"/>
      <c r="AC197" s="39"/>
      <c r="AD197" s="39"/>
      <c r="AE197" s="39"/>
      <c r="AF197" s="6"/>
      <c r="AH197" s="20">
        <f t="shared" ref="AH197:AH215" si="24">1*COUNTIF(A197:AF197,"+")</f>
        <v>0</v>
      </c>
      <c r="AI197" s="20">
        <f t="shared" ref="AI197:AI215" si="25">1*COUNTIF(B197:AF197,"szf")</f>
        <v>0</v>
      </c>
    </row>
    <row r="198" spans="1:35" ht="20.100000000000001" customHeight="1">
      <c r="A198" s="24" t="str">
        <f>ÖSSZES!$A$97</f>
        <v>Bulyáki Csaba</v>
      </c>
      <c r="B198" s="39"/>
      <c r="C198" s="39"/>
      <c r="D198" s="39"/>
      <c r="E198" s="39" t="s">
        <v>2</v>
      </c>
      <c r="F198" s="39" t="s">
        <v>2</v>
      </c>
      <c r="G198" s="39"/>
      <c r="H198" s="39"/>
      <c r="I198" s="39"/>
      <c r="J198" s="39"/>
      <c r="K198" s="39"/>
      <c r="L198" s="39" t="s">
        <v>2</v>
      </c>
      <c r="M198" s="39" t="s">
        <v>2</v>
      </c>
      <c r="N198" s="39"/>
      <c r="O198" s="39"/>
      <c r="P198" s="39"/>
      <c r="Q198" s="39"/>
      <c r="R198" s="39"/>
      <c r="S198" s="39" t="s">
        <v>2</v>
      </c>
      <c r="T198" s="39" t="s">
        <v>2</v>
      </c>
      <c r="U198" s="39"/>
      <c r="V198" s="39"/>
      <c r="W198" s="39"/>
      <c r="X198" s="39"/>
      <c r="Y198" s="39"/>
      <c r="Z198" s="39" t="s">
        <v>2</v>
      </c>
      <c r="AA198" s="39" t="s">
        <v>2</v>
      </c>
      <c r="AB198" s="39"/>
      <c r="AC198" s="39"/>
      <c r="AD198" s="39"/>
      <c r="AE198" s="39"/>
      <c r="AF198" s="6"/>
      <c r="AH198" s="20">
        <f t="shared" si="24"/>
        <v>0</v>
      </c>
      <c r="AI198" s="20">
        <f t="shared" si="25"/>
        <v>0</v>
      </c>
    </row>
    <row r="199" spans="1:35" ht="20.100000000000001" customHeight="1">
      <c r="A199" s="24" t="str">
        <f>ÖSSZES!$A$98</f>
        <v>Dancsi Attila</v>
      </c>
      <c r="B199" s="39"/>
      <c r="C199" s="39"/>
      <c r="D199" s="39"/>
      <c r="E199" s="39" t="s">
        <v>2</v>
      </c>
      <c r="F199" s="39" t="s">
        <v>2</v>
      </c>
      <c r="G199" s="39"/>
      <c r="H199" s="39"/>
      <c r="I199" s="39"/>
      <c r="J199" s="39"/>
      <c r="K199" s="39"/>
      <c r="L199" s="39" t="s">
        <v>2</v>
      </c>
      <c r="M199" s="39" t="s">
        <v>2</v>
      </c>
      <c r="N199" s="39"/>
      <c r="O199" s="39"/>
      <c r="P199" s="39"/>
      <c r="Q199" s="39"/>
      <c r="R199" s="39"/>
      <c r="S199" s="39" t="s">
        <v>2</v>
      </c>
      <c r="T199" s="39" t="s">
        <v>2</v>
      </c>
      <c r="U199" s="39"/>
      <c r="V199" s="39"/>
      <c r="W199" s="39"/>
      <c r="X199" s="39"/>
      <c r="Y199" s="39"/>
      <c r="Z199" s="39" t="s">
        <v>2</v>
      </c>
      <c r="AA199" s="39" t="s">
        <v>2</v>
      </c>
      <c r="AB199" s="39"/>
      <c r="AC199" s="39"/>
      <c r="AD199" s="39"/>
      <c r="AE199" s="39"/>
      <c r="AF199" s="6"/>
      <c r="AH199" s="20">
        <f t="shared" si="24"/>
        <v>0</v>
      </c>
      <c r="AI199" s="20">
        <f t="shared" si="25"/>
        <v>0</v>
      </c>
    </row>
    <row r="200" spans="1:35" ht="20.100000000000001" customHeight="1">
      <c r="A200" s="24" t="str">
        <f>ÖSSZES!$A$99</f>
        <v>Fekete Tamás</v>
      </c>
      <c r="B200" s="39"/>
      <c r="C200" s="39"/>
      <c r="D200" s="39"/>
      <c r="E200" s="39" t="s">
        <v>2</v>
      </c>
      <c r="F200" s="39" t="s">
        <v>2</v>
      </c>
      <c r="G200" s="39"/>
      <c r="H200" s="39"/>
      <c r="I200" s="39"/>
      <c r="J200" s="39"/>
      <c r="K200" s="39"/>
      <c r="L200" s="39" t="s">
        <v>2</v>
      </c>
      <c r="M200" s="39" t="s">
        <v>2</v>
      </c>
      <c r="N200" s="39"/>
      <c r="O200" s="39"/>
      <c r="P200" s="39"/>
      <c r="Q200" s="39"/>
      <c r="R200" s="39"/>
      <c r="S200" s="39" t="s">
        <v>2</v>
      </c>
      <c r="T200" s="39" t="s">
        <v>2</v>
      </c>
      <c r="U200" s="39"/>
      <c r="V200" s="39"/>
      <c r="W200" s="39"/>
      <c r="X200" s="39"/>
      <c r="Y200" s="39"/>
      <c r="Z200" s="39" t="s">
        <v>2</v>
      </c>
      <c r="AA200" s="39" t="s">
        <v>2</v>
      </c>
      <c r="AB200" s="39"/>
      <c r="AC200" s="39"/>
      <c r="AD200" s="39"/>
      <c r="AE200" s="39"/>
      <c r="AF200" s="6"/>
      <c r="AH200" s="20">
        <f t="shared" si="24"/>
        <v>0</v>
      </c>
      <c r="AI200" s="20">
        <f t="shared" si="25"/>
        <v>0</v>
      </c>
    </row>
    <row r="201" spans="1:35" ht="20.100000000000001" customHeight="1">
      <c r="A201" s="24" t="str">
        <f>ÖSSZES!$A$100</f>
        <v>Iványi Roland</v>
      </c>
      <c r="B201" s="39"/>
      <c r="C201" s="39"/>
      <c r="D201" s="39"/>
      <c r="E201" s="39" t="s">
        <v>2</v>
      </c>
      <c r="F201" s="39" t="s">
        <v>2</v>
      </c>
      <c r="G201" s="39"/>
      <c r="H201" s="39"/>
      <c r="I201" s="39"/>
      <c r="J201" s="39"/>
      <c r="K201" s="39"/>
      <c r="L201" s="39" t="s">
        <v>2</v>
      </c>
      <c r="M201" s="39" t="s">
        <v>2</v>
      </c>
      <c r="N201" s="39"/>
      <c r="O201" s="39"/>
      <c r="P201" s="39"/>
      <c r="Q201" s="39"/>
      <c r="R201" s="39"/>
      <c r="S201" s="39" t="s">
        <v>2</v>
      </c>
      <c r="T201" s="39" t="s">
        <v>2</v>
      </c>
      <c r="U201" s="39"/>
      <c r="V201" s="39"/>
      <c r="W201" s="39"/>
      <c r="X201" s="39"/>
      <c r="Y201" s="39"/>
      <c r="Z201" s="39" t="s">
        <v>2</v>
      </c>
      <c r="AA201" s="39" t="s">
        <v>2</v>
      </c>
      <c r="AB201" s="39"/>
      <c r="AC201" s="39"/>
      <c r="AD201" s="39"/>
      <c r="AE201" s="39"/>
      <c r="AF201" s="6"/>
      <c r="AH201" s="20">
        <f t="shared" si="24"/>
        <v>0</v>
      </c>
      <c r="AI201" s="20">
        <f t="shared" si="25"/>
        <v>0</v>
      </c>
    </row>
    <row r="202" spans="1:35" ht="20.100000000000001" customHeight="1">
      <c r="A202" s="24" t="str">
        <f>ÖSSZES!$A$101</f>
        <v>Oláh Erika</v>
      </c>
      <c r="B202" s="39"/>
      <c r="C202" s="39"/>
      <c r="D202" s="39"/>
      <c r="E202" s="39" t="s">
        <v>2</v>
      </c>
      <c r="F202" s="39" t="s">
        <v>2</v>
      </c>
      <c r="G202" s="39"/>
      <c r="H202" s="39"/>
      <c r="I202" s="39"/>
      <c r="J202" s="39"/>
      <c r="K202" s="39"/>
      <c r="L202" s="39" t="s">
        <v>2</v>
      </c>
      <c r="M202" s="39" t="s">
        <v>2</v>
      </c>
      <c r="N202" s="39"/>
      <c r="O202" s="39"/>
      <c r="P202" s="39"/>
      <c r="Q202" s="39"/>
      <c r="R202" s="39"/>
      <c r="S202" s="39" t="s">
        <v>2</v>
      </c>
      <c r="T202" s="39" t="s">
        <v>2</v>
      </c>
      <c r="U202" s="39"/>
      <c r="V202" s="39"/>
      <c r="W202" s="39"/>
      <c r="X202" s="39"/>
      <c r="Y202" s="39"/>
      <c r="Z202" s="39" t="s">
        <v>2</v>
      </c>
      <c r="AA202" s="39" t="s">
        <v>2</v>
      </c>
      <c r="AB202" s="39"/>
      <c r="AC202" s="39"/>
      <c r="AD202" s="39"/>
      <c r="AE202" s="39"/>
      <c r="AF202" s="6"/>
      <c r="AH202" s="20">
        <f t="shared" si="24"/>
        <v>0</v>
      </c>
      <c r="AI202" s="20">
        <f t="shared" si="25"/>
        <v>0</v>
      </c>
    </row>
    <row r="203" spans="1:35" ht="20.100000000000001" customHeight="1">
      <c r="A203" s="24" t="str">
        <f>ÖSSZES!$A$102</f>
        <v>Tóth János</v>
      </c>
      <c r="B203" s="39"/>
      <c r="C203" s="39"/>
      <c r="D203" s="39"/>
      <c r="E203" s="39" t="s">
        <v>2</v>
      </c>
      <c r="F203" s="39" t="s">
        <v>2</v>
      </c>
      <c r="G203" s="39"/>
      <c r="H203" s="39"/>
      <c r="I203" s="39"/>
      <c r="J203" s="39"/>
      <c r="K203" s="39"/>
      <c r="L203" s="39" t="s">
        <v>2</v>
      </c>
      <c r="M203" s="39" t="s">
        <v>2</v>
      </c>
      <c r="N203" s="39"/>
      <c r="O203" s="39"/>
      <c r="P203" s="39"/>
      <c r="Q203" s="39"/>
      <c r="R203" s="39"/>
      <c r="S203" s="39" t="s">
        <v>2</v>
      </c>
      <c r="T203" s="39" t="s">
        <v>2</v>
      </c>
      <c r="U203" s="39"/>
      <c r="V203" s="39"/>
      <c r="W203" s="39"/>
      <c r="X203" s="39"/>
      <c r="Y203" s="39"/>
      <c r="Z203" s="39" t="s">
        <v>2</v>
      </c>
      <c r="AA203" s="39" t="s">
        <v>2</v>
      </c>
      <c r="AB203" s="39"/>
      <c r="AC203" s="39"/>
      <c r="AD203" s="39"/>
      <c r="AE203" s="39"/>
      <c r="AF203" s="6"/>
      <c r="AH203" s="20">
        <f t="shared" si="24"/>
        <v>0</v>
      </c>
      <c r="AI203" s="20">
        <f t="shared" si="25"/>
        <v>0</v>
      </c>
    </row>
    <row r="204" spans="1:35" ht="20.100000000000001" customHeight="1">
      <c r="A204" s="24" t="str">
        <f>ÖSSZES!$A$103</f>
        <v>Tóth Krisztián</v>
      </c>
      <c r="B204" s="39"/>
      <c r="C204" s="39"/>
      <c r="D204" s="39"/>
      <c r="E204" s="39" t="s">
        <v>2</v>
      </c>
      <c r="F204" s="39" t="s">
        <v>2</v>
      </c>
      <c r="G204" s="39"/>
      <c r="H204" s="39"/>
      <c r="I204" s="39"/>
      <c r="J204" s="39"/>
      <c r="K204" s="39"/>
      <c r="L204" s="39" t="s">
        <v>2</v>
      </c>
      <c r="M204" s="39" t="s">
        <v>2</v>
      </c>
      <c r="N204" s="39"/>
      <c r="O204" s="39"/>
      <c r="P204" s="39"/>
      <c r="Q204" s="39"/>
      <c r="R204" s="39"/>
      <c r="S204" s="39" t="s">
        <v>2</v>
      </c>
      <c r="T204" s="39" t="s">
        <v>2</v>
      </c>
      <c r="U204" s="39"/>
      <c r="V204" s="39"/>
      <c r="W204" s="39"/>
      <c r="X204" s="39"/>
      <c r="Y204" s="39"/>
      <c r="Z204" s="39" t="s">
        <v>2</v>
      </c>
      <c r="AA204" s="39" t="s">
        <v>2</v>
      </c>
      <c r="AB204" s="39"/>
      <c r="AC204" s="39"/>
      <c r="AD204" s="39"/>
      <c r="AE204" s="39"/>
      <c r="AF204" s="6"/>
      <c r="AH204" s="20">
        <f t="shared" si="24"/>
        <v>0</v>
      </c>
      <c r="AI204" s="20">
        <f t="shared" si="25"/>
        <v>0</v>
      </c>
    </row>
    <row r="205" spans="1:35" ht="20.100000000000001" hidden="1" customHeight="1">
      <c r="A205" s="24" t="str">
        <f>ÖSSZES!$A$104</f>
        <v>Név10</v>
      </c>
      <c r="B205" s="39"/>
      <c r="C205" s="39"/>
      <c r="D205" s="39"/>
      <c r="E205" s="39" t="s">
        <v>2</v>
      </c>
      <c r="F205" s="39" t="s">
        <v>2</v>
      </c>
      <c r="G205" s="39"/>
      <c r="H205" s="39"/>
      <c r="I205" s="39"/>
      <c r="J205" s="39"/>
      <c r="K205" s="39"/>
      <c r="L205" s="39" t="s">
        <v>2</v>
      </c>
      <c r="M205" s="39" t="s">
        <v>2</v>
      </c>
      <c r="N205" s="39"/>
      <c r="O205" s="39"/>
      <c r="P205" s="39"/>
      <c r="Q205" s="39"/>
      <c r="R205" s="39"/>
      <c r="S205" s="39" t="s">
        <v>2</v>
      </c>
      <c r="T205" s="39" t="s">
        <v>2</v>
      </c>
      <c r="U205" s="39"/>
      <c r="V205" s="39"/>
      <c r="W205" s="39"/>
      <c r="X205" s="39"/>
      <c r="Y205" s="39"/>
      <c r="Z205" s="39" t="s">
        <v>2</v>
      </c>
      <c r="AA205" s="39" t="s">
        <v>2</v>
      </c>
      <c r="AB205" s="39"/>
      <c r="AC205" s="39"/>
      <c r="AD205" s="39"/>
      <c r="AE205" s="39"/>
      <c r="AF205" s="6"/>
      <c r="AH205" s="20">
        <f t="shared" si="24"/>
        <v>0</v>
      </c>
      <c r="AI205" s="20">
        <f t="shared" si="25"/>
        <v>0</v>
      </c>
    </row>
    <row r="206" spans="1:35" ht="20.100000000000001" hidden="1" customHeight="1">
      <c r="A206" s="24" t="str">
        <f>ÖSSZES!$A$105</f>
        <v>Név11</v>
      </c>
      <c r="B206" s="39"/>
      <c r="C206" s="39"/>
      <c r="D206" s="39"/>
      <c r="E206" s="39" t="s">
        <v>2</v>
      </c>
      <c r="F206" s="39" t="s">
        <v>2</v>
      </c>
      <c r="G206" s="39"/>
      <c r="H206" s="39"/>
      <c r="I206" s="39"/>
      <c r="J206" s="39"/>
      <c r="K206" s="39"/>
      <c r="L206" s="39" t="s">
        <v>2</v>
      </c>
      <c r="M206" s="39" t="s">
        <v>2</v>
      </c>
      <c r="N206" s="39"/>
      <c r="O206" s="39"/>
      <c r="P206" s="39"/>
      <c r="Q206" s="39"/>
      <c r="R206" s="39"/>
      <c r="S206" s="39" t="s">
        <v>2</v>
      </c>
      <c r="T206" s="39" t="s">
        <v>2</v>
      </c>
      <c r="U206" s="39"/>
      <c r="V206" s="39"/>
      <c r="W206" s="39"/>
      <c r="X206" s="39"/>
      <c r="Y206" s="39"/>
      <c r="Z206" s="39" t="s">
        <v>2</v>
      </c>
      <c r="AA206" s="39" t="s">
        <v>2</v>
      </c>
      <c r="AB206" s="39"/>
      <c r="AC206" s="39"/>
      <c r="AD206" s="39"/>
      <c r="AE206" s="39"/>
      <c r="AF206" s="6"/>
      <c r="AH206" s="20">
        <f t="shared" si="24"/>
        <v>0</v>
      </c>
      <c r="AI206" s="20">
        <f t="shared" si="25"/>
        <v>0</v>
      </c>
    </row>
    <row r="207" spans="1:35" ht="20.100000000000001" hidden="1" customHeight="1">
      <c r="A207" s="24" t="str">
        <f>ÖSSZES!$A$106</f>
        <v>Név12</v>
      </c>
      <c r="B207" s="39"/>
      <c r="C207" s="39"/>
      <c r="D207" s="39"/>
      <c r="E207" s="39" t="s">
        <v>2</v>
      </c>
      <c r="F207" s="39" t="s">
        <v>2</v>
      </c>
      <c r="G207" s="39"/>
      <c r="H207" s="39"/>
      <c r="I207" s="39"/>
      <c r="J207" s="39"/>
      <c r="K207" s="39"/>
      <c r="L207" s="39" t="s">
        <v>2</v>
      </c>
      <c r="M207" s="39" t="s">
        <v>2</v>
      </c>
      <c r="N207" s="39"/>
      <c r="O207" s="39"/>
      <c r="P207" s="39"/>
      <c r="Q207" s="39"/>
      <c r="R207" s="39"/>
      <c r="S207" s="39" t="s">
        <v>2</v>
      </c>
      <c r="T207" s="39" t="s">
        <v>2</v>
      </c>
      <c r="U207" s="39"/>
      <c r="V207" s="39"/>
      <c r="W207" s="39"/>
      <c r="X207" s="39"/>
      <c r="Y207" s="39"/>
      <c r="Z207" s="39" t="s">
        <v>2</v>
      </c>
      <c r="AA207" s="39" t="s">
        <v>2</v>
      </c>
      <c r="AB207" s="39"/>
      <c r="AC207" s="39"/>
      <c r="AD207" s="39"/>
      <c r="AE207" s="39"/>
      <c r="AF207" s="6"/>
      <c r="AH207" s="20">
        <f t="shared" si="24"/>
        <v>0</v>
      </c>
      <c r="AI207" s="20">
        <f t="shared" si="25"/>
        <v>0</v>
      </c>
    </row>
    <row r="208" spans="1:35" ht="20.100000000000001" hidden="1" customHeight="1">
      <c r="A208" s="24" t="str">
        <f>ÖSSZES!$A$107</f>
        <v>Név13</v>
      </c>
      <c r="B208" s="39"/>
      <c r="C208" s="39"/>
      <c r="D208" s="39"/>
      <c r="E208" s="39" t="s">
        <v>2</v>
      </c>
      <c r="F208" s="39" t="s">
        <v>2</v>
      </c>
      <c r="G208" s="39"/>
      <c r="H208" s="39"/>
      <c r="I208" s="39"/>
      <c r="J208" s="39"/>
      <c r="K208" s="39"/>
      <c r="L208" s="39" t="s">
        <v>2</v>
      </c>
      <c r="M208" s="39" t="s">
        <v>2</v>
      </c>
      <c r="N208" s="39"/>
      <c r="O208" s="39"/>
      <c r="P208" s="39"/>
      <c r="Q208" s="39"/>
      <c r="R208" s="39"/>
      <c r="S208" s="39" t="s">
        <v>2</v>
      </c>
      <c r="T208" s="39" t="s">
        <v>2</v>
      </c>
      <c r="U208" s="39"/>
      <c r="V208" s="39"/>
      <c r="W208" s="39"/>
      <c r="X208" s="39"/>
      <c r="Y208" s="39"/>
      <c r="Z208" s="39" t="s">
        <v>2</v>
      </c>
      <c r="AA208" s="39" t="s">
        <v>2</v>
      </c>
      <c r="AB208" s="39"/>
      <c r="AC208" s="39"/>
      <c r="AD208" s="39"/>
      <c r="AE208" s="39"/>
      <c r="AF208" s="6"/>
      <c r="AH208" s="20">
        <f t="shared" si="24"/>
        <v>0</v>
      </c>
      <c r="AI208" s="20">
        <f t="shared" si="25"/>
        <v>0</v>
      </c>
    </row>
    <row r="209" spans="1:35" ht="20.100000000000001" hidden="1" customHeight="1">
      <c r="A209" s="24" t="str">
        <f>ÖSSZES!$A$108</f>
        <v>Név14</v>
      </c>
      <c r="B209" s="39"/>
      <c r="C209" s="39"/>
      <c r="D209" s="39"/>
      <c r="E209" s="39" t="s">
        <v>2</v>
      </c>
      <c r="F209" s="39" t="s">
        <v>2</v>
      </c>
      <c r="G209" s="39"/>
      <c r="H209" s="39"/>
      <c r="I209" s="39"/>
      <c r="J209" s="39"/>
      <c r="K209" s="39"/>
      <c r="L209" s="39" t="s">
        <v>2</v>
      </c>
      <c r="M209" s="39" t="s">
        <v>2</v>
      </c>
      <c r="N209" s="39"/>
      <c r="O209" s="39"/>
      <c r="P209" s="39"/>
      <c r="Q209" s="39"/>
      <c r="R209" s="39"/>
      <c r="S209" s="39" t="s">
        <v>2</v>
      </c>
      <c r="T209" s="39" t="s">
        <v>2</v>
      </c>
      <c r="U209" s="39"/>
      <c r="V209" s="39"/>
      <c r="W209" s="39"/>
      <c r="X209" s="39"/>
      <c r="Y209" s="39"/>
      <c r="Z209" s="39" t="s">
        <v>2</v>
      </c>
      <c r="AA209" s="39" t="s">
        <v>2</v>
      </c>
      <c r="AB209" s="39"/>
      <c r="AC209" s="39"/>
      <c r="AD209" s="39"/>
      <c r="AE209" s="39"/>
      <c r="AF209" s="6"/>
      <c r="AH209" s="20">
        <f t="shared" si="24"/>
        <v>0</v>
      </c>
      <c r="AI209" s="20">
        <f t="shared" si="25"/>
        <v>0</v>
      </c>
    </row>
    <row r="210" spans="1:35" ht="20.100000000000001" hidden="1" customHeight="1">
      <c r="A210" s="24" t="str">
        <f>ÖSSZES!$A$109</f>
        <v>Név15</v>
      </c>
      <c r="B210" s="39"/>
      <c r="C210" s="39"/>
      <c r="D210" s="39"/>
      <c r="E210" s="39" t="s">
        <v>2</v>
      </c>
      <c r="F210" s="39" t="s">
        <v>2</v>
      </c>
      <c r="G210" s="39"/>
      <c r="H210" s="39"/>
      <c r="I210" s="39"/>
      <c r="J210" s="39"/>
      <c r="K210" s="39"/>
      <c r="L210" s="39" t="s">
        <v>2</v>
      </c>
      <c r="M210" s="39" t="s">
        <v>2</v>
      </c>
      <c r="N210" s="39"/>
      <c r="O210" s="39"/>
      <c r="P210" s="39"/>
      <c r="Q210" s="39"/>
      <c r="R210" s="39"/>
      <c r="S210" s="39" t="s">
        <v>2</v>
      </c>
      <c r="T210" s="39" t="s">
        <v>2</v>
      </c>
      <c r="U210" s="39"/>
      <c r="V210" s="39"/>
      <c r="W210" s="39"/>
      <c r="X210" s="39"/>
      <c r="Y210" s="39"/>
      <c r="Z210" s="39" t="s">
        <v>2</v>
      </c>
      <c r="AA210" s="39" t="s">
        <v>2</v>
      </c>
      <c r="AB210" s="39"/>
      <c r="AC210" s="39"/>
      <c r="AD210" s="39"/>
      <c r="AE210" s="39"/>
      <c r="AF210" s="6"/>
      <c r="AH210" s="20">
        <f t="shared" si="24"/>
        <v>0</v>
      </c>
      <c r="AI210" s="20">
        <f t="shared" si="25"/>
        <v>0</v>
      </c>
    </row>
    <row r="211" spans="1:35" ht="20.100000000000001" hidden="1" customHeight="1">
      <c r="A211" s="24" t="str">
        <f>ÖSSZES!$A$110</f>
        <v>Név16</v>
      </c>
      <c r="B211" s="39"/>
      <c r="C211" s="39"/>
      <c r="D211" s="39"/>
      <c r="E211" s="39" t="s">
        <v>2</v>
      </c>
      <c r="F211" s="39" t="s">
        <v>2</v>
      </c>
      <c r="G211" s="39"/>
      <c r="H211" s="39"/>
      <c r="I211" s="39"/>
      <c r="J211" s="39"/>
      <c r="K211" s="39"/>
      <c r="L211" s="39" t="s">
        <v>2</v>
      </c>
      <c r="M211" s="39" t="s">
        <v>2</v>
      </c>
      <c r="N211" s="39"/>
      <c r="O211" s="39"/>
      <c r="P211" s="39"/>
      <c r="Q211" s="39"/>
      <c r="R211" s="39"/>
      <c r="S211" s="39" t="s">
        <v>2</v>
      </c>
      <c r="T211" s="39" t="s">
        <v>2</v>
      </c>
      <c r="U211" s="39"/>
      <c r="V211" s="39"/>
      <c r="W211" s="39"/>
      <c r="X211" s="39"/>
      <c r="Y211" s="39"/>
      <c r="Z211" s="39" t="s">
        <v>2</v>
      </c>
      <c r="AA211" s="39" t="s">
        <v>2</v>
      </c>
      <c r="AB211" s="39"/>
      <c r="AC211" s="39"/>
      <c r="AD211" s="39"/>
      <c r="AE211" s="39"/>
      <c r="AF211" s="6"/>
      <c r="AH211" s="20">
        <f t="shared" si="24"/>
        <v>0</v>
      </c>
      <c r="AI211" s="20">
        <f t="shared" si="25"/>
        <v>0</v>
      </c>
    </row>
    <row r="212" spans="1:35" ht="20.100000000000001" hidden="1" customHeight="1">
      <c r="A212" s="24" t="str">
        <f>ÖSSZES!$A$111</f>
        <v>Név17</v>
      </c>
      <c r="B212" s="39"/>
      <c r="C212" s="39"/>
      <c r="D212" s="39"/>
      <c r="E212" s="39" t="s">
        <v>2</v>
      </c>
      <c r="F212" s="39" t="s">
        <v>2</v>
      </c>
      <c r="G212" s="39"/>
      <c r="H212" s="39"/>
      <c r="I212" s="39"/>
      <c r="J212" s="39"/>
      <c r="K212" s="39"/>
      <c r="L212" s="39" t="s">
        <v>2</v>
      </c>
      <c r="M212" s="39" t="s">
        <v>2</v>
      </c>
      <c r="N212" s="39"/>
      <c r="O212" s="39"/>
      <c r="P212" s="39"/>
      <c r="Q212" s="39"/>
      <c r="R212" s="39"/>
      <c r="S212" s="39" t="s">
        <v>2</v>
      </c>
      <c r="T212" s="39" t="s">
        <v>2</v>
      </c>
      <c r="U212" s="39"/>
      <c r="V212" s="39"/>
      <c r="W212" s="39"/>
      <c r="X212" s="39"/>
      <c r="Y212" s="39"/>
      <c r="Z212" s="39" t="s">
        <v>2</v>
      </c>
      <c r="AA212" s="39" t="s">
        <v>2</v>
      </c>
      <c r="AB212" s="39"/>
      <c r="AC212" s="39"/>
      <c r="AD212" s="39"/>
      <c r="AE212" s="39"/>
      <c r="AF212" s="6"/>
      <c r="AH212" s="20">
        <f t="shared" si="24"/>
        <v>0</v>
      </c>
      <c r="AI212" s="20">
        <f t="shared" si="25"/>
        <v>0</v>
      </c>
    </row>
    <row r="213" spans="1:35" ht="20.100000000000001" hidden="1" customHeight="1">
      <c r="A213" s="24" t="str">
        <f>ÖSSZES!$A$112</f>
        <v>Név18</v>
      </c>
      <c r="B213" s="39"/>
      <c r="C213" s="39"/>
      <c r="D213" s="39"/>
      <c r="E213" s="39" t="s">
        <v>2</v>
      </c>
      <c r="F213" s="39" t="s">
        <v>2</v>
      </c>
      <c r="G213" s="39"/>
      <c r="H213" s="39"/>
      <c r="I213" s="39"/>
      <c r="J213" s="39"/>
      <c r="K213" s="39"/>
      <c r="L213" s="39" t="s">
        <v>2</v>
      </c>
      <c r="M213" s="39" t="s">
        <v>2</v>
      </c>
      <c r="N213" s="39"/>
      <c r="O213" s="39"/>
      <c r="P213" s="39"/>
      <c r="Q213" s="39"/>
      <c r="R213" s="39"/>
      <c r="S213" s="39" t="s">
        <v>2</v>
      </c>
      <c r="T213" s="39" t="s">
        <v>2</v>
      </c>
      <c r="U213" s="39"/>
      <c r="V213" s="39"/>
      <c r="W213" s="39"/>
      <c r="X213" s="39"/>
      <c r="Y213" s="39"/>
      <c r="Z213" s="39" t="s">
        <v>2</v>
      </c>
      <c r="AA213" s="39" t="s">
        <v>2</v>
      </c>
      <c r="AB213" s="39"/>
      <c r="AC213" s="39"/>
      <c r="AD213" s="39"/>
      <c r="AE213" s="39"/>
      <c r="AF213" s="6"/>
      <c r="AH213" s="20">
        <f t="shared" si="24"/>
        <v>0</v>
      </c>
      <c r="AI213" s="20">
        <f t="shared" si="25"/>
        <v>0</v>
      </c>
    </row>
    <row r="214" spans="1:35" ht="20.100000000000001" hidden="1" customHeight="1">
      <c r="A214" s="24" t="str">
        <f>ÖSSZES!$A$113</f>
        <v>Név19</v>
      </c>
      <c r="B214" s="39"/>
      <c r="C214" s="39"/>
      <c r="D214" s="39"/>
      <c r="E214" s="39" t="s">
        <v>2</v>
      </c>
      <c r="F214" s="39" t="s">
        <v>2</v>
      </c>
      <c r="G214" s="39"/>
      <c r="H214" s="39"/>
      <c r="I214" s="39"/>
      <c r="J214" s="39"/>
      <c r="K214" s="39"/>
      <c r="L214" s="39" t="s">
        <v>2</v>
      </c>
      <c r="M214" s="39" t="s">
        <v>2</v>
      </c>
      <c r="N214" s="39"/>
      <c r="O214" s="39"/>
      <c r="P214" s="39"/>
      <c r="Q214" s="39"/>
      <c r="R214" s="39"/>
      <c r="S214" s="39" t="s">
        <v>2</v>
      </c>
      <c r="T214" s="39" t="s">
        <v>2</v>
      </c>
      <c r="U214" s="39"/>
      <c r="V214" s="39"/>
      <c r="W214" s="39"/>
      <c r="X214" s="39"/>
      <c r="Y214" s="39"/>
      <c r="Z214" s="39" t="s">
        <v>2</v>
      </c>
      <c r="AA214" s="39" t="s">
        <v>2</v>
      </c>
      <c r="AB214" s="39"/>
      <c r="AC214" s="39"/>
      <c r="AD214" s="39"/>
      <c r="AE214" s="39"/>
      <c r="AF214" s="6"/>
      <c r="AH214" s="20">
        <f t="shared" si="24"/>
        <v>0</v>
      </c>
      <c r="AI214" s="20">
        <f t="shared" si="25"/>
        <v>0</v>
      </c>
    </row>
    <row r="215" spans="1:35" ht="20.100000000000001" hidden="1" customHeight="1">
      <c r="A215" s="24" t="str">
        <f>ÖSSZES!$A$114</f>
        <v>Név20</v>
      </c>
      <c r="B215" s="39"/>
      <c r="C215" s="39"/>
      <c r="D215" s="39"/>
      <c r="E215" s="39" t="s">
        <v>2</v>
      </c>
      <c r="F215" s="39" t="s">
        <v>2</v>
      </c>
      <c r="G215" s="39"/>
      <c r="H215" s="39"/>
      <c r="I215" s="39"/>
      <c r="J215" s="39"/>
      <c r="K215" s="39"/>
      <c r="L215" s="39" t="s">
        <v>2</v>
      </c>
      <c r="M215" s="39" t="s">
        <v>2</v>
      </c>
      <c r="N215" s="39"/>
      <c r="O215" s="39"/>
      <c r="P215" s="39"/>
      <c r="Q215" s="39"/>
      <c r="R215" s="39"/>
      <c r="S215" s="39" t="s">
        <v>2</v>
      </c>
      <c r="T215" s="39" t="s">
        <v>2</v>
      </c>
      <c r="U215" s="39"/>
      <c r="V215" s="39"/>
      <c r="W215" s="39"/>
      <c r="X215" s="39"/>
      <c r="Y215" s="39"/>
      <c r="Z215" s="39" t="s">
        <v>2</v>
      </c>
      <c r="AA215" s="39" t="s">
        <v>2</v>
      </c>
      <c r="AB215" s="39"/>
      <c r="AC215" s="39"/>
      <c r="AD215" s="39"/>
      <c r="AE215" s="39"/>
      <c r="AF215" s="6"/>
      <c r="AH215" s="20">
        <f t="shared" si="24"/>
        <v>0</v>
      </c>
      <c r="AI215" s="20">
        <f t="shared" si="25"/>
        <v>0</v>
      </c>
    </row>
    <row r="216" spans="1:35" ht="20.100000000000001" customHeight="1"/>
    <row r="217" spans="1:35" s="11" customFormat="1" ht="20.100000000000001" customHeight="1">
      <c r="A217" s="57" t="s">
        <v>14</v>
      </c>
      <c r="B217" s="23">
        <v>1</v>
      </c>
      <c r="C217" s="23">
        <v>2</v>
      </c>
      <c r="D217" s="23">
        <v>3</v>
      </c>
      <c r="E217" s="23">
        <v>4</v>
      </c>
      <c r="F217" s="23">
        <v>5</v>
      </c>
      <c r="G217" s="23">
        <v>6</v>
      </c>
      <c r="H217" s="23">
        <v>7</v>
      </c>
      <c r="I217" s="23">
        <v>8</v>
      </c>
      <c r="J217" s="23">
        <v>9</v>
      </c>
      <c r="K217" s="23">
        <v>10</v>
      </c>
      <c r="L217" s="23">
        <v>11</v>
      </c>
      <c r="M217" s="23">
        <v>12</v>
      </c>
      <c r="N217" s="23">
        <v>13</v>
      </c>
      <c r="O217" s="23">
        <v>14</v>
      </c>
      <c r="P217" s="23">
        <v>15</v>
      </c>
      <c r="Q217" s="23">
        <v>16</v>
      </c>
      <c r="R217" s="23">
        <v>17</v>
      </c>
      <c r="S217" s="23">
        <v>18</v>
      </c>
      <c r="T217" s="23">
        <v>19</v>
      </c>
      <c r="U217" s="23">
        <v>20</v>
      </c>
      <c r="V217" s="23">
        <v>21</v>
      </c>
      <c r="W217" s="23">
        <v>22</v>
      </c>
      <c r="X217" s="25">
        <v>23</v>
      </c>
      <c r="Y217" s="23">
        <v>24</v>
      </c>
      <c r="Z217" s="23">
        <v>25</v>
      </c>
      <c r="AA217" s="23">
        <v>26</v>
      </c>
      <c r="AB217" s="23">
        <v>27</v>
      </c>
      <c r="AC217" s="23">
        <v>28</v>
      </c>
      <c r="AD217" s="23">
        <v>29</v>
      </c>
      <c r="AE217" s="23">
        <v>30</v>
      </c>
      <c r="AF217" s="23">
        <v>31</v>
      </c>
      <c r="AH217" s="59" t="s">
        <v>18</v>
      </c>
      <c r="AI217" s="59" t="s">
        <v>19</v>
      </c>
    </row>
    <row r="218" spans="1:35" ht="20.100000000000001" customHeight="1">
      <c r="A218" s="61"/>
      <c r="B218" s="15" t="str">
        <f>'2021'!B76</f>
        <v>P</v>
      </c>
      <c r="C218" s="15" t="str">
        <f>'2021'!C76</f>
        <v>Szo</v>
      </c>
      <c r="D218" s="15" t="str">
        <f>'2021'!D76</f>
        <v>V</v>
      </c>
      <c r="E218" s="15" t="str">
        <f>'2021'!E76</f>
        <v>H</v>
      </c>
      <c r="F218" s="15" t="str">
        <f>'2021'!F76</f>
        <v>K</v>
      </c>
      <c r="G218" s="15" t="str">
        <f>'2021'!G76</f>
        <v>Sze</v>
      </c>
      <c r="H218" s="15" t="str">
        <f>'2021'!H76</f>
        <v>Cs</v>
      </c>
      <c r="I218" s="15" t="str">
        <f>'2021'!I76</f>
        <v>P</v>
      </c>
      <c r="J218" s="15" t="str">
        <f>'2021'!J76</f>
        <v>Szo</v>
      </c>
      <c r="K218" s="15" t="str">
        <f>'2021'!K76</f>
        <v>V</v>
      </c>
      <c r="L218" s="15" t="str">
        <f>'2021'!L76</f>
        <v>H</v>
      </c>
      <c r="M218" s="15" t="str">
        <f>'2021'!M76</f>
        <v>K</v>
      </c>
      <c r="N218" s="15" t="str">
        <f>'2021'!N76</f>
        <v>Sze</v>
      </c>
      <c r="O218" s="15" t="str">
        <f>'2021'!O76</f>
        <v>Cs</v>
      </c>
      <c r="P218" s="15" t="str">
        <f>'2021'!P76</f>
        <v>P</v>
      </c>
      <c r="Q218" s="15" t="str">
        <f>'2021'!Q76</f>
        <v>Szo</v>
      </c>
      <c r="R218" s="15" t="str">
        <f>'2021'!R76</f>
        <v>V</v>
      </c>
      <c r="S218" s="15" t="str">
        <f>'2021'!S76</f>
        <v>H</v>
      </c>
      <c r="T218" s="15" t="str">
        <f>'2021'!T76</f>
        <v>K</v>
      </c>
      <c r="U218" s="15" t="str">
        <f>'2021'!U76</f>
        <v>Sze</v>
      </c>
      <c r="V218" s="15" t="str">
        <f>'2021'!V76</f>
        <v>Cs</v>
      </c>
      <c r="W218" s="15" t="str">
        <f>'2021'!W76</f>
        <v>P</v>
      </c>
      <c r="X218" s="15" t="str">
        <f>'2021'!X76</f>
        <v>Szo</v>
      </c>
      <c r="Y218" s="15" t="str">
        <f>'2021'!Y76</f>
        <v>V</v>
      </c>
      <c r="Z218" s="15" t="str">
        <f>'2021'!Z76</f>
        <v>H</v>
      </c>
      <c r="AA218" s="15" t="str">
        <f>'2021'!AA76</f>
        <v>K</v>
      </c>
      <c r="AB218" s="15" t="str">
        <f>'2021'!AB76</f>
        <v>Sze</v>
      </c>
      <c r="AC218" s="15" t="str">
        <f>'2021'!AC76</f>
        <v>Cs</v>
      </c>
      <c r="AD218" s="15" t="str">
        <f>'2021'!AD76</f>
        <v>P</v>
      </c>
      <c r="AE218" s="15" t="str">
        <f>'2021'!AE76</f>
        <v>Szo</v>
      </c>
      <c r="AF218" s="15" t="str">
        <f>'2021'!AF76</f>
        <v>V</v>
      </c>
      <c r="AH218" s="60"/>
      <c r="AI218" s="60"/>
    </row>
    <row r="219" spans="1:35" ht="20.100000000000001" customHeight="1">
      <c r="A219" s="61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H219" s="60"/>
      <c r="AI219" s="60"/>
    </row>
    <row r="220" spans="1:35" ht="20.100000000000001" customHeight="1">
      <c r="A220" s="24" t="str">
        <f>ÖSSZES!$A$95</f>
        <v>Kovács Kriszitán</v>
      </c>
      <c r="B220" s="39"/>
      <c r="C220" s="39" t="s">
        <v>2</v>
      </c>
      <c r="D220" s="39" t="s">
        <v>2</v>
      </c>
      <c r="E220" s="39"/>
      <c r="F220" s="39"/>
      <c r="G220" s="39"/>
      <c r="H220" s="39"/>
      <c r="I220" s="39"/>
      <c r="J220" s="39" t="s">
        <v>2</v>
      </c>
      <c r="K220" s="39" t="s">
        <v>2</v>
      </c>
      <c r="L220" s="39"/>
      <c r="M220" s="39"/>
      <c r="N220" s="39"/>
      <c r="O220" s="39"/>
      <c r="P220" s="39"/>
      <c r="Q220" s="39" t="s">
        <v>2</v>
      </c>
      <c r="R220" s="39" t="s">
        <v>2</v>
      </c>
      <c r="S220" s="39"/>
      <c r="T220" s="39"/>
      <c r="U220" s="39"/>
      <c r="V220" s="39"/>
      <c r="W220" s="39"/>
      <c r="X220" s="39" t="s">
        <v>2</v>
      </c>
      <c r="Y220" s="39" t="s">
        <v>2</v>
      </c>
      <c r="Z220" s="39"/>
      <c r="AA220" s="39"/>
      <c r="AB220" s="39"/>
      <c r="AC220" s="39"/>
      <c r="AD220" s="39"/>
      <c r="AE220" s="39" t="s">
        <v>2</v>
      </c>
      <c r="AF220" s="39" t="s">
        <v>2</v>
      </c>
      <c r="AH220" s="20">
        <f>1*COUNTIF(A220:AF220,"+")</f>
        <v>0</v>
      </c>
      <c r="AI220" s="20">
        <f t="shared" ref="AI220" si="26">1*COUNTIF(B220:AF220,"szf")</f>
        <v>0</v>
      </c>
    </row>
    <row r="221" spans="1:35" ht="20.100000000000001" customHeight="1">
      <c r="A221" s="24" t="str">
        <f>ÖSSZES!$A$96</f>
        <v>Besse Éva</v>
      </c>
      <c r="B221" s="39"/>
      <c r="C221" s="39" t="s">
        <v>2</v>
      </c>
      <c r="D221" s="39" t="s">
        <v>2</v>
      </c>
      <c r="E221" s="39"/>
      <c r="F221" s="39"/>
      <c r="G221" s="39"/>
      <c r="H221" s="39"/>
      <c r="I221" s="39"/>
      <c r="J221" s="39" t="s">
        <v>2</v>
      </c>
      <c r="K221" s="39" t="s">
        <v>2</v>
      </c>
      <c r="L221" s="39"/>
      <c r="M221" s="39"/>
      <c r="N221" s="39"/>
      <c r="O221" s="39"/>
      <c r="P221" s="39"/>
      <c r="Q221" s="39" t="s">
        <v>2</v>
      </c>
      <c r="R221" s="39" t="s">
        <v>2</v>
      </c>
      <c r="S221" s="39"/>
      <c r="T221" s="39"/>
      <c r="U221" s="39"/>
      <c r="V221" s="39"/>
      <c r="W221" s="39"/>
      <c r="X221" s="39" t="s">
        <v>2</v>
      </c>
      <c r="Y221" s="39" t="s">
        <v>2</v>
      </c>
      <c r="Z221" s="39"/>
      <c r="AA221" s="39"/>
      <c r="AB221" s="39"/>
      <c r="AC221" s="39"/>
      <c r="AD221" s="39"/>
      <c r="AE221" s="39" t="s">
        <v>2</v>
      </c>
      <c r="AF221" s="39" t="s">
        <v>2</v>
      </c>
      <c r="AH221" s="20">
        <f t="shared" ref="AH221:AH239" si="27">1*COUNTIF(A221:AF221,"+")</f>
        <v>0</v>
      </c>
      <c r="AI221" s="20">
        <f t="shared" ref="AI221:AI239" si="28">1*COUNTIF(B221:AF221,"szf")</f>
        <v>0</v>
      </c>
    </row>
    <row r="222" spans="1:35" ht="20.100000000000001" customHeight="1">
      <c r="A222" s="24" t="str">
        <f>ÖSSZES!$A$97</f>
        <v>Bulyáki Csaba</v>
      </c>
      <c r="B222" s="39"/>
      <c r="C222" s="39" t="s">
        <v>2</v>
      </c>
      <c r="D222" s="39" t="s">
        <v>2</v>
      </c>
      <c r="E222" s="39"/>
      <c r="F222" s="39"/>
      <c r="G222" s="39"/>
      <c r="H222" s="39"/>
      <c r="I222" s="39"/>
      <c r="J222" s="39" t="s">
        <v>2</v>
      </c>
      <c r="K222" s="39" t="s">
        <v>2</v>
      </c>
      <c r="L222" s="39"/>
      <c r="M222" s="39"/>
      <c r="N222" s="39"/>
      <c r="O222" s="39"/>
      <c r="P222" s="39"/>
      <c r="Q222" s="39" t="s">
        <v>2</v>
      </c>
      <c r="R222" s="39" t="s">
        <v>2</v>
      </c>
      <c r="S222" s="39"/>
      <c r="T222" s="39"/>
      <c r="U222" s="39"/>
      <c r="V222" s="39"/>
      <c r="W222" s="39"/>
      <c r="X222" s="39" t="s">
        <v>2</v>
      </c>
      <c r="Y222" s="39" t="s">
        <v>2</v>
      </c>
      <c r="Z222" s="39"/>
      <c r="AA222" s="39"/>
      <c r="AB222" s="39"/>
      <c r="AC222" s="39"/>
      <c r="AD222" s="39"/>
      <c r="AE222" s="39" t="s">
        <v>2</v>
      </c>
      <c r="AF222" s="39" t="s">
        <v>2</v>
      </c>
      <c r="AH222" s="20">
        <f t="shared" si="27"/>
        <v>0</v>
      </c>
      <c r="AI222" s="20">
        <f t="shared" si="28"/>
        <v>0</v>
      </c>
    </row>
    <row r="223" spans="1:35" ht="20.100000000000001" customHeight="1">
      <c r="A223" s="24" t="str">
        <f>ÖSSZES!$A$98</f>
        <v>Dancsi Attila</v>
      </c>
      <c r="B223" s="39"/>
      <c r="C223" s="39" t="s">
        <v>2</v>
      </c>
      <c r="D223" s="39" t="s">
        <v>2</v>
      </c>
      <c r="E223" s="39"/>
      <c r="F223" s="39"/>
      <c r="G223" s="39"/>
      <c r="H223" s="39"/>
      <c r="I223" s="39"/>
      <c r="J223" s="39" t="s">
        <v>2</v>
      </c>
      <c r="K223" s="39" t="s">
        <v>2</v>
      </c>
      <c r="L223" s="39"/>
      <c r="M223" s="39"/>
      <c r="N223" s="39"/>
      <c r="O223" s="39"/>
      <c r="P223" s="39"/>
      <c r="Q223" s="39" t="s">
        <v>2</v>
      </c>
      <c r="R223" s="39" t="s">
        <v>2</v>
      </c>
      <c r="S223" s="39"/>
      <c r="T223" s="39"/>
      <c r="U223" s="39"/>
      <c r="V223" s="39"/>
      <c r="W223" s="39"/>
      <c r="X223" s="39" t="s">
        <v>2</v>
      </c>
      <c r="Y223" s="39" t="s">
        <v>2</v>
      </c>
      <c r="Z223" s="39"/>
      <c r="AA223" s="39"/>
      <c r="AB223" s="39"/>
      <c r="AC223" s="39"/>
      <c r="AD223" s="39"/>
      <c r="AE223" s="39" t="s">
        <v>2</v>
      </c>
      <c r="AF223" s="39" t="s">
        <v>2</v>
      </c>
      <c r="AH223" s="20">
        <f t="shared" si="27"/>
        <v>0</v>
      </c>
      <c r="AI223" s="20">
        <f t="shared" si="28"/>
        <v>0</v>
      </c>
    </row>
    <row r="224" spans="1:35" ht="20.100000000000001" customHeight="1">
      <c r="A224" s="24" t="str">
        <f>ÖSSZES!$A$99</f>
        <v>Fekete Tamás</v>
      </c>
      <c r="B224" s="39"/>
      <c r="C224" s="39" t="s">
        <v>2</v>
      </c>
      <c r="D224" s="39" t="s">
        <v>2</v>
      </c>
      <c r="E224" s="39"/>
      <c r="F224" s="39"/>
      <c r="G224" s="39"/>
      <c r="H224" s="39"/>
      <c r="I224" s="39"/>
      <c r="J224" s="39" t="s">
        <v>2</v>
      </c>
      <c r="K224" s="39" t="s">
        <v>2</v>
      </c>
      <c r="L224" s="39"/>
      <c r="M224" s="39"/>
      <c r="N224" s="39"/>
      <c r="O224" s="39"/>
      <c r="P224" s="39"/>
      <c r="Q224" s="39" t="s">
        <v>2</v>
      </c>
      <c r="R224" s="39" t="s">
        <v>2</v>
      </c>
      <c r="S224" s="39"/>
      <c r="T224" s="39"/>
      <c r="U224" s="39"/>
      <c r="V224" s="39"/>
      <c r="W224" s="39"/>
      <c r="X224" s="39" t="s">
        <v>2</v>
      </c>
      <c r="Y224" s="39" t="s">
        <v>2</v>
      </c>
      <c r="Z224" s="39"/>
      <c r="AA224" s="39"/>
      <c r="AB224" s="39"/>
      <c r="AC224" s="39"/>
      <c r="AD224" s="39"/>
      <c r="AE224" s="39" t="s">
        <v>2</v>
      </c>
      <c r="AF224" s="39" t="s">
        <v>2</v>
      </c>
      <c r="AH224" s="20">
        <f t="shared" si="27"/>
        <v>0</v>
      </c>
      <c r="AI224" s="20">
        <f t="shared" si="28"/>
        <v>0</v>
      </c>
    </row>
    <row r="225" spans="1:35" ht="20.100000000000001" customHeight="1">
      <c r="A225" s="24" t="str">
        <f>ÖSSZES!$A$100</f>
        <v>Iványi Roland</v>
      </c>
      <c r="B225" s="39"/>
      <c r="C225" s="39" t="s">
        <v>2</v>
      </c>
      <c r="D225" s="39" t="s">
        <v>2</v>
      </c>
      <c r="E225" s="39"/>
      <c r="F225" s="39"/>
      <c r="G225" s="39"/>
      <c r="H225" s="39"/>
      <c r="I225" s="39"/>
      <c r="J225" s="39" t="s">
        <v>2</v>
      </c>
      <c r="K225" s="39" t="s">
        <v>2</v>
      </c>
      <c r="L225" s="39"/>
      <c r="M225" s="39"/>
      <c r="N225" s="39"/>
      <c r="O225" s="39"/>
      <c r="P225" s="39"/>
      <c r="Q225" s="39" t="s">
        <v>2</v>
      </c>
      <c r="R225" s="39" t="s">
        <v>2</v>
      </c>
      <c r="S225" s="39"/>
      <c r="T225" s="39"/>
      <c r="U225" s="39"/>
      <c r="V225" s="39"/>
      <c r="W225" s="39"/>
      <c r="X225" s="39" t="s">
        <v>2</v>
      </c>
      <c r="Y225" s="39" t="s">
        <v>2</v>
      </c>
      <c r="Z225" s="39"/>
      <c r="AA225" s="39"/>
      <c r="AB225" s="39"/>
      <c r="AC225" s="39"/>
      <c r="AD225" s="39"/>
      <c r="AE225" s="39" t="s">
        <v>2</v>
      </c>
      <c r="AF225" s="39" t="s">
        <v>2</v>
      </c>
      <c r="AH225" s="20">
        <f t="shared" si="27"/>
        <v>0</v>
      </c>
      <c r="AI225" s="20">
        <f t="shared" si="28"/>
        <v>0</v>
      </c>
    </row>
    <row r="226" spans="1:35" ht="20.100000000000001" customHeight="1">
      <c r="A226" s="24" t="str">
        <f>ÖSSZES!$A$101</f>
        <v>Oláh Erika</v>
      </c>
      <c r="B226" s="39"/>
      <c r="C226" s="39" t="s">
        <v>2</v>
      </c>
      <c r="D226" s="39" t="s">
        <v>2</v>
      </c>
      <c r="E226" s="39"/>
      <c r="F226" s="39"/>
      <c r="G226" s="39"/>
      <c r="H226" s="39"/>
      <c r="I226" s="39"/>
      <c r="J226" s="39" t="s">
        <v>2</v>
      </c>
      <c r="K226" s="39" t="s">
        <v>2</v>
      </c>
      <c r="L226" s="39"/>
      <c r="M226" s="39"/>
      <c r="N226" s="39"/>
      <c r="O226" s="39"/>
      <c r="P226" s="39"/>
      <c r="Q226" s="39" t="s">
        <v>2</v>
      </c>
      <c r="R226" s="39" t="s">
        <v>2</v>
      </c>
      <c r="S226" s="39"/>
      <c r="T226" s="39"/>
      <c r="U226" s="39"/>
      <c r="V226" s="39"/>
      <c r="W226" s="39"/>
      <c r="X226" s="39" t="s">
        <v>2</v>
      </c>
      <c r="Y226" s="39" t="s">
        <v>2</v>
      </c>
      <c r="Z226" s="39"/>
      <c r="AA226" s="39"/>
      <c r="AB226" s="39"/>
      <c r="AC226" s="39"/>
      <c r="AD226" s="39"/>
      <c r="AE226" s="39" t="s">
        <v>2</v>
      </c>
      <c r="AF226" s="39" t="s">
        <v>2</v>
      </c>
      <c r="AH226" s="20">
        <f t="shared" si="27"/>
        <v>0</v>
      </c>
      <c r="AI226" s="20">
        <f t="shared" si="28"/>
        <v>0</v>
      </c>
    </row>
    <row r="227" spans="1:35" ht="20.100000000000001" customHeight="1">
      <c r="A227" s="24" t="str">
        <f>ÖSSZES!$A$102</f>
        <v>Tóth János</v>
      </c>
      <c r="B227" s="39"/>
      <c r="C227" s="39" t="s">
        <v>2</v>
      </c>
      <c r="D227" s="39" t="s">
        <v>2</v>
      </c>
      <c r="E227" s="39"/>
      <c r="F227" s="39"/>
      <c r="G227" s="39"/>
      <c r="H227" s="39"/>
      <c r="I227" s="39"/>
      <c r="J227" s="39" t="s">
        <v>2</v>
      </c>
      <c r="K227" s="39" t="s">
        <v>2</v>
      </c>
      <c r="L227" s="39"/>
      <c r="M227" s="39"/>
      <c r="N227" s="39"/>
      <c r="O227" s="39"/>
      <c r="P227" s="39"/>
      <c r="Q227" s="39" t="s">
        <v>2</v>
      </c>
      <c r="R227" s="39" t="s">
        <v>2</v>
      </c>
      <c r="S227" s="39"/>
      <c r="T227" s="39"/>
      <c r="U227" s="39"/>
      <c r="V227" s="39"/>
      <c r="W227" s="39"/>
      <c r="X227" s="39" t="s">
        <v>2</v>
      </c>
      <c r="Y227" s="39" t="s">
        <v>2</v>
      </c>
      <c r="Z227" s="39"/>
      <c r="AA227" s="39"/>
      <c r="AB227" s="39"/>
      <c r="AC227" s="39"/>
      <c r="AD227" s="39"/>
      <c r="AE227" s="39" t="s">
        <v>2</v>
      </c>
      <c r="AF227" s="39" t="s">
        <v>2</v>
      </c>
      <c r="AH227" s="20">
        <f t="shared" si="27"/>
        <v>0</v>
      </c>
      <c r="AI227" s="20">
        <f t="shared" si="28"/>
        <v>0</v>
      </c>
    </row>
    <row r="228" spans="1:35" ht="20.100000000000001" customHeight="1">
      <c r="A228" s="24" t="str">
        <f>ÖSSZES!$A$103</f>
        <v>Tóth Krisztián</v>
      </c>
      <c r="B228" s="39"/>
      <c r="C228" s="39" t="s">
        <v>2</v>
      </c>
      <c r="D228" s="39" t="s">
        <v>2</v>
      </c>
      <c r="E228" s="39"/>
      <c r="F228" s="39"/>
      <c r="G228" s="39"/>
      <c r="H228" s="39"/>
      <c r="I228" s="39"/>
      <c r="J228" s="39" t="s">
        <v>2</v>
      </c>
      <c r="K228" s="39" t="s">
        <v>2</v>
      </c>
      <c r="L228" s="39"/>
      <c r="M228" s="39"/>
      <c r="N228" s="39"/>
      <c r="O228" s="39"/>
      <c r="P228" s="39"/>
      <c r="Q228" s="39" t="s">
        <v>2</v>
      </c>
      <c r="R228" s="39" t="s">
        <v>2</v>
      </c>
      <c r="S228" s="39"/>
      <c r="T228" s="39"/>
      <c r="U228" s="39"/>
      <c r="V228" s="39"/>
      <c r="W228" s="39"/>
      <c r="X228" s="39" t="s">
        <v>2</v>
      </c>
      <c r="Y228" s="39" t="s">
        <v>2</v>
      </c>
      <c r="Z228" s="39"/>
      <c r="AA228" s="39"/>
      <c r="AB228" s="39"/>
      <c r="AC228" s="39"/>
      <c r="AD228" s="39"/>
      <c r="AE228" s="39" t="s">
        <v>2</v>
      </c>
      <c r="AF228" s="39" t="s">
        <v>2</v>
      </c>
      <c r="AH228" s="20">
        <f t="shared" si="27"/>
        <v>0</v>
      </c>
      <c r="AI228" s="20">
        <f t="shared" si="28"/>
        <v>0</v>
      </c>
    </row>
    <row r="229" spans="1:35" ht="20.100000000000001" hidden="1" customHeight="1">
      <c r="A229" s="24" t="str">
        <f>ÖSSZES!$A$104</f>
        <v>Név10</v>
      </c>
      <c r="B229" s="39"/>
      <c r="C229" s="39" t="s">
        <v>2</v>
      </c>
      <c r="D229" s="39" t="s">
        <v>2</v>
      </c>
      <c r="E229" s="39"/>
      <c r="F229" s="39"/>
      <c r="G229" s="39"/>
      <c r="H229" s="39"/>
      <c r="I229" s="39"/>
      <c r="J229" s="39" t="s">
        <v>2</v>
      </c>
      <c r="K229" s="39" t="s">
        <v>2</v>
      </c>
      <c r="L229" s="39"/>
      <c r="M229" s="39"/>
      <c r="N229" s="39"/>
      <c r="O229" s="39"/>
      <c r="P229" s="39"/>
      <c r="Q229" s="39" t="s">
        <v>2</v>
      </c>
      <c r="R229" s="39" t="s">
        <v>2</v>
      </c>
      <c r="S229" s="39"/>
      <c r="T229" s="39"/>
      <c r="U229" s="39"/>
      <c r="V229" s="39"/>
      <c r="W229" s="39"/>
      <c r="X229" s="39" t="s">
        <v>2</v>
      </c>
      <c r="Y229" s="39" t="s">
        <v>2</v>
      </c>
      <c r="Z229" s="39"/>
      <c r="AA229" s="39"/>
      <c r="AB229" s="39"/>
      <c r="AC229" s="39"/>
      <c r="AD229" s="39"/>
      <c r="AE229" s="39" t="s">
        <v>2</v>
      </c>
      <c r="AF229" s="39" t="s">
        <v>2</v>
      </c>
      <c r="AH229" s="20">
        <f t="shared" si="27"/>
        <v>0</v>
      </c>
      <c r="AI229" s="20">
        <f t="shared" si="28"/>
        <v>0</v>
      </c>
    </row>
    <row r="230" spans="1:35" ht="20.100000000000001" hidden="1" customHeight="1">
      <c r="A230" s="24" t="str">
        <f>ÖSSZES!$A$105</f>
        <v>Név11</v>
      </c>
      <c r="B230" s="39"/>
      <c r="C230" s="39" t="s">
        <v>2</v>
      </c>
      <c r="D230" s="39" t="s">
        <v>2</v>
      </c>
      <c r="E230" s="39"/>
      <c r="F230" s="39"/>
      <c r="G230" s="39"/>
      <c r="H230" s="39"/>
      <c r="I230" s="39"/>
      <c r="J230" s="39" t="s">
        <v>2</v>
      </c>
      <c r="K230" s="39" t="s">
        <v>2</v>
      </c>
      <c r="L230" s="39"/>
      <c r="M230" s="39"/>
      <c r="N230" s="39"/>
      <c r="O230" s="39"/>
      <c r="P230" s="39"/>
      <c r="Q230" s="39" t="s">
        <v>2</v>
      </c>
      <c r="R230" s="39" t="s">
        <v>2</v>
      </c>
      <c r="S230" s="39"/>
      <c r="T230" s="39"/>
      <c r="U230" s="39"/>
      <c r="V230" s="39"/>
      <c r="W230" s="39"/>
      <c r="X230" s="39" t="s">
        <v>2</v>
      </c>
      <c r="Y230" s="39" t="s">
        <v>2</v>
      </c>
      <c r="Z230" s="39"/>
      <c r="AA230" s="39"/>
      <c r="AB230" s="39"/>
      <c r="AC230" s="39"/>
      <c r="AD230" s="39"/>
      <c r="AE230" s="39" t="s">
        <v>2</v>
      </c>
      <c r="AF230" s="39" t="s">
        <v>2</v>
      </c>
      <c r="AH230" s="20">
        <f t="shared" si="27"/>
        <v>0</v>
      </c>
      <c r="AI230" s="20">
        <f t="shared" si="28"/>
        <v>0</v>
      </c>
    </row>
    <row r="231" spans="1:35" ht="20.100000000000001" hidden="1" customHeight="1">
      <c r="A231" s="24" t="str">
        <f>ÖSSZES!$A$106</f>
        <v>Név12</v>
      </c>
      <c r="B231" s="39"/>
      <c r="C231" s="39" t="s">
        <v>2</v>
      </c>
      <c r="D231" s="39" t="s">
        <v>2</v>
      </c>
      <c r="E231" s="39"/>
      <c r="F231" s="39"/>
      <c r="G231" s="39"/>
      <c r="H231" s="39"/>
      <c r="I231" s="39"/>
      <c r="J231" s="39" t="s">
        <v>2</v>
      </c>
      <c r="K231" s="39" t="s">
        <v>2</v>
      </c>
      <c r="L231" s="39"/>
      <c r="M231" s="39"/>
      <c r="N231" s="39"/>
      <c r="O231" s="39"/>
      <c r="P231" s="39"/>
      <c r="Q231" s="39" t="s">
        <v>2</v>
      </c>
      <c r="R231" s="39" t="s">
        <v>2</v>
      </c>
      <c r="S231" s="39"/>
      <c r="T231" s="39"/>
      <c r="U231" s="39"/>
      <c r="V231" s="39"/>
      <c r="W231" s="39"/>
      <c r="X231" s="39" t="s">
        <v>2</v>
      </c>
      <c r="Y231" s="39" t="s">
        <v>2</v>
      </c>
      <c r="Z231" s="39"/>
      <c r="AA231" s="39"/>
      <c r="AB231" s="39"/>
      <c r="AC231" s="39"/>
      <c r="AD231" s="39"/>
      <c r="AE231" s="39" t="s">
        <v>2</v>
      </c>
      <c r="AF231" s="39" t="s">
        <v>2</v>
      </c>
      <c r="AH231" s="20">
        <f t="shared" si="27"/>
        <v>0</v>
      </c>
      <c r="AI231" s="20">
        <f t="shared" si="28"/>
        <v>0</v>
      </c>
    </row>
    <row r="232" spans="1:35" ht="20.100000000000001" hidden="1" customHeight="1">
      <c r="A232" s="24" t="str">
        <f>ÖSSZES!$A$107</f>
        <v>Név13</v>
      </c>
      <c r="B232" s="39"/>
      <c r="C232" s="39" t="s">
        <v>2</v>
      </c>
      <c r="D232" s="39" t="s">
        <v>2</v>
      </c>
      <c r="E232" s="39"/>
      <c r="F232" s="39"/>
      <c r="G232" s="39"/>
      <c r="H232" s="39"/>
      <c r="I232" s="39"/>
      <c r="J232" s="39" t="s">
        <v>2</v>
      </c>
      <c r="K232" s="39" t="s">
        <v>2</v>
      </c>
      <c r="L232" s="39"/>
      <c r="M232" s="39"/>
      <c r="N232" s="39"/>
      <c r="O232" s="39"/>
      <c r="P232" s="39"/>
      <c r="Q232" s="39" t="s">
        <v>2</v>
      </c>
      <c r="R232" s="39" t="s">
        <v>2</v>
      </c>
      <c r="S232" s="39"/>
      <c r="T232" s="39"/>
      <c r="U232" s="39"/>
      <c r="V232" s="39"/>
      <c r="W232" s="39"/>
      <c r="X232" s="39" t="s">
        <v>2</v>
      </c>
      <c r="Y232" s="39" t="s">
        <v>2</v>
      </c>
      <c r="Z232" s="39"/>
      <c r="AA232" s="39"/>
      <c r="AB232" s="39"/>
      <c r="AC232" s="39"/>
      <c r="AD232" s="39"/>
      <c r="AE232" s="39" t="s">
        <v>2</v>
      </c>
      <c r="AF232" s="39" t="s">
        <v>2</v>
      </c>
      <c r="AH232" s="20">
        <f t="shared" si="27"/>
        <v>0</v>
      </c>
      <c r="AI232" s="20">
        <f t="shared" si="28"/>
        <v>0</v>
      </c>
    </row>
    <row r="233" spans="1:35" ht="20.100000000000001" hidden="1" customHeight="1">
      <c r="A233" s="24" t="str">
        <f>ÖSSZES!$A$108</f>
        <v>Név14</v>
      </c>
      <c r="B233" s="39"/>
      <c r="C233" s="39" t="s">
        <v>2</v>
      </c>
      <c r="D233" s="39" t="s">
        <v>2</v>
      </c>
      <c r="E233" s="39"/>
      <c r="F233" s="39"/>
      <c r="G233" s="39"/>
      <c r="H233" s="39"/>
      <c r="I233" s="39"/>
      <c r="J233" s="39" t="s">
        <v>2</v>
      </c>
      <c r="K233" s="39" t="s">
        <v>2</v>
      </c>
      <c r="L233" s="39"/>
      <c r="M233" s="39"/>
      <c r="N233" s="39"/>
      <c r="O233" s="39"/>
      <c r="P233" s="39"/>
      <c r="Q233" s="39" t="s">
        <v>2</v>
      </c>
      <c r="R233" s="39" t="s">
        <v>2</v>
      </c>
      <c r="S233" s="39"/>
      <c r="T233" s="39"/>
      <c r="U233" s="39"/>
      <c r="V233" s="39"/>
      <c r="W233" s="39"/>
      <c r="X233" s="39" t="s">
        <v>2</v>
      </c>
      <c r="Y233" s="39" t="s">
        <v>2</v>
      </c>
      <c r="Z233" s="39"/>
      <c r="AA233" s="39"/>
      <c r="AB233" s="39"/>
      <c r="AC233" s="39"/>
      <c r="AD233" s="39"/>
      <c r="AE233" s="39" t="s">
        <v>2</v>
      </c>
      <c r="AF233" s="39" t="s">
        <v>2</v>
      </c>
      <c r="AH233" s="20">
        <f t="shared" si="27"/>
        <v>0</v>
      </c>
      <c r="AI233" s="20">
        <f t="shared" si="28"/>
        <v>0</v>
      </c>
    </row>
    <row r="234" spans="1:35" ht="20.100000000000001" hidden="1" customHeight="1">
      <c r="A234" s="24" t="str">
        <f>ÖSSZES!$A$109</f>
        <v>Név15</v>
      </c>
      <c r="B234" s="39"/>
      <c r="C234" s="39" t="s">
        <v>2</v>
      </c>
      <c r="D234" s="39" t="s">
        <v>2</v>
      </c>
      <c r="E234" s="39"/>
      <c r="F234" s="39"/>
      <c r="G234" s="39"/>
      <c r="H234" s="39"/>
      <c r="I234" s="39"/>
      <c r="J234" s="39" t="s">
        <v>2</v>
      </c>
      <c r="K234" s="39" t="s">
        <v>2</v>
      </c>
      <c r="L234" s="39"/>
      <c r="M234" s="39"/>
      <c r="N234" s="39"/>
      <c r="O234" s="39"/>
      <c r="P234" s="39"/>
      <c r="Q234" s="39" t="s">
        <v>2</v>
      </c>
      <c r="R234" s="39" t="s">
        <v>2</v>
      </c>
      <c r="S234" s="39"/>
      <c r="T234" s="39"/>
      <c r="U234" s="39"/>
      <c r="V234" s="39"/>
      <c r="W234" s="39"/>
      <c r="X234" s="39" t="s">
        <v>2</v>
      </c>
      <c r="Y234" s="39" t="s">
        <v>2</v>
      </c>
      <c r="Z234" s="39"/>
      <c r="AA234" s="39"/>
      <c r="AB234" s="39"/>
      <c r="AC234" s="39"/>
      <c r="AD234" s="39"/>
      <c r="AE234" s="39" t="s">
        <v>2</v>
      </c>
      <c r="AF234" s="39" t="s">
        <v>2</v>
      </c>
      <c r="AH234" s="20">
        <f t="shared" si="27"/>
        <v>0</v>
      </c>
      <c r="AI234" s="20">
        <f t="shared" si="28"/>
        <v>0</v>
      </c>
    </row>
    <row r="235" spans="1:35" ht="20.100000000000001" hidden="1" customHeight="1">
      <c r="A235" s="24" t="str">
        <f>ÖSSZES!$A$110</f>
        <v>Név16</v>
      </c>
      <c r="B235" s="39"/>
      <c r="C235" s="39" t="s">
        <v>2</v>
      </c>
      <c r="D235" s="39" t="s">
        <v>2</v>
      </c>
      <c r="E235" s="39"/>
      <c r="F235" s="39"/>
      <c r="G235" s="39"/>
      <c r="H235" s="39"/>
      <c r="I235" s="39"/>
      <c r="J235" s="39" t="s">
        <v>2</v>
      </c>
      <c r="K235" s="39" t="s">
        <v>2</v>
      </c>
      <c r="L235" s="39"/>
      <c r="M235" s="39"/>
      <c r="N235" s="39"/>
      <c r="O235" s="39"/>
      <c r="P235" s="39"/>
      <c r="Q235" s="39" t="s">
        <v>2</v>
      </c>
      <c r="R235" s="39" t="s">
        <v>2</v>
      </c>
      <c r="S235" s="39"/>
      <c r="T235" s="39"/>
      <c r="U235" s="39"/>
      <c r="V235" s="39"/>
      <c r="W235" s="39"/>
      <c r="X235" s="39" t="s">
        <v>2</v>
      </c>
      <c r="Y235" s="39" t="s">
        <v>2</v>
      </c>
      <c r="Z235" s="39"/>
      <c r="AA235" s="39"/>
      <c r="AB235" s="39"/>
      <c r="AC235" s="39"/>
      <c r="AD235" s="39"/>
      <c r="AE235" s="39" t="s">
        <v>2</v>
      </c>
      <c r="AF235" s="39" t="s">
        <v>2</v>
      </c>
      <c r="AH235" s="20">
        <f t="shared" si="27"/>
        <v>0</v>
      </c>
      <c r="AI235" s="20">
        <f t="shared" si="28"/>
        <v>0</v>
      </c>
    </row>
    <row r="236" spans="1:35" ht="20.100000000000001" hidden="1" customHeight="1">
      <c r="A236" s="24" t="str">
        <f>ÖSSZES!$A$111</f>
        <v>Név17</v>
      </c>
      <c r="B236" s="39"/>
      <c r="C236" s="39" t="s">
        <v>2</v>
      </c>
      <c r="D236" s="39" t="s">
        <v>2</v>
      </c>
      <c r="E236" s="39"/>
      <c r="F236" s="39"/>
      <c r="G236" s="39"/>
      <c r="H236" s="39"/>
      <c r="I236" s="39"/>
      <c r="J236" s="39" t="s">
        <v>2</v>
      </c>
      <c r="K236" s="39" t="s">
        <v>2</v>
      </c>
      <c r="L236" s="39"/>
      <c r="M236" s="39"/>
      <c r="N236" s="39"/>
      <c r="O236" s="39"/>
      <c r="P236" s="39"/>
      <c r="Q236" s="39" t="s">
        <v>2</v>
      </c>
      <c r="R236" s="39" t="s">
        <v>2</v>
      </c>
      <c r="S236" s="39"/>
      <c r="T236" s="39"/>
      <c r="U236" s="39"/>
      <c r="V236" s="39"/>
      <c r="W236" s="39"/>
      <c r="X236" s="39" t="s">
        <v>2</v>
      </c>
      <c r="Y236" s="39" t="s">
        <v>2</v>
      </c>
      <c r="Z236" s="39"/>
      <c r="AA236" s="39"/>
      <c r="AB236" s="39"/>
      <c r="AC236" s="39"/>
      <c r="AD236" s="39"/>
      <c r="AE236" s="39" t="s">
        <v>2</v>
      </c>
      <c r="AF236" s="39" t="s">
        <v>2</v>
      </c>
      <c r="AH236" s="20">
        <f t="shared" si="27"/>
        <v>0</v>
      </c>
      <c r="AI236" s="20">
        <f t="shared" si="28"/>
        <v>0</v>
      </c>
    </row>
    <row r="237" spans="1:35" ht="20.100000000000001" hidden="1" customHeight="1">
      <c r="A237" s="24" t="str">
        <f>ÖSSZES!$A$112</f>
        <v>Név18</v>
      </c>
      <c r="B237" s="39"/>
      <c r="C237" s="39" t="s">
        <v>2</v>
      </c>
      <c r="D237" s="39" t="s">
        <v>2</v>
      </c>
      <c r="E237" s="39"/>
      <c r="F237" s="39"/>
      <c r="G237" s="39"/>
      <c r="H237" s="39"/>
      <c r="I237" s="39"/>
      <c r="J237" s="39" t="s">
        <v>2</v>
      </c>
      <c r="K237" s="39" t="s">
        <v>2</v>
      </c>
      <c r="L237" s="39"/>
      <c r="M237" s="39"/>
      <c r="N237" s="39"/>
      <c r="O237" s="39"/>
      <c r="P237" s="39"/>
      <c r="Q237" s="39" t="s">
        <v>2</v>
      </c>
      <c r="R237" s="39" t="s">
        <v>2</v>
      </c>
      <c r="S237" s="39"/>
      <c r="T237" s="39"/>
      <c r="U237" s="39"/>
      <c r="V237" s="39"/>
      <c r="W237" s="39"/>
      <c r="X237" s="39" t="s">
        <v>2</v>
      </c>
      <c r="Y237" s="39" t="s">
        <v>2</v>
      </c>
      <c r="Z237" s="39"/>
      <c r="AA237" s="39"/>
      <c r="AB237" s="39"/>
      <c r="AC237" s="39"/>
      <c r="AD237" s="39"/>
      <c r="AE237" s="39" t="s">
        <v>2</v>
      </c>
      <c r="AF237" s="39" t="s">
        <v>2</v>
      </c>
      <c r="AH237" s="20">
        <f t="shared" si="27"/>
        <v>0</v>
      </c>
      <c r="AI237" s="20">
        <f t="shared" si="28"/>
        <v>0</v>
      </c>
    </row>
    <row r="238" spans="1:35" ht="20.100000000000001" hidden="1" customHeight="1">
      <c r="A238" s="24" t="str">
        <f>ÖSSZES!$A$113</f>
        <v>Név19</v>
      </c>
      <c r="B238" s="39"/>
      <c r="C238" s="39" t="s">
        <v>2</v>
      </c>
      <c r="D238" s="39" t="s">
        <v>2</v>
      </c>
      <c r="E238" s="39"/>
      <c r="F238" s="39"/>
      <c r="G238" s="39"/>
      <c r="H238" s="39"/>
      <c r="I238" s="39"/>
      <c r="J238" s="39" t="s">
        <v>2</v>
      </c>
      <c r="K238" s="39" t="s">
        <v>2</v>
      </c>
      <c r="L238" s="39"/>
      <c r="M238" s="39"/>
      <c r="N238" s="39"/>
      <c r="O238" s="39"/>
      <c r="P238" s="39"/>
      <c r="Q238" s="39" t="s">
        <v>2</v>
      </c>
      <c r="R238" s="39" t="s">
        <v>2</v>
      </c>
      <c r="S238" s="39"/>
      <c r="T238" s="39"/>
      <c r="U238" s="39"/>
      <c r="V238" s="39"/>
      <c r="W238" s="39"/>
      <c r="X238" s="39" t="s">
        <v>2</v>
      </c>
      <c r="Y238" s="39" t="s">
        <v>2</v>
      </c>
      <c r="Z238" s="39"/>
      <c r="AA238" s="39"/>
      <c r="AB238" s="39"/>
      <c r="AC238" s="39"/>
      <c r="AD238" s="39"/>
      <c r="AE238" s="39" t="s">
        <v>2</v>
      </c>
      <c r="AF238" s="39" t="s">
        <v>2</v>
      </c>
      <c r="AH238" s="20">
        <f t="shared" si="27"/>
        <v>0</v>
      </c>
      <c r="AI238" s="20">
        <f t="shared" si="28"/>
        <v>0</v>
      </c>
    </row>
    <row r="239" spans="1:35" ht="20.100000000000001" hidden="1" customHeight="1">
      <c r="A239" s="24" t="str">
        <f>ÖSSZES!$A$114</f>
        <v>Név20</v>
      </c>
      <c r="B239" s="39"/>
      <c r="C239" s="39" t="s">
        <v>2</v>
      </c>
      <c r="D239" s="39" t="s">
        <v>2</v>
      </c>
      <c r="E239" s="39"/>
      <c r="F239" s="39"/>
      <c r="G239" s="39"/>
      <c r="H239" s="39"/>
      <c r="I239" s="39"/>
      <c r="J239" s="39" t="s">
        <v>2</v>
      </c>
      <c r="K239" s="39" t="s">
        <v>2</v>
      </c>
      <c r="L239" s="39"/>
      <c r="M239" s="39"/>
      <c r="N239" s="39"/>
      <c r="O239" s="39"/>
      <c r="P239" s="39"/>
      <c r="Q239" s="39" t="s">
        <v>2</v>
      </c>
      <c r="R239" s="39" t="s">
        <v>2</v>
      </c>
      <c r="S239" s="39"/>
      <c r="T239" s="39"/>
      <c r="U239" s="39"/>
      <c r="V239" s="39"/>
      <c r="W239" s="39"/>
      <c r="X239" s="39" t="s">
        <v>2</v>
      </c>
      <c r="Y239" s="39" t="s">
        <v>2</v>
      </c>
      <c r="Z239" s="39"/>
      <c r="AA239" s="39"/>
      <c r="AB239" s="39"/>
      <c r="AC239" s="39"/>
      <c r="AD239" s="39"/>
      <c r="AE239" s="39" t="s">
        <v>2</v>
      </c>
      <c r="AF239" s="39" t="s">
        <v>2</v>
      </c>
      <c r="AH239" s="20">
        <f t="shared" si="27"/>
        <v>0</v>
      </c>
      <c r="AI239" s="20">
        <f t="shared" si="28"/>
        <v>0</v>
      </c>
    </row>
    <row r="240" spans="1:35" ht="20.100000000000001" customHeight="1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H240" s="14"/>
      <c r="AI240" s="14"/>
    </row>
    <row r="241" spans="1:35" s="11" customFormat="1" ht="20.100000000000001" customHeight="1">
      <c r="A241" s="57" t="s">
        <v>15</v>
      </c>
      <c r="B241" s="25">
        <v>1</v>
      </c>
      <c r="C241" s="23">
        <v>2</v>
      </c>
      <c r="D241" s="23">
        <v>3</v>
      </c>
      <c r="E241" s="23">
        <v>4</v>
      </c>
      <c r="F241" s="23">
        <v>5</v>
      </c>
      <c r="G241" s="23">
        <v>6</v>
      </c>
      <c r="H241" s="23">
        <v>7</v>
      </c>
      <c r="I241" s="23">
        <v>8</v>
      </c>
      <c r="J241" s="23">
        <v>9</v>
      </c>
      <c r="K241" s="23">
        <v>10</v>
      </c>
      <c r="L241" s="23">
        <v>11</v>
      </c>
      <c r="M241" s="23">
        <v>12</v>
      </c>
      <c r="N241" s="23">
        <v>13</v>
      </c>
      <c r="O241" s="23">
        <v>14</v>
      </c>
      <c r="P241" s="23">
        <v>15</v>
      </c>
      <c r="Q241" s="23">
        <v>16</v>
      </c>
      <c r="R241" s="23">
        <v>17</v>
      </c>
      <c r="S241" s="23">
        <v>18</v>
      </c>
      <c r="T241" s="23">
        <v>19</v>
      </c>
      <c r="U241" s="23">
        <v>20</v>
      </c>
      <c r="V241" s="23">
        <v>21</v>
      </c>
      <c r="W241" s="23">
        <v>22</v>
      </c>
      <c r="X241" s="23">
        <v>23</v>
      </c>
      <c r="Y241" s="23">
        <v>24</v>
      </c>
      <c r="Z241" s="23">
        <v>25</v>
      </c>
      <c r="AA241" s="23">
        <v>26</v>
      </c>
      <c r="AB241" s="23">
        <v>27</v>
      </c>
      <c r="AC241" s="23">
        <v>28</v>
      </c>
      <c r="AD241" s="23">
        <v>29</v>
      </c>
      <c r="AE241" s="23">
        <v>30</v>
      </c>
      <c r="AH241" s="59" t="s">
        <v>18</v>
      </c>
      <c r="AI241" s="59" t="s">
        <v>19</v>
      </c>
    </row>
    <row r="242" spans="1:35" ht="20.100000000000001" customHeight="1">
      <c r="A242" s="61"/>
      <c r="B242" s="15" t="str">
        <f>'2021'!B84</f>
        <v>H</v>
      </c>
      <c r="C242" s="15" t="str">
        <f>'2021'!C84</f>
        <v>K</v>
      </c>
      <c r="D242" s="15" t="str">
        <f>'2021'!D84</f>
        <v>Sze</v>
      </c>
      <c r="E242" s="15" t="str">
        <f>'2021'!E84</f>
        <v>Cs</v>
      </c>
      <c r="F242" s="15" t="str">
        <f>'2021'!F84</f>
        <v>P</v>
      </c>
      <c r="G242" s="15" t="str">
        <f>'2021'!G84</f>
        <v>Szo</v>
      </c>
      <c r="H242" s="15" t="str">
        <f>'2021'!H84</f>
        <v>V</v>
      </c>
      <c r="I242" s="15" t="str">
        <f>'2021'!I84</f>
        <v>H</v>
      </c>
      <c r="J242" s="15" t="str">
        <f>'2021'!J84</f>
        <v>K</v>
      </c>
      <c r="K242" s="15" t="str">
        <f>'2021'!K84</f>
        <v>Sze</v>
      </c>
      <c r="L242" s="15" t="str">
        <f>'2021'!L84</f>
        <v>Cs</v>
      </c>
      <c r="M242" s="15" t="str">
        <f>'2021'!M84</f>
        <v>P</v>
      </c>
      <c r="N242" s="15" t="str">
        <f>'2021'!N84</f>
        <v>Szo</v>
      </c>
      <c r="O242" s="15" t="str">
        <f>'2021'!O84</f>
        <v>V</v>
      </c>
      <c r="P242" s="15" t="str">
        <f>'2021'!P84</f>
        <v>H</v>
      </c>
      <c r="Q242" s="15" t="str">
        <f>'2021'!Q84</f>
        <v>K</v>
      </c>
      <c r="R242" s="15" t="str">
        <f>'2021'!R84</f>
        <v>Sze</v>
      </c>
      <c r="S242" s="15" t="str">
        <f>'2021'!S84</f>
        <v>Cs</v>
      </c>
      <c r="T242" s="15" t="str">
        <f>'2021'!T84</f>
        <v>P</v>
      </c>
      <c r="U242" s="15" t="str">
        <f>'2021'!U84</f>
        <v>Szo</v>
      </c>
      <c r="V242" s="15" t="str">
        <f>'2021'!V84</f>
        <v>V</v>
      </c>
      <c r="W242" s="15" t="str">
        <f>'2021'!W84</f>
        <v>H</v>
      </c>
      <c r="X242" s="15" t="str">
        <f>'2021'!X84</f>
        <v>K</v>
      </c>
      <c r="Y242" s="15" t="str">
        <f>'2021'!Y84</f>
        <v>Sze</v>
      </c>
      <c r="Z242" s="15" t="str">
        <f>'2021'!Z84</f>
        <v>Cs</v>
      </c>
      <c r="AA242" s="15" t="str">
        <f>'2021'!AA84</f>
        <v>P</v>
      </c>
      <c r="AB242" s="15" t="str">
        <f>'2021'!AB84</f>
        <v>Szo</v>
      </c>
      <c r="AC242" s="15" t="str">
        <f>'2021'!AC84</f>
        <v>V</v>
      </c>
      <c r="AD242" s="15" t="str">
        <f>'2021'!AD84</f>
        <v>H</v>
      </c>
      <c r="AE242" s="15" t="str">
        <f>'2021'!AE84</f>
        <v>K</v>
      </c>
      <c r="AF242" s="6"/>
      <c r="AH242" s="60"/>
      <c r="AI242" s="60"/>
    </row>
    <row r="243" spans="1:35" ht="20.100000000000001" customHeight="1">
      <c r="A243" s="61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6"/>
      <c r="AH243" s="60"/>
      <c r="AI243" s="60"/>
    </row>
    <row r="244" spans="1:35" ht="20.100000000000001" customHeight="1">
      <c r="A244" s="24" t="str">
        <f>ÖSSZES!$A$95</f>
        <v>Kovács Kriszitán</v>
      </c>
      <c r="B244" s="19" t="s">
        <v>63</v>
      </c>
      <c r="C244" s="39"/>
      <c r="D244" s="39"/>
      <c r="E244" s="39"/>
      <c r="F244" s="39"/>
      <c r="G244" s="39" t="s">
        <v>2</v>
      </c>
      <c r="H244" s="39" t="s">
        <v>2</v>
      </c>
      <c r="I244" s="39"/>
      <c r="J244" s="39"/>
      <c r="K244" s="39"/>
      <c r="L244" s="39"/>
      <c r="M244" s="39"/>
      <c r="N244" s="39" t="s">
        <v>2</v>
      </c>
      <c r="O244" s="39" t="s">
        <v>2</v>
      </c>
      <c r="P244" s="39"/>
      <c r="Q244" s="39"/>
      <c r="R244" s="39"/>
      <c r="S244" s="39"/>
      <c r="T244" s="39"/>
      <c r="U244" s="39" t="s">
        <v>2</v>
      </c>
      <c r="V244" s="39" t="s">
        <v>2</v>
      </c>
      <c r="W244" s="39"/>
      <c r="X244" s="39"/>
      <c r="Y244" s="39"/>
      <c r="Z244" s="39"/>
      <c r="AA244" s="39"/>
      <c r="AB244" s="39" t="s">
        <v>2</v>
      </c>
      <c r="AC244" s="39" t="s">
        <v>2</v>
      </c>
      <c r="AD244" s="39"/>
      <c r="AE244" s="39"/>
      <c r="AF244" s="6"/>
      <c r="AH244" s="20">
        <f>1*COUNTIF(A244:AF244,"+")</f>
        <v>0</v>
      </c>
      <c r="AI244" s="20">
        <f t="shared" ref="AI244" si="29">1*COUNTIF(B244:AF244,"szf")</f>
        <v>0</v>
      </c>
    </row>
    <row r="245" spans="1:35" ht="20.100000000000001" customHeight="1">
      <c r="A245" s="24" t="str">
        <f>ÖSSZES!$A$96</f>
        <v>Besse Éva</v>
      </c>
      <c r="B245" s="19" t="s">
        <v>63</v>
      </c>
      <c r="C245" s="39"/>
      <c r="D245" s="39"/>
      <c r="E245" s="39"/>
      <c r="F245" s="39"/>
      <c r="G245" s="39" t="s">
        <v>2</v>
      </c>
      <c r="H245" s="39" t="s">
        <v>2</v>
      </c>
      <c r="I245" s="39"/>
      <c r="J245" s="39"/>
      <c r="K245" s="39"/>
      <c r="L245" s="39"/>
      <c r="M245" s="39"/>
      <c r="N245" s="39" t="s">
        <v>2</v>
      </c>
      <c r="O245" s="39" t="s">
        <v>2</v>
      </c>
      <c r="P245" s="39"/>
      <c r="Q245" s="39"/>
      <c r="R245" s="39"/>
      <c r="S245" s="39"/>
      <c r="T245" s="39"/>
      <c r="U245" s="39" t="s">
        <v>2</v>
      </c>
      <c r="V245" s="39" t="s">
        <v>2</v>
      </c>
      <c r="W245" s="39"/>
      <c r="X245" s="39"/>
      <c r="Y245" s="39"/>
      <c r="Z245" s="39"/>
      <c r="AA245" s="39"/>
      <c r="AB245" s="39" t="s">
        <v>2</v>
      </c>
      <c r="AC245" s="39" t="s">
        <v>2</v>
      </c>
      <c r="AD245" s="39"/>
      <c r="AE245" s="39"/>
      <c r="AF245" s="6"/>
      <c r="AH245" s="20">
        <f t="shared" ref="AH245:AH263" si="30">1*COUNTIF(A245:AF245,"+")</f>
        <v>0</v>
      </c>
      <c r="AI245" s="20">
        <f t="shared" ref="AI245:AI263" si="31">1*COUNTIF(B245:AF245,"szf")</f>
        <v>0</v>
      </c>
    </row>
    <row r="246" spans="1:35" ht="20.100000000000001" customHeight="1">
      <c r="A246" s="24" t="str">
        <f>ÖSSZES!$A$97</f>
        <v>Bulyáki Csaba</v>
      </c>
      <c r="B246" s="19" t="s">
        <v>63</v>
      </c>
      <c r="C246" s="39"/>
      <c r="D246" s="39"/>
      <c r="E246" s="39"/>
      <c r="F246" s="39"/>
      <c r="G246" s="39" t="s">
        <v>2</v>
      </c>
      <c r="H246" s="39" t="s">
        <v>2</v>
      </c>
      <c r="I246" s="39"/>
      <c r="J246" s="39"/>
      <c r="K246" s="39"/>
      <c r="L246" s="39"/>
      <c r="M246" s="39"/>
      <c r="N246" s="39" t="s">
        <v>2</v>
      </c>
      <c r="O246" s="39" t="s">
        <v>2</v>
      </c>
      <c r="P246" s="39"/>
      <c r="Q246" s="39"/>
      <c r="R246" s="39"/>
      <c r="S246" s="39"/>
      <c r="T246" s="39"/>
      <c r="U246" s="39" t="s">
        <v>2</v>
      </c>
      <c r="V246" s="39" t="s">
        <v>2</v>
      </c>
      <c r="W246" s="39"/>
      <c r="X246" s="39"/>
      <c r="Y246" s="39"/>
      <c r="Z246" s="39"/>
      <c r="AA246" s="39"/>
      <c r="AB246" s="39" t="s">
        <v>2</v>
      </c>
      <c r="AC246" s="39" t="s">
        <v>2</v>
      </c>
      <c r="AD246" s="39"/>
      <c r="AE246" s="39"/>
      <c r="AF246" s="6"/>
      <c r="AH246" s="20">
        <f t="shared" si="30"/>
        <v>0</v>
      </c>
      <c r="AI246" s="20">
        <f t="shared" si="31"/>
        <v>0</v>
      </c>
    </row>
    <row r="247" spans="1:35" ht="20.100000000000001" customHeight="1">
      <c r="A247" s="24" t="str">
        <f>ÖSSZES!$A$98</f>
        <v>Dancsi Attila</v>
      </c>
      <c r="B247" s="19" t="s">
        <v>63</v>
      </c>
      <c r="C247" s="39"/>
      <c r="D247" s="39"/>
      <c r="E247" s="39"/>
      <c r="F247" s="39"/>
      <c r="G247" s="39" t="s">
        <v>2</v>
      </c>
      <c r="H247" s="39" t="s">
        <v>2</v>
      </c>
      <c r="I247" s="39"/>
      <c r="J247" s="39"/>
      <c r="K247" s="39"/>
      <c r="L247" s="39"/>
      <c r="M247" s="39"/>
      <c r="N247" s="39" t="s">
        <v>2</v>
      </c>
      <c r="O247" s="39" t="s">
        <v>2</v>
      </c>
      <c r="P247" s="39"/>
      <c r="Q247" s="39"/>
      <c r="R247" s="39"/>
      <c r="S247" s="39"/>
      <c r="T247" s="39"/>
      <c r="U247" s="39" t="s">
        <v>2</v>
      </c>
      <c r="V247" s="39" t="s">
        <v>2</v>
      </c>
      <c r="W247" s="39"/>
      <c r="X247" s="39"/>
      <c r="Y247" s="39"/>
      <c r="Z247" s="39"/>
      <c r="AA247" s="39"/>
      <c r="AB247" s="39" t="s">
        <v>2</v>
      </c>
      <c r="AC247" s="39" t="s">
        <v>2</v>
      </c>
      <c r="AD247" s="39"/>
      <c r="AE247" s="39"/>
      <c r="AF247" s="6"/>
      <c r="AH247" s="20">
        <f t="shared" si="30"/>
        <v>0</v>
      </c>
      <c r="AI247" s="20">
        <f t="shared" si="31"/>
        <v>0</v>
      </c>
    </row>
    <row r="248" spans="1:35" ht="20.100000000000001" customHeight="1">
      <c r="A248" s="24" t="str">
        <f>ÖSSZES!$A$99</f>
        <v>Fekete Tamás</v>
      </c>
      <c r="B248" s="19" t="s">
        <v>63</v>
      </c>
      <c r="C248" s="39"/>
      <c r="D248" s="39"/>
      <c r="E248" s="39"/>
      <c r="F248" s="39"/>
      <c r="G248" s="39" t="s">
        <v>2</v>
      </c>
      <c r="H248" s="39" t="s">
        <v>2</v>
      </c>
      <c r="I248" s="39"/>
      <c r="J248" s="39"/>
      <c r="K248" s="39"/>
      <c r="L248" s="39"/>
      <c r="M248" s="39"/>
      <c r="N248" s="39" t="s">
        <v>2</v>
      </c>
      <c r="O248" s="39" t="s">
        <v>2</v>
      </c>
      <c r="P248" s="39"/>
      <c r="Q248" s="39"/>
      <c r="R248" s="39"/>
      <c r="S248" s="39"/>
      <c r="T248" s="39"/>
      <c r="U248" s="39" t="s">
        <v>2</v>
      </c>
      <c r="V248" s="39" t="s">
        <v>2</v>
      </c>
      <c r="W248" s="39"/>
      <c r="X248" s="39"/>
      <c r="Y248" s="39"/>
      <c r="Z248" s="39"/>
      <c r="AA248" s="39"/>
      <c r="AB248" s="39" t="s">
        <v>2</v>
      </c>
      <c r="AC248" s="39" t="s">
        <v>2</v>
      </c>
      <c r="AD248" s="39"/>
      <c r="AE248" s="39"/>
      <c r="AF248" s="6"/>
      <c r="AH248" s="20">
        <f t="shared" si="30"/>
        <v>0</v>
      </c>
      <c r="AI248" s="20">
        <f t="shared" si="31"/>
        <v>0</v>
      </c>
    </row>
    <row r="249" spans="1:35" ht="20.100000000000001" customHeight="1">
      <c r="A249" s="24" t="str">
        <f>ÖSSZES!$A$100</f>
        <v>Iványi Roland</v>
      </c>
      <c r="B249" s="19" t="s">
        <v>63</v>
      </c>
      <c r="C249" s="39"/>
      <c r="D249" s="39"/>
      <c r="E249" s="39"/>
      <c r="F249" s="39"/>
      <c r="G249" s="39" t="s">
        <v>2</v>
      </c>
      <c r="H249" s="39" t="s">
        <v>2</v>
      </c>
      <c r="I249" s="39"/>
      <c r="J249" s="39"/>
      <c r="K249" s="39"/>
      <c r="L249" s="39"/>
      <c r="M249" s="39"/>
      <c r="N249" s="39" t="s">
        <v>2</v>
      </c>
      <c r="O249" s="39" t="s">
        <v>2</v>
      </c>
      <c r="P249" s="39"/>
      <c r="Q249" s="39"/>
      <c r="R249" s="39"/>
      <c r="S249" s="39"/>
      <c r="T249" s="39"/>
      <c r="U249" s="39" t="s">
        <v>2</v>
      </c>
      <c r="V249" s="39" t="s">
        <v>2</v>
      </c>
      <c r="W249" s="39"/>
      <c r="X249" s="39"/>
      <c r="Y249" s="39"/>
      <c r="Z249" s="39"/>
      <c r="AA249" s="39"/>
      <c r="AB249" s="39" t="s">
        <v>2</v>
      </c>
      <c r="AC249" s="39" t="s">
        <v>2</v>
      </c>
      <c r="AD249" s="39"/>
      <c r="AE249" s="39"/>
      <c r="AF249" s="6"/>
      <c r="AH249" s="20">
        <f t="shared" si="30"/>
        <v>0</v>
      </c>
      <c r="AI249" s="20">
        <f t="shared" si="31"/>
        <v>0</v>
      </c>
    </row>
    <row r="250" spans="1:35" ht="20.100000000000001" customHeight="1">
      <c r="A250" s="24" t="str">
        <f>ÖSSZES!$A$101</f>
        <v>Oláh Erika</v>
      </c>
      <c r="B250" s="19" t="s">
        <v>63</v>
      </c>
      <c r="C250" s="39"/>
      <c r="D250" s="39"/>
      <c r="E250" s="39"/>
      <c r="F250" s="39"/>
      <c r="G250" s="39" t="s">
        <v>2</v>
      </c>
      <c r="H250" s="39" t="s">
        <v>2</v>
      </c>
      <c r="I250" s="39"/>
      <c r="J250" s="39"/>
      <c r="K250" s="39"/>
      <c r="L250" s="39"/>
      <c r="M250" s="39"/>
      <c r="N250" s="39" t="s">
        <v>2</v>
      </c>
      <c r="O250" s="39" t="s">
        <v>2</v>
      </c>
      <c r="P250" s="39"/>
      <c r="Q250" s="39"/>
      <c r="R250" s="39"/>
      <c r="S250" s="39"/>
      <c r="T250" s="39"/>
      <c r="U250" s="39" t="s">
        <v>2</v>
      </c>
      <c r="V250" s="39" t="s">
        <v>2</v>
      </c>
      <c r="W250" s="39"/>
      <c r="X250" s="39"/>
      <c r="Y250" s="39"/>
      <c r="Z250" s="39"/>
      <c r="AA250" s="39"/>
      <c r="AB250" s="39" t="s">
        <v>2</v>
      </c>
      <c r="AC250" s="39" t="s">
        <v>2</v>
      </c>
      <c r="AD250" s="39"/>
      <c r="AE250" s="39"/>
      <c r="AF250" s="6"/>
      <c r="AH250" s="20">
        <f t="shared" si="30"/>
        <v>0</v>
      </c>
      <c r="AI250" s="20">
        <f t="shared" si="31"/>
        <v>0</v>
      </c>
    </row>
    <row r="251" spans="1:35" ht="20.100000000000001" customHeight="1">
      <c r="A251" s="24" t="str">
        <f>ÖSSZES!$A$102</f>
        <v>Tóth János</v>
      </c>
      <c r="B251" s="19" t="s">
        <v>63</v>
      </c>
      <c r="C251" s="39"/>
      <c r="D251" s="39"/>
      <c r="E251" s="39"/>
      <c r="F251" s="39"/>
      <c r="G251" s="39" t="s">
        <v>2</v>
      </c>
      <c r="H251" s="39" t="s">
        <v>2</v>
      </c>
      <c r="I251" s="39"/>
      <c r="J251" s="39"/>
      <c r="K251" s="39"/>
      <c r="L251" s="39"/>
      <c r="M251" s="39"/>
      <c r="N251" s="39" t="s">
        <v>2</v>
      </c>
      <c r="O251" s="39" t="s">
        <v>2</v>
      </c>
      <c r="P251" s="39"/>
      <c r="Q251" s="39"/>
      <c r="R251" s="39"/>
      <c r="S251" s="39"/>
      <c r="T251" s="39"/>
      <c r="U251" s="39" t="s">
        <v>2</v>
      </c>
      <c r="V251" s="39" t="s">
        <v>2</v>
      </c>
      <c r="W251" s="39"/>
      <c r="X251" s="39"/>
      <c r="Y251" s="39"/>
      <c r="Z251" s="39"/>
      <c r="AA251" s="39"/>
      <c r="AB251" s="39" t="s">
        <v>2</v>
      </c>
      <c r="AC251" s="39" t="s">
        <v>2</v>
      </c>
      <c r="AD251" s="39"/>
      <c r="AE251" s="39"/>
      <c r="AF251" s="6"/>
      <c r="AH251" s="20">
        <f t="shared" si="30"/>
        <v>0</v>
      </c>
      <c r="AI251" s="20">
        <f t="shared" si="31"/>
        <v>0</v>
      </c>
    </row>
    <row r="252" spans="1:35" ht="20.100000000000001" customHeight="1">
      <c r="A252" s="24" t="str">
        <f>ÖSSZES!$A$103</f>
        <v>Tóth Krisztián</v>
      </c>
      <c r="B252" s="19" t="s">
        <v>63</v>
      </c>
      <c r="C252" s="39"/>
      <c r="D252" s="39"/>
      <c r="E252" s="39"/>
      <c r="F252" s="39"/>
      <c r="G252" s="39" t="s">
        <v>2</v>
      </c>
      <c r="H252" s="39" t="s">
        <v>2</v>
      </c>
      <c r="I252" s="39"/>
      <c r="J252" s="39"/>
      <c r="K252" s="39"/>
      <c r="L252" s="39"/>
      <c r="M252" s="39"/>
      <c r="N252" s="39" t="s">
        <v>2</v>
      </c>
      <c r="O252" s="39" t="s">
        <v>2</v>
      </c>
      <c r="P252" s="39"/>
      <c r="Q252" s="39"/>
      <c r="R252" s="39"/>
      <c r="S252" s="39"/>
      <c r="T252" s="39"/>
      <c r="U252" s="39" t="s">
        <v>2</v>
      </c>
      <c r="V252" s="39" t="s">
        <v>2</v>
      </c>
      <c r="W252" s="39"/>
      <c r="X252" s="39"/>
      <c r="Y252" s="39"/>
      <c r="Z252" s="39"/>
      <c r="AA252" s="39"/>
      <c r="AB252" s="39" t="s">
        <v>2</v>
      </c>
      <c r="AC252" s="39" t="s">
        <v>2</v>
      </c>
      <c r="AD252" s="39"/>
      <c r="AE252" s="39"/>
      <c r="AF252" s="6"/>
      <c r="AH252" s="20">
        <f t="shared" si="30"/>
        <v>0</v>
      </c>
      <c r="AI252" s="20">
        <f t="shared" si="31"/>
        <v>0</v>
      </c>
    </row>
    <row r="253" spans="1:35" ht="20.100000000000001" hidden="1" customHeight="1">
      <c r="A253" s="24" t="str">
        <f>ÖSSZES!$A$104</f>
        <v>Név10</v>
      </c>
      <c r="B253" s="19" t="s">
        <v>63</v>
      </c>
      <c r="C253" s="39"/>
      <c r="D253" s="39"/>
      <c r="E253" s="39"/>
      <c r="F253" s="39"/>
      <c r="G253" s="39" t="s">
        <v>2</v>
      </c>
      <c r="H253" s="39" t="s">
        <v>2</v>
      </c>
      <c r="I253" s="39"/>
      <c r="J253" s="39"/>
      <c r="K253" s="39"/>
      <c r="L253" s="39"/>
      <c r="M253" s="39"/>
      <c r="N253" s="39" t="s">
        <v>2</v>
      </c>
      <c r="O253" s="39" t="s">
        <v>2</v>
      </c>
      <c r="P253" s="39"/>
      <c r="Q253" s="39"/>
      <c r="R253" s="39"/>
      <c r="S253" s="39"/>
      <c r="T253" s="39"/>
      <c r="U253" s="39" t="s">
        <v>2</v>
      </c>
      <c r="V253" s="39" t="s">
        <v>2</v>
      </c>
      <c r="W253" s="39"/>
      <c r="X253" s="39"/>
      <c r="Y253" s="39"/>
      <c r="Z253" s="39"/>
      <c r="AA253" s="39"/>
      <c r="AB253" s="39" t="s">
        <v>2</v>
      </c>
      <c r="AC253" s="39" t="s">
        <v>2</v>
      </c>
      <c r="AD253" s="39"/>
      <c r="AE253" s="39"/>
      <c r="AF253" s="6"/>
      <c r="AH253" s="20">
        <f t="shared" si="30"/>
        <v>0</v>
      </c>
      <c r="AI253" s="20">
        <f t="shared" si="31"/>
        <v>0</v>
      </c>
    </row>
    <row r="254" spans="1:35" ht="20.100000000000001" hidden="1" customHeight="1">
      <c r="A254" s="24" t="str">
        <f>ÖSSZES!$A$105</f>
        <v>Név11</v>
      </c>
      <c r="B254" s="19" t="s">
        <v>63</v>
      </c>
      <c r="C254" s="39"/>
      <c r="D254" s="39"/>
      <c r="E254" s="39"/>
      <c r="F254" s="39"/>
      <c r="G254" s="39" t="s">
        <v>2</v>
      </c>
      <c r="H254" s="39" t="s">
        <v>2</v>
      </c>
      <c r="I254" s="39"/>
      <c r="J254" s="39"/>
      <c r="K254" s="39"/>
      <c r="L254" s="39"/>
      <c r="M254" s="39"/>
      <c r="N254" s="39" t="s">
        <v>2</v>
      </c>
      <c r="O254" s="39" t="s">
        <v>2</v>
      </c>
      <c r="P254" s="39"/>
      <c r="Q254" s="39"/>
      <c r="R254" s="39"/>
      <c r="S254" s="39"/>
      <c r="T254" s="39"/>
      <c r="U254" s="39" t="s">
        <v>2</v>
      </c>
      <c r="V254" s="39" t="s">
        <v>2</v>
      </c>
      <c r="W254" s="39"/>
      <c r="X254" s="39"/>
      <c r="Y254" s="39"/>
      <c r="Z254" s="39"/>
      <c r="AA254" s="39"/>
      <c r="AB254" s="39" t="s">
        <v>2</v>
      </c>
      <c r="AC254" s="39" t="s">
        <v>2</v>
      </c>
      <c r="AD254" s="39"/>
      <c r="AE254" s="39"/>
      <c r="AF254" s="6"/>
      <c r="AH254" s="20">
        <f t="shared" si="30"/>
        <v>0</v>
      </c>
      <c r="AI254" s="20">
        <f t="shared" si="31"/>
        <v>0</v>
      </c>
    </row>
    <row r="255" spans="1:35" ht="20.100000000000001" hidden="1" customHeight="1">
      <c r="A255" s="24" t="str">
        <f>ÖSSZES!$A$106</f>
        <v>Név12</v>
      </c>
      <c r="B255" s="19" t="s">
        <v>63</v>
      </c>
      <c r="C255" s="39"/>
      <c r="D255" s="39"/>
      <c r="E255" s="39"/>
      <c r="F255" s="39"/>
      <c r="G255" s="39" t="s">
        <v>2</v>
      </c>
      <c r="H255" s="39" t="s">
        <v>2</v>
      </c>
      <c r="I255" s="39"/>
      <c r="J255" s="39"/>
      <c r="K255" s="39"/>
      <c r="L255" s="39"/>
      <c r="M255" s="39"/>
      <c r="N255" s="39" t="s">
        <v>2</v>
      </c>
      <c r="O255" s="39" t="s">
        <v>2</v>
      </c>
      <c r="P255" s="39"/>
      <c r="Q255" s="39"/>
      <c r="R255" s="39"/>
      <c r="S255" s="39"/>
      <c r="T255" s="39"/>
      <c r="U255" s="39" t="s">
        <v>2</v>
      </c>
      <c r="V255" s="39" t="s">
        <v>2</v>
      </c>
      <c r="W255" s="39"/>
      <c r="X255" s="39"/>
      <c r="Y255" s="39"/>
      <c r="Z255" s="39"/>
      <c r="AA255" s="39"/>
      <c r="AB255" s="39" t="s">
        <v>2</v>
      </c>
      <c r="AC255" s="39" t="s">
        <v>2</v>
      </c>
      <c r="AD255" s="39"/>
      <c r="AE255" s="39"/>
      <c r="AF255" s="6"/>
      <c r="AH255" s="20">
        <f t="shared" si="30"/>
        <v>0</v>
      </c>
      <c r="AI255" s="20">
        <f t="shared" si="31"/>
        <v>0</v>
      </c>
    </row>
    <row r="256" spans="1:35" ht="20.100000000000001" hidden="1" customHeight="1">
      <c r="A256" s="24" t="str">
        <f>ÖSSZES!$A$107</f>
        <v>Név13</v>
      </c>
      <c r="B256" s="19" t="s">
        <v>63</v>
      </c>
      <c r="C256" s="39"/>
      <c r="D256" s="39"/>
      <c r="E256" s="39"/>
      <c r="F256" s="39"/>
      <c r="G256" s="39" t="s">
        <v>2</v>
      </c>
      <c r="H256" s="39" t="s">
        <v>2</v>
      </c>
      <c r="I256" s="39"/>
      <c r="J256" s="39"/>
      <c r="K256" s="39"/>
      <c r="L256" s="39"/>
      <c r="M256" s="39"/>
      <c r="N256" s="39" t="s">
        <v>2</v>
      </c>
      <c r="O256" s="39" t="s">
        <v>2</v>
      </c>
      <c r="P256" s="39"/>
      <c r="Q256" s="39"/>
      <c r="R256" s="39"/>
      <c r="S256" s="39"/>
      <c r="T256" s="39"/>
      <c r="U256" s="39" t="s">
        <v>2</v>
      </c>
      <c r="V256" s="39" t="s">
        <v>2</v>
      </c>
      <c r="W256" s="39"/>
      <c r="X256" s="39"/>
      <c r="Y256" s="39"/>
      <c r="Z256" s="39"/>
      <c r="AA256" s="39"/>
      <c r="AB256" s="39" t="s">
        <v>2</v>
      </c>
      <c r="AC256" s="39" t="s">
        <v>2</v>
      </c>
      <c r="AD256" s="39"/>
      <c r="AE256" s="39"/>
      <c r="AF256" s="6"/>
      <c r="AH256" s="20">
        <f t="shared" si="30"/>
        <v>0</v>
      </c>
      <c r="AI256" s="20">
        <f t="shared" si="31"/>
        <v>0</v>
      </c>
    </row>
    <row r="257" spans="1:35" ht="20.100000000000001" hidden="1" customHeight="1">
      <c r="A257" s="24" t="str">
        <f>ÖSSZES!$A$108</f>
        <v>Név14</v>
      </c>
      <c r="B257" s="19" t="s">
        <v>63</v>
      </c>
      <c r="C257" s="39"/>
      <c r="D257" s="39"/>
      <c r="E257" s="39"/>
      <c r="F257" s="39"/>
      <c r="G257" s="39" t="s">
        <v>2</v>
      </c>
      <c r="H257" s="39" t="s">
        <v>2</v>
      </c>
      <c r="I257" s="39"/>
      <c r="J257" s="39"/>
      <c r="K257" s="39"/>
      <c r="L257" s="39"/>
      <c r="M257" s="39"/>
      <c r="N257" s="39" t="s">
        <v>2</v>
      </c>
      <c r="O257" s="39" t="s">
        <v>2</v>
      </c>
      <c r="P257" s="39"/>
      <c r="Q257" s="39"/>
      <c r="R257" s="39"/>
      <c r="S257" s="39"/>
      <c r="T257" s="39"/>
      <c r="U257" s="39" t="s">
        <v>2</v>
      </c>
      <c r="V257" s="39" t="s">
        <v>2</v>
      </c>
      <c r="W257" s="39"/>
      <c r="X257" s="39"/>
      <c r="Y257" s="39"/>
      <c r="Z257" s="39"/>
      <c r="AA257" s="39"/>
      <c r="AB257" s="39" t="s">
        <v>2</v>
      </c>
      <c r="AC257" s="39" t="s">
        <v>2</v>
      </c>
      <c r="AD257" s="39"/>
      <c r="AE257" s="39"/>
      <c r="AF257" s="6"/>
      <c r="AH257" s="20">
        <f t="shared" si="30"/>
        <v>0</v>
      </c>
      <c r="AI257" s="20">
        <f t="shared" si="31"/>
        <v>0</v>
      </c>
    </row>
    <row r="258" spans="1:35" ht="20.100000000000001" hidden="1" customHeight="1">
      <c r="A258" s="24" t="str">
        <f>ÖSSZES!$A$109</f>
        <v>Név15</v>
      </c>
      <c r="B258" s="19" t="s">
        <v>63</v>
      </c>
      <c r="C258" s="39"/>
      <c r="D258" s="39"/>
      <c r="E258" s="39"/>
      <c r="F258" s="39"/>
      <c r="G258" s="39" t="s">
        <v>2</v>
      </c>
      <c r="H258" s="39" t="s">
        <v>2</v>
      </c>
      <c r="I258" s="39"/>
      <c r="J258" s="39"/>
      <c r="K258" s="39"/>
      <c r="L258" s="39"/>
      <c r="M258" s="39"/>
      <c r="N258" s="39" t="s">
        <v>2</v>
      </c>
      <c r="O258" s="39" t="s">
        <v>2</v>
      </c>
      <c r="P258" s="39"/>
      <c r="Q258" s="39"/>
      <c r="R258" s="39"/>
      <c r="S258" s="39"/>
      <c r="T258" s="39"/>
      <c r="U258" s="39" t="s">
        <v>2</v>
      </c>
      <c r="V258" s="39" t="s">
        <v>2</v>
      </c>
      <c r="W258" s="39"/>
      <c r="X258" s="39"/>
      <c r="Y258" s="39"/>
      <c r="Z258" s="39"/>
      <c r="AA258" s="39"/>
      <c r="AB258" s="39" t="s">
        <v>2</v>
      </c>
      <c r="AC258" s="39" t="s">
        <v>2</v>
      </c>
      <c r="AD258" s="39"/>
      <c r="AE258" s="39"/>
      <c r="AF258" s="6"/>
      <c r="AH258" s="20">
        <f t="shared" si="30"/>
        <v>0</v>
      </c>
      <c r="AI258" s="20">
        <f t="shared" si="31"/>
        <v>0</v>
      </c>
    </row>
    <row r="259" spans="1:35" ht="20.100000000000001" hidden="1" customHeight="1">
      <c r="A259" s="24" t="str">
        <f>ÖSSZES!$A$110</f>
        <v>Név16</v>
      </c>
      <c r="B259" s="19" t="s">
        <v>63</v>
      </c>
      <c r="C259" s="39"/>
      <c r="D259" s="39"/>
      <c r="E259" s="39"/>
      <c r="F259" s="39"/>
      <c r="G259" s="39" t="s">
        <v>2</v>
      </c>
      <c r="H259" s="39" t="s">
        <v>2</v>
      </c>
      <c r="I259" s="39"/>
      <c r="J259" s="39"/>
      <c r="K259" s="39"/>
      <c r="L259" s="39"/>
      <c r="M259" s="39"/>
      <c r="N259" s="39" t="s">
        <v>2</v>
      </c>
      <c r="O259" s="39" t="s">
        <v>2</v>
      </c>
      <c r="P259" s="39"/>
      <c r="Q259" s="39"/>
      <c r="R259" s="39"/>
      <c r="S259" s="39"/>
      <c r="T259" s="39"/>
      <c r="U259" s="39" t="s">
        <v>2</v>
      </c>
      <c r="V259" s="39" t="s">
        <v>2</v>
      </c>
      <c r="W259" s="39"/>
      <c r="X259" s="39"/>
      <c r="Y259" s="39"/>
      <c r="Z259" s="39"/>
      <c r="AA259" s="39"/>
      <c r="AB259" s="39" t="s">
        <v>2</v>
      </c>
      <c r="AC259" s="39" t="s">
        <v>2</v>
      </c>
      <c r="AD259" s="39"/>
      <c r="AE259" s="39"/>
      <c r="AF259" s="6"/>
      <c r="AH259" s="20">
        <f t="shared" si="30"/>
        <v>0</v>
      </c>
      <c r="AI259" s="20">
        <f t="shared" si="31"/>
        <v>0</v>
      </c>
    </row>
    <row r="260" spans="1:35" ht="20.100000000000001" hidden="1" customHeight="1">
      <c r="A260" s="24" t="str">
        <f>ÖSSZES!$A$111</f>
        <v>Név17</v>
      </c>
      <c r="B260" s="19" t="s">
        <v>63</v>
      </c>
      <c r="C260" s="39"/>
      <c r="D260" s="39"/>
      <c r="E260" s="39"/>
      <c r="F260" s="39"/>
      <c r="G260" s="39" t="s">
        <v>2</v>
      </c>
      <c r="H260" s="39" t="s">
        <v>2</v>
      </c>
      <c r="I260" s="39"/>
      <c r="J260" s="39"/>
      <c r="K260" s="39"/>
      <c r="L260" s="39"/>
      <c r="M260" s="39"/>
      <c r="N260" s="39" t="s">
        <v>2</v>
      </c>
      <c r="O260" s="39" t="s">
        <v>2</v>
      </c>
      <c r="P260" s="39"/>
      <c r="Q260" s="39"/>
      <c r="R260" s="39"/>
      <c r="S260" s="39"/>
      <c r="T260" s="39"/>
      <c r="U260" s="39" t="s">
        <v>2</v>
      </c>
      <c r="V260" s="39" t="s">
        <v>2</v>
      </c>
      <c r="W260" s="39"/>
      <c r="X260" s="39"/>
      <c r="Y260" s="39"/>
      <c r="Z260" s="39"/>
      <c r="AA260" s="39"/>
      <c r="AB260" s="39" t="s">
        <v>2</v>
      </c>
      <c r="AC260" s="39" t="s">
        <v>2</v>
      </c>
      <c r="AD260" s="39"/>
      <c r="AE260" s="39"/>
      <c r="AF260" s="6"/>
      <c r="AH260" s="20">
        <f t="shared" si="30"/>
        <v>0</v>
      </c>
      <c r="AI260" s="20">
        <f t="shared" si="31"/>
        <v>0</v>
      </c>
    </row>
    <row r="261" spans="1:35" ht="20.100000000000001" hidden="1" customHeight="1">
      <c r="A261" s="24" t="str">
        <f>ÖSSZES!$A$112</f>
        <v>Név18</v>
      </c>
      <c r="B261" s="19" t="s">
        <v>63</v>
      </c>
      <c r="C261" s="39"/>
      <c r="D261" s="39"/>
      <c r="E261" s="39"/>
      <c r="F261" s="39"/>
      <c r="G261" s="39" t="s">
        <v>2</v>
      </c>
      <c r="H261" s="39" t="s">
        <v>2</v>
      </c>
      <c r="I261" s="39"/>
      <c r="J261" s="39"/>
      <c r="K261" s="39"/>
      <c r="L261" s="39"/>
      <c r="M261" s="39"/>
      <c r="N261" s="39" t="s">
        <v>2</v>
      </c>
      <c r="O261" s="39" t="s">
        <v>2</v>
      </c>
      <c r="P261" s="39"/>
      <c r="Q261" s="39"/>
      <c r="R261" s="39"/>
      <c r="S261" s="39"/>
      <c r="T261" s="39"/>
      <c r="U261" s="39" t="s">
        <v>2</v>
      </c>
      <c r="V261" s="39" t="s">
        <v>2</v>
      </c>
      <c r="W261" s="39"/>
      <c r="X261" s="39"/>
      <c r="Y261" s="39"/>
      <c r="Z261" s="39"/>
      <c r="AA261" s="39"/>
      <c r="AB261" s="39" t="s">
        <v>2</v>
      </c>
      <c r="AC261" s="39" t="s">
        <v>2</v>
      </c>
      <c r="AD261" s="39"/>
      <c r="AE261" s="39"/>
      <c r="AF261" s="6"/>
      <c r="AH261" s="20">
        <f t="shared" si="30"/>
        <v>0</v>
      </c>
      <c r="AI261" s="20">
        <f t="shared" si="31"/>
        <v>0</v>
      </c>
    </row>
    <row r="262" spans="1:35" ht="20.100000000000001" hidden="1" customHeight="1">
      <c r="A262" s="24" t="str">
        <f>ÖSSZES!$A$113</f>
        <v>Név19</v>
      </c>
      <c r="B262" s="19" t="s">
        <v>63</v>
      </c>
      <c r="C262" s="39"/>
      <c r="D262" s="39"/>
      <c r="E262" s="39"/>
      <c r="F262" s="39"/>
      <c r="G262" s="39" t="s">
        <v>2</v>
      </c>
      <c r="H262" s="39" t="s">
        <v>2</v>
      </c>
      <c r="I262" s="39"/>
      <c r="J262" s="39"/>
      <c r="K262" s="39"/>
      <c r="L262" s="39"/>
      <c r="M262" s="39"/>
      <c r="N262" s="39" t="s">
        <v>2</v>
      </c>
      <c r="O262" s="39" t="s">
        <v>2</v>
      </c>
      <c r="P262" s="39"/>
      <c r="Q262" s="39"/>
      <c r="R262" s="39"/>
      <c r="S262" s="39"/>
      <c r="T262" s="39"/>
      <c r="U262" s="39" t="s">
        <v>2</v>
      </c>
      <c r="V262" s="39" t="s">
        <v>2</v>
      </c>
      <c r="W262" s="39"/>
      <c r="X262" s="39"/>
      <c r="Y262" s="39"/>
      <c r="Z262" s="39"/>
      <c r="AA262" s="39"/>
      <c r="AB262" s="39" t="s">
        <v>2</v>
      </c>
      <c r="AC262" s="39" t="s">
        <v>2</v>
      </c>
      <c r="AD262" s="39"/>
      <c r="AE262" s="39"/>
      <c r="AF262" s="6"/>
      <c r="AH262" s="20">
        <f t="shared" si="30"/>
        <v>0</v>
      </c>
      <c r="AI262" s="20">
        <f t="shared" si="31"/>
        <v>0</v>
      </c>
    </row>
    <row r="263" spans="1:35" ht="20.100000000000001" hidden="1" customHeight="1">
      <c r="A263" s="24" t="str">
        <f>ÖSSZES!$A$114</f>
        <v>Név20</v>
      </c>
      <c r="B263" s="19" t="s">
        <v>63</v>
      </c>
      <c r="C263" s="39"/>
      <c r="D263" s="39"/>
      <c r="E263" s="39"/>
      <c r="F263" s="39"/>
      <c r="G263" s="39" t="s">
        <v>2</v>
      </c>
      <c r="H263" s="39" t="s">
        <v>2</v>
      </c>
      <c r="I263" s="39"/>
      <c r="J263" s="39"/>
      <c r="K263" s="39"/>
      <c r="L263" s="39"/>
      <c r="M263" s="39"/>
      <c r="N263" s="39" t="s">
        <v>2</v>
      </c>
      <c r="O263" s="39" t="s">
        <v>2</v>
      </c>
      <c r="P263" s="39"/>
      <c r="Q263" s="39"/>
      <c r="R263" s="39"/>
      <c r="S263" s="39"/>
      <c r="T263" s="39"/>
      <c r="U263" s="39" t="s">
        <v>2</v>
      </c>
      <c r="V263" s="39" t="s">
        <v>2</v>
      </c>
      <c r="W263" s="39"/>
      <c r="X263" s="39"/>
      <c r="Y263" s="39"/>
      <c r="Z263" s="39"/>
      <c r="AA263" s="39"/>
      <c r="AB263" s="39" t="s">
        <v>2</v>
      </c>
      <c r="AC263" s="39" t="s">
        <v>2</v>
      </c>
      <c r="AD263" s="39"/>
      <c r="AE263" s="39"/>
      <c r="AF263" s="6"/>
      <c r="AH263" s="20">
        <f t="shared" si="30"/>
        <v>0</v>
      </c>
      <c r="AI263" s="20">
        <f t="shared" si="31"/>
        <v>0</v>
      </c>
    </row>
    <row r="264" spans="1:35" s="18" customFormat="1" ht="20.100000000000001" customHeight="1">
      <c r="A264" s="1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H264" s="14"/>
      <c r="AI264" s="14"/>
    </row>
    <row r="265" spans="1:35" s="11" customFormat="1" ht="20.100000000000001" customHeight="1">
      <c r="A265" s="57" t="s">
        <v>16</v>
      </c>
      <c r="B265" s="23">
        <v>1</v>
      </c>
      <c r="C265" s="23">
        <v>2</v>
      </c>
      <c r="D265" s="23">
        <v>3</v>
      </c>
      <c r="E265" s="23">
        <v>4</v>
      </c>
      <c r="F265" s="23">
        <v>5</v>
      </c>
      <c r="G265" s="23">
        <v>6</v>
      </c>
      <c r="H265" s="23">
        <v>7</v>
      </c>
      <c r="I265" s="23">
        <v>8</v>
      </c>
      <c r="J265" s="23">
        <v>9</v>
      </c>
      <c r="K265" s="23">
        <v>10</v>
      </c>
      <c r="L265" s="23">
        <v>11</v>
      </c>
      <c r="M265" s="23">
        <v>12</v>
      </c>
      <c r="N265" s="23">
        <v>13</v>
      </c>
      <c r="O265" s="23">
        <v>14</v>
      </c>
      <c r="P265" s="23">
        <v>15</v>
      </c>
      <c r="Q265" s="23">
        <v>16</v>
      </c>
      <c r="R265" s="23">
        <v>17</v>
      </c>
      <c r="S265" s="23">
        <v>18</v>
      </c>
      <c r="T265" s="23">
        <v>19</v>
      </c>
      <c r="U265" s="23">
        <v>20</v>
      </c>
      <c r="V265" s="23">
        <v>21</v>
      </c>
      <c r="W265" s="23">
        <v>22</v>
      </c>
      <c r="X265" s="23">
        <v>23</v>
      </c>
      <c r="Y265" s="23">
        <v>24</v>
      </c>
      <c r="Z265" s="25">
        <v>25</v>
      </c>
      <c r="AA265" s="25">
        <v>26</v>
      </c>
      <c r="AB265" s="23">
        <v>27</v>
      </c>
      <c r="AC265" s="23">
        <v>28</v>
      </c>
      <c r="AD265" s="23">
        <v>29</v>
      </c>
      <c r="AE265" s="23">
        <v>30</v>
      </c>
      <c r="AF265" s="23">
        <v>31</v>
      </c>
      <c r="AH265" s="59" t="s">
        <v>18</v>
      </c>
      <c r="AI265" s="59" t="s">
        <v>19</v>
      </c>
    </row>
    <row r="266" spans="1:35" ht="20.100000000000001" customHeight="1">
      <c r="A266" s="61"/>
      <c r="B266" s="15" t="str">
        <f>'2021'!B92</f>
        <v>Sze</v>
      </c>
      <c r="C266" s="15" t="str">
        <f>'2021'!C92</f>
        <v>Cs</v>
      </c>
      <c r="D266" s="15" t="str">
        <f>'2021'!D92</f>
        <v>P</v>
      </c>
      <c r="E266" s="15" t="str">
        <f>'2021'!E92</f>
        <v>Szo</v>
      </c>
      <c r="F266" s="15" t="str">
        <f>'2021'!F92</f>
        <v>V</v>
      </c>
      <c r="G266" s="15" t="str">
        <f>'2021'!G92</f>
        <v>H</v>
      </c>
      <c r="H266" s="15" t="str">
        <f>'2021'!H92</f>
        <v>K</v>
      </c>
      <c r="I266" s="15" t="str">
        <f>'2021'!I92</f>
        <v>Sze</v>
      </c>
      <c r="J266" s="15" t="str">
        <f>'2021'!J92</f>
        <v>Cs</v>
      </c>
      <c r="K266" s="15" t="str">
        <f>'2021'!K92</f>
        <v>P</v>
      </c>
      <c r="L266" s="15" t="str">
        <f>'2021'!L92</f>
        <v>Szo</v>
      </c>
      <c r="M266" s="15" t="str">
        <f>'2021'!M92</f>
        <v>V</v>
      </c>
      <c r="N266" s="15" t="str">
        <f>'2021'!N92</f>
        <v>H</v>
      </c>
      <c r="O266" s="15" t="str">
        <f>'2021'!O92</f>
        <v>K</v>
      </c>
      <c r="P266" s="15" t="str">
        <f>'2021'!P92</f>
        <v>Sze</v>
      </c>
      <c r="Q266" s="15" t="str">
        <f>'2021'!Q92</f>
        <v>Cs</v>
      </c>
      <c r="R266" s="15" t="str">
        <f>'2021'!R92</f>
        <v>P</v>
      </c>
      <c r="S266" s="15" t="str">
        <f>'2021'!S92</f>
        <v>Szo</v>
      </c>
      <c r="T266" s="15" t="str">
        <f>'2021'!T92</f>
        <v>V</v>
      </c>
      <c r="U266" s="15" t="str">
        <f>'2021'!U92</f>
        <v>H</v>
      </c>
      <c r="V266" s="15" t="str">
        <f>'2021'!V92</f>
        <v>K</v>
      </c>
      <c r="W266" s="15" t="str">
        <f>'2021'!W92</f>
        <v>Sze</v>
      </c>
      <c r="X266" s="15" t="str">
        <f>'2021'!X92</f>
        <v>Cs</v>
      </c>
      <c r="Y266" s="15" t="str">
        <f>'2021'!Y92</f>
        <v>P</v>
      </c>
      <c r="Z266" s="15" t="str">
        <f>'2021'!Z92</f>
        <v>Szo</v>
      </c>
      <c r="AA266" s="15" t="str">
        <f>'2021'!AA92</f>
        <v>V</v>
      </c>
      <c r="AB266" s="15" t="str">
        <f>'2021'!AB92</f>
        <v>H</v>
      </c>
      <c r="AC266" s="15" t="str">
        <f>'2021'!AC92</f>
        <v>K</v>
      </c>
      <c r="AD266" s="15" t="str">
        <f>'2021'!AD92</f>
        <v>Sze</v>
      </c>
      <c r="AE266" s="15" t="str">
        <f>'2021'!AE92</f>
        <v>Cs</v>
      </c>
      <c r="AF266" s="15" t="str">
        <f>'2021'!AF92</f>
        <v>P</v>
      </c>
      <c r="AH266" s="60"/>
      <c r="AI266" s="60"/>
    </row>
    <row r="267" spans="1:35" ht="20.100000000000001" customHeight="1">
      <c r="A267" s="61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H267" s="60"/>
      <c r="AI267" s="60"/>
    </row>
    <row r="268" spans="1:35" ht="20.100000000000001" customHeight="1">
      <c r="A268" s="24" t="str">
        <f>ÖSSZES!$A$95</f>
        <v>Kovács Kriszitán</v>
      </c>
      <c r="B268" s="39"/>
      <c r="C268" s="39"/>
      <c r="D268" s="39"/>
      <c r="E268" s="39" t="s">
        <v>2</v>
      </c>
      <c r="F268" s="39" t="s">
        <v>2</v>
      </c>
      <c r="G268" s="39"/>
      <c r="H268" s="39"/>
      <c r="I268" s="39"/>
      <c r="J268" s="39"/>
      <c r="K268" s="39"/>
      <c r="L268" s="39" t="s">
        <v>2</v>
      </c>
      <c r="M268" s="39" t="s">
        <v>2</v>
      </c>
      <c r="N268" s="39"/>
      <c r="O268" s="39"/>
      <c r="P268" s="39"/>
      <c r="Q268" s="39"/>
      <c r="R268" s="39"/>
      <c r="S268" s="39" t="s">
        <v>2</v>
      </c>
      <c r="T268" s="39" t="s">
        <v>2</v>
      </c>
      <c r="U268" s="39"/>
      <c r="V268" s="39"/>
      <c r="W268" s="39"/>
      <c r="X268" s="39"/>
      <c r="Y268" s="39"/>
      <c r="Z268" s="39" t="s">
        <v>2</v>
      </c>
      <c r="AA268" s="39" t="s">
        <v>2</v>
      </c>
      <c r="AB268" s="39"/>
      <c r="AC268" s="39"/>
      <c r="AD268" s="39"/>
      <c r="AE268" s="39"/>
      <c r="AF268" s="39"/>
      <c r="AH268" s="20">
        <f>1*COUNTIF(A268:AF268,"+")</f>
        <v>0</v>
      </c>
      <c r="AI268" s="20">
        <f t="shared" ref="AI268" si="32">1*COUNTIF(B268:AF268,"szf")</f>
        <v>0</v>
      </c>
    </row>
    <row r="269" spans="1:35" ht="20.100000000000001" customHeight="1">
      <c r="A269" s="24" t="str">
        <f>ÖSSZES!$A$96</f>
        <v>Besse Éva</v>
      </c>
      <c r="B269" s="39"/>
      <c r="C269" s="39"/>
      <c r="D269" s="39"/>
      <c r="E269" s="39" t="s">
        <v>2</v>
      </c>
      <c r="F269" s="39" t="s">
        <v>2</v>
      </c>
      <c r="G269" s="39"/>
      <c r="H269" s="39"/>
      <c r="I269" s="39"/>
      <c r="J269" s="39"/>
      <c r="K269" s="39"/>
      <c r="L269" s="39" t="s">
        <v>2</v>
      </c>
      <c r="M269" s="39" t="s">
        <v>2</v>
      </c>
      <c r="N269" s="39"/>
      <c r="O269" s="39"/>
      <c r="P269" s="39"/>
      <c r="Q269" s="39"/>
      <c r="R269" s="39"/>
      <c r="S269" s="39" t="s">
        <v>2</v>
      </c>
      <c r="T269" s="39" t="s">
        <v>2</v>
      </c>
      <c r="U269" s="39"/>
      <c r="V269" s="39"/>
      <c r="W269" s="39"/>
      <c r="X269" s="39"/>
      <c r="Y269" s="39"/>
      <c r="Z269" s="39" t="s">
        <v>2</v>
      </c>
      <c r="AA269" s="39" t="s">
        <v>2</v>
      </c>
      <c r="AB269" s="39"/>
      <c r="AC269" s="39"/>
      <c r="AD269" s="39"/>
      <c r="AE269" s="39"/>
      <c r="AF269" s="39"/>
      <c r="AH269" s="20">
        <f t="shared" ref="AH269:AH287" si="33">1*COUNTIF(A269:AF269,"+")</f>
        <v>0</v>
      </c>
      <c r="AI269" s="20">
        <f t="shared" ref="AI269:AI287" si="34">1*COUNTIF(B269:AF269,"szf")</f>
        <v>0</v>
      </c>
    </row>
    <row r="270" spans="1:35" ht="20.100000000000001" customHeight="1">
      <c r="A270" s="24" t="str">
        <f>ÖSSZES!$A$97</f>
        <v>Bulyáki Csaba</v>
      </c>
      <c r="B270" s="39"/>
      <c r="C270" s="39"/>
      <c r="D270" s="39"/>
      <c r="E270" s="39" t="s">
        <v>2</v>
      </c>
      <c r="F270" s="39" t="s">
        <v>2</v>
      </c>
      <c r="G270" s="39"/>
      <c r="H270" s="39"/>
      <c r="I270" s="39"/>
      <c r="J270" s="39"/>
      <c r="K270" s="39"/>
      <c r="L270" s="39" t="s">
        <v>2</v>
      </c>
      <c r="M270" s="39" t="s">
        <v>2</v>
      </c>
      <c r="N270" s="39"/>
      <c r="O270" s="39"/>
      <c r="P270" s="39"/>
      <c r="Q270" s="39"/>
      <c r="R270" s="39"/>
      <c r="S270" s="39" t="s">
        <v>2</v>
      </c>
      <c r="T270" s="39" t="s">
        <v>2</v>
      </c>
      <c r="U270" s="39"/>
      <c r="V270" s="39"/>
      <c r="W270" s="39"/>
      <c r="X270" s="39"/>
      <c r="Y270" s="39"/>
      <c r="Z270" s="39" t="s">
        <v>2</v>
      </c>
      <c r="AA270" s="39" t="s">
        <v>2</v>
      </c>
      <c r="AB270" s="39"/>
      <c r="AC270" s="39"/>
      <c r="AD270" s="39"/>
      <c r="AE270" s="39"/>
      <c r="AF270" s="39"/>
      <c r="AH270" s="20">
        <f t="shared" si="33"/>
        <v>0</v>
      </c>
      <c r="AI270" s="20">
        <f t="shared" si="34"/>
        <v>0</v>
      </c>
    </row>
    <row r="271" spans="1:35" ht="20.100000000000001" customHeight="1">
      <c r="A271" s="24" t="str">
        <f>ÖSSZES!$A$98</f>
        <v>Dancsi Attila</v>
      </c>
      <c r="B271" s="39"/>
      <c r="C271" s="39"/>
      <c r="D271" s="39"/>
      <c r="E271" s="39" t="s">
        <v>2</v>
      </c>
      <c r="F271" s="39" t="s">
        <v>2</v>
      </c>
      <c r="G271" s="39"/>
      <c r="H271" s="39"/>
      <c r="I271" s="39"/>
      <c r="J271" s="39"/>
      <c r="K271" s="39"/>
      <c r="L271" s="39" t="s">
        <v>2</v>
      </c>
      <c r="M271" s="39" t="s">
        <v>2</v>
      </c>
      <c r="N271" s="39"/>
      <c r="O271" s="39"/>
      <c r="P271" s="39"/>
      <c r="Q271" s="39"/>
      <c r="R271" s="39"/>
      <c r="S271" s="39" t="s">
        <v>2</v>
      </c>
      <c r="T271" s="39" t="s">
        <v>2</v>
      </c>
      <c r="U271" s="39"/>
      <c r="V271" s="39"/>
      <c r="W271" s="39"/>
      <c r="X271" s="39"/>
      <c r="Y271" s="39"/>
      <c r="Z271" s="39" t="s">
        <v>2</v>
      </c>
      <c r="AA271" s="39" t="s">
        <v>2</v>
      </c>
      <c r="AB271" s="39"/>
      <c r="AC271" s="39"/>
      <c r="AD271" s="39"/>
      <c r="AE271" s="39"/>
      <c r="AF271" s="39"/>
      <c r="AH271" s="20">
        <f t="shared" si="33"/>
        <v>0</v>
      </c>
      <c r="AI271" s="20">
        <f t="shared" si="34"/>
        <v>0</v>
      </c>
    </row>
    <row r="272" spans="1:35" ht="20.100000000000001" customHeight="1">
      <c r="A272" s="24" t="str">
        <f>ÖSSZES!$A$99</f>
        <v>Fekete Tamás</v>
      </c>
      <c r="B272" s="39"/>
      <c r="C272" s="39"/>
      <c r="D272" s="39"/>
      <c r="E272" s="39" t="s">
        <v>2</v>
      </c>
      <c r="F272" s="39" t="s">
        <v>2</v>
      </c>
      <c r="G272" s="39"/>
      <c r="H272" s="39"/>
      <c r="I272" s="39"/>
      <c r="J272" s="39"/>
      <c r="K272" s="39"/>
      <c r="L272" s="39" t="s">
        <v>2</v>
      </c>
      <c r="M272" s="39" t="s">
        <v>2</v>
      </c>
      <c r="N272" s="39"/>
      <c r="O272" s="39"/>
      <c r="P272" s="39"/>
      <c r="Q272" s="39"/>
      <c r="R272" s="39"/>
      <c r="S272" s="39" t="s">
        <v>2</v>
      </c>
      <c r="T272" s="39" t="s">
        <v>2</v>
      </c>
      <c r="U272" s="39"/>
      <c r="V272" s="39"/>
      <c r="W272" s="39"/>
      <c r="X272" s="39"/>
      <c r="Y272" s="39"/>
      <c r="Z272" s="39" t="s">
        <v>2</v>
      </c>
      <c r="AA272" s="39" t="s">
        <v>2</v>
      </c>
      <c r="AB272" s="39"/>
      <c r="AC272" s="39"/>
      <c r="AD272" s="39"/>
      <c r="AE272" s="39"/>
      <c r="AF272" s="39"/>
      <c r="AH272" s="20">
        <f t="shared" si="33"/>
        <v>0</v>
      </c>
      <c r="AI272" s="20">
        <f t="shared" si="34"/>
        <v>0</v>
      </c>
    </row>
    <row r="273" spans="1:35" ht="20.100000000000001" customHeight="1">
      <c r="A273" s="24" t="str">
        <f>ÖSSZES!$A$100</f>
        <v>Iványi Roland</v>
      </c>
      <c r="B273" s="39"/>
      <c r="C273" s="39"/>
      <c r="D273" s="39"/>
      <c r="E273" s="39" t="s">
        <v>2</v>
      </c>
      <c r="F273" s="39" t="s">
        <v>2</v>
      </c>
      <c r="G273" s="39"/>
      <c r="H273" s="39"/>
      <c r="I273" s="39"/>
      <c r="J273" s="39"/>
      <c r="K273" s="39"/>
      <c r="L273" s="39" t="s">
        <v>2</v>
      </c>
      <c r="M273" s="39" t="s">
        <v>2</v>
      </c>
      <c r="N273" s="39"/>
      <c r="O273" s="39"/>
      <c r="P273" s="39"/>
      <c r="Q273" s="39"/>
      <c r="R273" s="39"/>
      <c r="S273" s="39" t="s">
        <v>2</v>
      </c>
      <c r="T273" s="39" t="s">
        <v>2</v>
      </c>
      <c r="U273" s="39"/>
      <c r="V273" s="39"/>
      <c r="W273" s="39"/>
      <c r="X273" s="39"/>
      <c r="Y273" s="39"/>
      <c r="Z273" s="39" t="s">
        <v>2</v>
      </c>
      <c r="AA273" s="39" t="s">
        <v>2</v>
      </c>
      <c r="AB273" s="39"/>
      <c r="AC273" s="39"/>
      <c r="AD273" s="39"/>
      <c r="AE273" s="39"/>
      <c r="AF273" s="39"/>
      <c r="AH273" s="20">
        <f t="shared" si="33"/>
        <v>0</v>
      </c>
      <c r="AI273" s="20">
        <f t="shared" si="34"/>
        <v>0</v>
      </c>
    </row>
    <row r="274" spans="1:35" ht="20.100000000000001" customHeight="1">
      <c r="A274" s="24" t="str">
        <f>ÖSSZES!$A$101</f>
        <v>Oláh Erika</v>
      </c>
      <c r="B274" s="39"/>
      <c r="C274" s="39"/>
      <c r="D274" s="39"/>
      <c r="E274" s="39" t="s">
        <v>2</v>
      </c>
      <c r="F274" s="39" t="s">
        <v>2</v>
      </c>
      <c r="G274" s="39"/>
      <c r="H274" s="39"/>
      <c r="I274" s="39"/>
      <c r="J274" s="39"/>
      <c r="K274" s="39"/>
      <c r="L274" s="39" t="s">
        <v>2</v>
      </c>
      <c r="M274" s="39" t="s">
        <v>2</v>
      </c>
      <c r="N274" s="39"/>
      <c r="O274" s="39"/>
      <c r="P274" s="39"/>
      <c r="Q274" s="39"/>
      <c r="R274" s="39"/>
      <c r="S274" s="39" t="s">
        <v>2</v>
      </c>
      <c r="T274" s="39" t="s">
        <v>2</v>
      </c>
      <c r="U274" s="39"/>
      <c r="V274" s="39"/>
      <c r="W274" s="39"/>
      <c r="X274" s="39"/>
      <c r="Y274" s="39"/>
      <c r="Z274" s="39" t="s">
        <v>2</v>
      </c>
      <c r="AA274" s="39" t="s">
        <v>2</v>
      </c>
      <c r="AB274" s="39"/>
      <c r="AC274" s="39"/>
      <c r="AD274" s="39"/>
      <c r="AE274" s="39"/>
      <c r="AF274" s="39"/>
      <c r="AH274" s="20">
        <f t="shared" si="33"/>
        <v>0</v>
      </c>
      <c r="AI274" s="20">
        <f t="shared" si="34"/>
        <v>0</v>
      </c>
    </row>
    <row r="275" spans="1:35" ht="20.100000000000001" customHeight="1">
      <c r="A275" s="24" t="str">
        <f>ÖSSZES!$A$102</f>
        <v>Tóth János</v>
      </c>
      <c r="B275" s="39"/>
      <c r="C275" s="39"/>
      <c r="D275" s="39"/>
      <c r="E275" s="39" t="s">
        <v>2</v>
      </c>
      <c r="F275" s="39" t="s">
        <v>2</v>
      </c>
      <c r="G275" s="39"/>
      <c r="H275" s="39"/>
      <c r="I275" s="39"/>
      <c r="J275" s="39"/>
      <c r="K275" s="39"/>
      <c r="L275" s="39" t="s">
        <v>2</v>
      </c>
      <c r="M275" s="39" t="s">
        <v>2</v>
      </c>
      <c r="N275" s="39"/>
      <c r="O275" s="39"/>
      <c r="P275" s="39"/>
      <c r="Q275" s="39"/>
      <c r="R275" s="39"/>
      <c r="S275" s="39" t="s">
        <v>2</v>
      </c>
      <c r="T275" s="39" t="s">
        <v>2</v>
      </c>
      <c r="U275" s="39"/>
      <c r="V275" s="39"/>
      <c r="W275" s="39"/>
      <c r="X275" s="39"/>
      <c r="Y275" s="39"/>
      <c r="Z275" s="39" t="s">
        <v>2</v>
      </c>
      <c r="AA275" s="39" t="s">
        <v>2</v>
      </c>
      <c r="AB275" s="39"/>
      <c r="AC275" s="39"/>
      <c r="AD275" s="39"/>
      <c r="AE275" s="39"/>
      <c r="AF275" s="39"/>
      <c r="AH275" s="20">
        <f t="shared" si="33"/>
        <v>0</v>
      </c>
      <c r="AI275" s="20">
        <f t="shared" si="34"/>
        <v>0</v>
      </c>
    </row>
    <row r="276" spans="1:35" ht="20.100000000000001" customHeight="1">
      <c r="A276" s="24" t="str">
        <f>ÖSSZES!$A$103</f>
        <v>Tóth Krisztián</v>
      </c>
      <c r="B276" s="39"/>
      <c r="C276" s="39"/>
      <c r="D276" s="39"/>
      <c r="E276" s="39" t="s">
        <v>2</v>
      </c>
      <c r="F276" s="39" t="s">
        <v>2</v>
      </c>
      <c r="G276" s="39"/>
      <c r="H276" s="39"/>
      <c r="I276" s="39"/>
      <c r="J276" s="39"/>
      <c r="K276" s="39"/>
      <c r="L276" s="39" t="s">
        <v>2</v>
      </c>
      <c r="M276" s="39" t="s">
        <v>2</v>
      </c>
      <c r="N276" s="39"/>
      <c r="O276" s="39"/>
      <c r="P276" s="39"/>
      <c r="Q276" s="39"/>
      <c r="R276" s="39"/>
      <c r="S276" s="39" t="s">
        <v>2</v>
      </c>
      <c r="T276" s="39" t="s">
        <v>2</v>
      </c>
      <c r="U276" s="39"/>
      <c r="V276" s="39"/>
      <c r="W276" s="39"/>
      <c r="X276" s="39"/>
      <c r="Y276" s="39"/>
      <c r="Z276" s="39" t="s">
        <v>2</v>
      </c>
      <c r="AA276" s="39" t="s">
        <v>2</v>
      </c>
      <c r="AB276" s="39"/>
      <c r="AC276" s="39"/>
      <c r="AD276" s="39"/>
      <c r="AE276" s="39"/>
      <c r="AF276" s="39"/>
      <c r="AH276" s="20">
        <f t="shared" si="33"/>
        <v>0</v>
      </c>
      <c r="AI276" s="20">
        <f t="shared" si="34"/>
        <v>0</v>
      </c>
    </row>
    <row r="277" spans="1:35" ht="20.100000000000001" hidden="1" customHeight="1">
      <c r="A277" s="24" t="str">
        <f>ÖSSZES!$A$104</f>
        <v>Név10</v>
      </c>
      <c r="B277" s="39"/>
      <c r="C277" s="39"/>
      <c r="D277" s="39"/>
      <c r="E277" s="39" t="s">
        <v>2</v>
      </c>
      <c r="F277" s="39" t="s">
        <v>2</v>
      </c>
      <c r="G277" s="39"/>
      <c r="H277" s="39"/>
      <c r="I277" s="39"/>
      <c r="J277" s="39"/>
      <c r="K277" s="39"/>
      <c r="L277" s="39" t="s">
        <v>2</v>
      </c>
      <c r="M277" s="39" t="s">
        <v>2</v>
      </c>
      <c r="N277" s="39"/>
      <c r="O277" s="39"/>
      <c r="P277" s="39"/>
      <c r="Q277" s="39"/>
      <c r="R277" s="39"/>
      <c r="S277" s="39" t="s">
        <v>2</v>
      </c>
      <c r="T277" s="39" t="s">
        <v>2</v>
      </c>
      <c r="U277" s="39"/>
      <c r="V277" s="39"/>
      <c r="W277" s="39"/>
      <c r="X277" s="39"/>
      <c r="Y277" s="39"/>
      <c r="Z277" s="39" t="s">
        <v>2</v>
      </c>
      <c r="AA277" s="39" t="s">
        <v>2</v>
      </c>
      <c r="AB277" s="39"/>
      <c r="AC277" s="39"/>
      <c r="AD277" s="39"/>
      <c r="AE277" s="39"/>
      <c r="AF277" s="39"/>
      <c r="AH277" s="20">
        <f t="shared" si="33"/>
        <v>0</v>
      </c>
      <c r="AI277" s="20">
        <f t="shared" si="34"/>
        <v>0</v>
      </c>
    </row>
    <row r="278" spans="1:35" ht="20.100000000000001" hidden="1" customHeight="1">
      <c r="A278" s="24" t="str">
        <f>ÖSSZES!$A$105</f>
        <v>Név11</v>
      </c>
      <c r="B278" s="39"/>
      <c r="C278" s="39"/>
      <c r="D278" s="39"/>
      <c r="E278" s="39" t="s">
        <v>2</v>
      </c>
      <c r="F278" s="39" t="s">
        <v>2</v>
      </c>
      <c r="G278" s="39"/>
      <c r="H278" s="39"/>
      <c r="I278" s="39"/>
      <c r="J278" s="39"/>
      <c r="K278" s="39"/>
      <c r="L278" s="39" t="s">
        <v>2</v>
      </c>
      <c r="M278" s="39" t="s">
        <v>2</v>
      </c>
      <c r="N278" s="39"/>
      <c r="O278" s="39"/>
      <c r="P278" s="39"/>
      <c r="Q278" s="39"/>
      <c r="R278" s="39"/>
      <c r="S278" s="39" t="s">
        <v>2</v>
      </c>
      <c r="T278" s="39" t="s">
        <v>2</v>
      </c>
      <c r="U278" s="39"/>
      <c r="V278" s="39"/>
      <c r="W278" s="39"/>
      <c r="X278" s="39"/>
      <c r="Y278" s="39"/>
      <c r="Z278" s="39" t="s">
        <v>2</v>
      </c>
      <c r="AA278" s="39" t="s">
        <v>2</v>
      </c>
      <c r="AB278" s="39"/>
      <c r="AC278" s="39"/>
      <c r="AD278" s="39"/>
      <c r="AE278" s="39"/>
      <c r="AF278" s="39"/>
      <c r="AH278" s="20">
        <f t="shared" si="33"/>
        <v>0</v>
      </c>
      <c r="AI278" s="20">
        <f t="shared" si="34"/>
        <v>0</v>
      </c>
    </row>
    <row r="279" spans="1:35" ht="20.100000000000001" hidden="1" customHeight="1">
      <c r="A279" s="24" t="str">
        <f>ÖSSZES!$A$106</f>
        <v>Név12</v>
      </c>
      <c r="B279" s="39"/>
      <c r="C279" s="39"/>
      <c r="D279" s="39"/>
      <c r="E279" s="39" t="s">
        <v>2</v>
      </c>
      <c r="F279" s="39" t="s">
        <v>2</v>
      </c>
      <c r="G279" s="39"/>
      <c r="H279" s="39"/>
      <c r="I279" s="39"/>
      <c r="J279" s="39"/>
      <c r="K279" s="39"/>
      <c r="L279" s="39" t="s">
        <v>2</v>
      </c>
      <c r="M279" s="39" t="s">
        <v>2</v>
      </c>
      <c r="N279" s="39"/>
      <c r="O279" s="39"/>
      <c r="P279" s="39"/>
      <c r="Q279" s="39"/>
      <c r="R279" s="39"/>
      <c r="S279" s="39" t="s">
        <v>2</v>
      </c>
      <c r="T279" s="39" t="s">
        <v>2</v>
      </c>
      <c r="U279" s="39"/>
      <c r="V279" s="39"/>
      <c r="W279" s="39"/>
      <c r="X279" s="39"/>
      <c r="Y279" s="39"/>
      <c r="Z279" s="39" t="s">
        <v>2</v>
      </c>
      <c r="AA279" s="39" t="s">
        <v>2</v>
      </c>
      <c r="AB279" s="39"/>
      <c r="AC279" s="39"/>
      <c r="AD279" s="39"/>
      <c r="AE279" s="39"/>
      <c r="AF279" s="39"/>
      <c r="AH279" s="20">
        <f t="shared" si="33"/>
        <v>0</v>
      </c>
      <c r="AI279" s="20">
        <f t="shared" si="34"/>
        <v>0</v>
      </c>
    </row>
    <row r="280" spans="1:35" ht="20.100000000000001" hidden="1" customHeight="1">
      <c r="A280" s="24" t="str">
        <f>ÖSSZES!$A$107</f>
        <v>Név13</v>
      </c>
      <c r="B280" s="39"/>
      <c r="C280" s="39"/>
      <c r="D280" s="39"/>
      <c r="E280" s="39" t="s">
        <v>2</v>
      </c>
      <c r="F280" s="39" t="s">
        <v>2</v>
      </c>
      <c r="G280" s="39"/>
      <c r="H280" s="39"/>
      <c r="I280" s="39"/>
      <c r="J280" s="39"/>
      <c r="K280" s="39"/>
      <c r="L280" s="39" t="s">
        <v>2</v>
      </c>
      <c r="M280" s="39" t="s">
        <v>2</v>
      </c>
      <c r="N280" s="39"/>
      <c r="O280" s="39"/>
      <c r="P280" s="39"/>
      <c r="Q280" s="39"/>
      <c r="R280" s="39"/>
      <c r="S280" s="39" t="s">
        <v>2</v>
      </c>
      <c r="T280" s="39" t="s">
        <v>2</v>
      </c>
      <c r="U280" s="39"/>
      <c r="V280" s="39"/>
      <c r="W280" s="39"/>
      <c r="X280" s="39"/>
      <c r="Y280" s="39"/>
      <c r="Z280" s="39" t="s">
        <v>2</v>
      </c>
      <c r="AA280" s="39" t="s">
        <v>2</v>
      </c>
      <c r="AB280" s="39"/>
      <c r="AC280" s="39"/>
      <c r="AD280" s="39"/>
      <c r="AE280" s="39"/>
      <c r="AF280" s="39"/>
      <c r="AH280" s="20">
        <f t="shared" si="33"/>
        <v>0</v>
      </c>
      <c r="AI280" s="20">
        <f t="shared" si="34"/>
        <v>0</v>
      </c>
    </row>
    <row r="281" spans="1:35" ht="20.100000000000001" hidden="1" customHeight="1">
      <c r="A281" s="24" t="str">
        <f>ÖSSZES!$A$108</f>
        <v>Név14</v>
      </c>
      <c r="B281" s="39"/>
      <c r="C281" s="39"/>
      <c r="D281" s="39"/>
      <c r="E281" s="39" t="s">
        <v>2</v>
      </c>
      <c r="F281" s="39" t="s">
        <v>2</v>
      </c>
      <c r="G281" s="39"/>
      <c r="H281" s="39"/>
      <c r="I281" s="39"/>
      <c r="J281" s="39"/>
      <c r="K281" s="39"/>
      <c r="L281" s="39" t="s">
        <v>2</v>
      </c>
      <c r="M281" s="39" t="s">
        <v>2</v>
      </c>
      <c r="N281" s="39"/>
      <c r="O281" s="39"/>
      <c r="P281" s="39"/>
      <c r="Q281" s="39"/>
      <c r="R281" s="39"/>
      <c r="S281" s="39" t="s">
        <v>2</v>
      </c>
      <c r="T281" s="39" t="s">
        <v>2</v>
      </c>
      <c r="U281" s="39"/>
      <c r="V281" s="39"/>
      <c r="W281" s="39"/>
      <c r="X281" s="39"/>
      <c r="Y281" s="39"/>
      <c r="Z281" s="39" t="s">
        <v>2</v>
      </c>
      <c r="AA281" s="39" t="s">
        <v>2</v>
      </c>
      <c r="AB281" s="39"/>
      <c r="AC281" s="39"/>
      <c r="AD281" s="39"/>
      <c r="AE281" s="39"/>
      <c r="AF281" s="39"/>
      <c r="AH281" s="20">
        <f t="shared" si="33"/>
        <v>0</v>
      </c>
      <c r="AI281" s="20">
        <f t="shared" si="34"/>
        <v>0</v>
      </c>
    </row>
    <row r="282" spans="1:35" ht="20.100000000000001" hidden="1" customHeight="1">
      <c r="A282" s="24" t="str">
        <f>ÖSSZES!$A$109</f>
        <v>Név15</v>
      </c>
      <c r="B282" s="39"/>
      <c r="C282" s="39"/>
      <c r="D282" s="39"/>
      <c r="E282" s="39" t="s">
        <v>2</v>
      </c>
      <c r="F282" s="39" t="s">
        <v>2</v>
      </c>
      <c r="G282" s="39"/>
      <c r="H282" s="39"/>
      <c r="I282" s="39"/>
      <c r="J282" s="39"/>
      <c r="K282" s="39"/>
      <c r="L282" s="39" t="s">
        <v>2</v>
      </c>
      <c r="M282" s="39" t="s">
        <v>2</v>
      </c>
      <c r="N282" s="39"/>
      <c r="O282" s="39"/>
      <c r="P282" s="39"/>
      <c r="Q282" s="39"/>
      <c r="R282" s="39"/>
      <c r="S282" s="39" t="s">
        <v>2</v>
      </c>
      <c r="T282" s="39" t="s">
        <v>2</v>
      </c>
      <c r="U282" s="39"/>
      <c r="V282" s="39"/>
      <c r="W282" s="39"/>
      <c r="X282" s="39"/>
      <c r="Y282" s="39"/>
      <c r="Z282" s="39" t="s">
        <v>2</v>
      </c>
      <c r="AA282" s="39" t="s">
        <v>2</v>
      </c>
      <c r="AB282" s="39"/>
      <c r="AC282" s="39"/>
      <c r="AD282" s="39"/>
      <c r="AE282" s="39"/>
      <c r="AF282" s="39"/>
      <c r="AH282" s="20">
        <f t="shared" si="33"/>
        <v>0</v>
      </c>
      <c r="AI282" s="20">
        <f t="shared" si="34"/>
        <v>0</v>
      </c>
    </row>
    <row r="283" spans="1:35" ht="20.100000000000001" hidden="1" customHeight="1">
      <c r="A283" s="24" t="str">
        <f>ÖSSZES!$A$110</f>
        <v>Név16</v>
      </c>
      <c r="B283" s="39"/>
      <c r="C283" s="39"/>
      <c r="D283" s="39"/>
      <c r="E283" s="39" t="s">
        <v>2</v>
      </c>
      <c r="F283" s="39" t="s">
        <v>2</v>
      </c>
      <c r="G283" s="39"/>
      <c r="H283" s="39"/>
      <c r="I283" s="39"/>
      <c r="J283" s="39"/>
      <c r="K283" s="39"/>
      <c r="L283" s="39" t="s">
        <v>2</v>
      </c>
      <c r="M283" s="39" t="s">
        <v>2</v>
      </c>
      <c r="N283" s="39"/>
      <c r="O283" s="39"/>
      <c r="P283" s="39"/>
      <c r="Q283" s="39"/>
      <c r="R283" s="39"/>
      <c r="S283" s="39" t="s">
        <v>2</v>
      </c>
      <c r="T283" s="39" t="s">
        <v>2</v>
      </c>
      <c r="U283" s="39"/>
      <c r="V283" s="39"/>
      <c r="W283" s="39"/>
      <c r="X283" s="39"/>
      <c r="Y283" s="39"/>
      <c r="Z283" s="39" t="s">
        <v>2</v>
      </c>
      <c r="AA283" s="39" t="s">
        <v>2</v>
      </c>
      <c r="AB283" s="39"/>
      <c r="AC283" s="39"/>
      <c r="AD283" s="39"/>
      <c r="AE283" s="39"/>
      <c r="AF283" s="39"/>
      <c r="AH283" s="20">
        <f t="shared" si="33"/>
        <v>0</v>
      </c>
      <c r="AI283" s="20">
        <f t="shared" si="34"/>
        <v>0</v>
      </c>
    </row>
    <row r="284" spans="1:35" ht="20.100000000000001" hidden="1" customHeight="1">
      <c r="A284" s="24" t="str">
        <f>ÖSSZES!$A$111</f>
        <v>Név17</v>
      </c>
      <c r="B284" s="39"/>
      <c r="C284" s="39"/>
      <c r="D284" s="39"/>
      <c r="E284" s="39" t="s">
        <v>2</v>
      </c>
      <c r="F284" s="39" t="s">
        <v>2</v>
      </c>
      <c r="G284" s="39"/>
      <c r="H284" s="39"/>
      <c r="I284" s="39"/>
      <c r="J284" s="39"/>
      <c r="K284" s="39"/>
      <c r="L284" s="39" t="s">
        <v>2</v>
      </c>
      <c r="M284" s="39" t="s">
        <v>2</v>
      </c>
      <c r="N284" s="39"/>
      <c r="O284" s="39"/>
      <c r="P284" s="39"/>
      <c r="Q284" s="39"/>
      <c r="R284" s="39"/>
      <c r="S284" s="39" t="s">
        <v>2</v>
      </c>
      <c r="T284" s="39" t="s">
        <v>2</v>
      </c>
      <c r="U284" s="39"/>
      <c r="V284" s="39"/>
      <c r="W284" s="39"/>
      <c r="X284" s="39"/>
      <c r="Y284" s="39"/>
      <c r="Z284" s="39" t="s">
        <v>2</v>
      </c>
      <c r="AA284" s="39" t="s">
        <v>2</v>
      </c>
      <c r="AB284" s="39"/>
      <c r="AC284" s="39"/>
      <c r="AD284" s="39"/>
      <c r="AE284" s="39"/>
      <c r="AF284" s="39"/>
      <c r="AH284" s="20">
        <f t="shared" si="33"/>
        <v>0</v>
      </c>
      <c r="AI284" s="20">
        <f t="shared" si="34"/>
        <v>0</v>
      </c>
    </row>
    <row r="285" spans="1:35" ht="20.100000000000001" hidden="1" customHeight="1">
      <c r="A285" s="24" t="str">
        <f>ÖSSZES!$A$112</f>
        <v>Név18</v>
      </c>
      <c r="B285" s="39"/>
      <c r="C285" s="39"/>
      <c r="D285" s="39"/>
      <c r="E285" s="39" t="s">
        <v>2</v>
      </c>
      <c r="F285" s="39" t="s">
        <v>2</v>
      </c>
      <c r="G285" s="39"/>
      <c r="H285" s="39"/>
      <c r="I285" s="39"/>
      <c r="J285" s="39"/>
      <c r="K285" s="39"/>
      <c r="L285" s="39" t="s">
        <v>2</v>
      </c>
      <c r="M285" s="39" t="s">
        <v>2</v>
      </c>
      <c r="N285" s="39"/>
      <c r="O285" s="39"/>
      <c r="P285" s="39"/>
      <c r="Q285" s="39"/>
      <c r="R285" s="39"/>
      <c r="S285" s="39" t="s">
        <v>2</v>
      </c>
      <c r="T285" s="39" t="s">
        <v>2</v>
      </c>
      <c r="U285" s="39"/>
      <c r="V285" s="39"/>
      <c r="W285" s="39"/>
      <c r="X285" s="39"/>
      <c r="Y285" s="39"/>
      <c r="Z285" s="39" t="s">
        <v>2</v>
      </c>
      <c r="AA285" s="39" t="s">
        <v>2</v>
      </c>
      <c r="AB285" s="39"/>
      <c r="AC285" s="39"/>
      <c r="AD285" s="39"/>
      <c r="AE285" s="39"/>
      <c r="AF285" s="39"/>
      <c r="AH285" s="20">
        <f t="shared" si="33"/>
        <v>0</v>
      </c>
      <c r="AI285" s="20">
        <f t="shared" si="34"/>
        <v>0</v>
      </c>
    </row>
    <row r="286" spans="1:35" ht="20.100000000000001" hidden="1" customHeight="1">
      <c r="A286" s="24" t="str">
        <f>ÖSSZES!$A$113</f>
        <v>Név19</v>
      </c>
      <c r="B286" s="39"/>
      <c r="C286" s="39"/>
      <c r="D286" s="39"/>
      <c r="E286" s="39" t="s">
        <v>2</v>
      </c>
      <c r="F286" s="39" t="s">
        <v>2</v>
      </c>
      <c r="G286" s="39"/>
      <c r="H286" s="39"/>
      <c r="I286" s="39"/>
      <c r="J286" s="39"/>
      <c r="K286" s="39"/>
      <c r="L286" s="39" t="s">
        <v>2</v>
      </c>
      <c r="M286" s="39" t="s">
        <v>2</v>
      </c>
      <c r="N286" s="39"/>
      <c r="O286" s="39"/>
      <c r="P286" s="39"/>
      <c r="Q286" s="39"/>
      <c r="R286" s="39"/>
      <c r="S286" s="39" t="s">
        <v>2</v>
      </c>
      <c r="T286" s="39" t="s">
        <v>2</v>
      </c>
      <c r="U286" s="39"/>
      <c r="V286" s="39"/>
      <c r="W286" s="39"/>
      <c r="X286" s="39"/>
      <c r="Y286" s="39"/>
      <c r="Z286" s="39" t="s">
        <v>2</v>
      </c>
      <c r="AA286" s="39" t="s">
        <v>2</v>
      </c>
      <c r="AB286" s="39"/>
      <c r="AC286" s="39"/>
      <c r="AD286" s="39"/>
      <c r="AE286" s="39"/>
      <c r="AF286" s="39"/>
      <c r="AH286" s="20">
        <f t="shared" si="33"/>
        <v>0</v>
      </c>
      <c r="AI286" s="20">
        <f t="shared" si="34"/>
        <v>0</v>
      </c>
    </row>
    <row r="287" spans="1:35" ht="20.100000000000001" hidden="1" customHeight="1">
      <c r="A287" s="24" t="str">
        <f>ÖSSZES!$A$114</f>
        <v>Név20</v>
      </c>
      <c r="B287" s="39"/>
      <c r="C287" s="39"/>
      <c r="D287" s="39"/>
      <c r="E287" s="39" t="s">
        <v>2</v>
      </c>
      <c r="F287" s="39" t="s">
        <v>2</v>
      </c>
      <c r="G287" s="39"/>
      <c r="H287" s="39"/>
      <c r="I287" s="39"/>
      <c r="J287" s="39"/>
      <c r="K287" s="39"/>
      <c r="L287" s="39" t="s">
        <v>2</v>
      </c>
      <c r="M287" s="39" t="s">
        <v>2</v>
      </c>
      <c r="N287" s="39"/>
      <c r="O287" s="39"/>
      <c r="P287" s="39"/>
      <c r="Q287" s="39"/>
      <c r="R287" s="39"/>
      <c r="S287" s="39" t="s">
        <v>2</v>
      </c>
      <c r="T287" s="39" t="s">
        <v>2</v>
      </c>
      <c r="U287" s="39"/>
      <c r="V287" s="39"/>
      <c r="W287" s="39"/>
      <c r="X287" s="39"/>
      <c r="Y287" s="39"/>
      <c r="Z287" s="39" t="s">
        <v>2</v>
      </c>
      <c r="AA287" s="39" t="s">
        <v>2</v>
      </c>
      <c r="AB287" s="39"/>
      <c r="AC287" s="39"/>
      <c r="AD287" s="39"/>
      <c r="AE287" s="39"/>
      <c r="AF287" s="39"/>
      <c r="AH287" s="20">
        <f t="shared" si="33"/>
        <v>0</v>
      </c>
      <c r="AI287" s="20">
        <f t="shared" si="34"/>
        <v>0</v>
      </c>
    </row>
  </sheetData>
  <sheetProtection password="DD6F" sheet="1" objects="1" scenarios="1"/>
  <mergeCells count="36">
    <mergeCell ref="A241:A243"/>
    <mergeCell ref="AH241:AH243"/>
    <mergeCell ref="AI241:AI243"/>
    <mergeCell ref="A265:A267"/>
    <mergeCell ref="AH265:AH267"/>
    <mergeCell ref="AI265:AI267"/>
    <mergeCell ref="A193:A195"/>
    <mergeCell ref="AH193:AH195"/>
    <mergeCell ref="AI193:AI195"/>
    <mergeCell ref="A217:A219"/>
    <mergeCell ref="AH217:AH219"/>
    <mergeCell ref="AI217:AI219"/>
    <mergeCell ref="A145:A147"/>
    <mergeCell ref="AH145:AH147"/>
    <mergeCell ref="AI145:AI147"/>
    <mergeCell ref="A169:A171"/>
    <mergeCell ref="AH169:AH171"/>
    <mergeCell ref="AI169:AI171"/>
    <mergeCell ref="A97:A99"/>
    <mergeCell ref="AH97:AH99"/>
    <mergeCell ref="AI97:AI99"/>
    <mergeCell ref="A121:A123"/>
    <mergeCell ref="AH121:AH123"/>
    <mergeCell ref="AI121:AI123"/>
    <mergeCell ref="A49:A51"/>
    <mergeCell ref="AH49:AH51"/>
    <mergeCell ref="AI49:AI51"/>
    <mergeCell ref="A73:A75"/>
    <mergeCell ref="AH73:AH75"/>
    <mergeCell ref="AI73:AI75"/>
    <mergeCell ref="A1:A3"/>
    <mergeCell ref="AH1:AH3"/>
    <mergeCell ref="AI1:AI3"/>
    <mergeCell ref="A25:A27"/>
    <mergeCell ref="AH25:AH27"/>
    <mergeCell ref="AI25:AI27"/>
  </mergeCells>
  <conditionalFormatting sqref="A28:A47 AF124:XFD143 A192:XFD195 AG172:XFD191 A196:A215 AF196:XFD215 A264:XFD267 A244:A263 AF244:XFD263 A288:XFD1048576 A268:A287 AE268:XFD287 A124:E143 A172:A191 A216:XFD219 A1:XFD3 A144:XFD147 A25:AC27 A48:XFD51 AD25:XFD47 A24:XFD24 L4:P23 S4:W23 Z4:AD23 AG4:XFD23 A72:XFD75 A52:F71 I52:M71 W52:AA71 AD52:XFD71 A96:XFD99 A76:C95 F76:J95 M76:Q95 T76:X95 AA76:XFD95 A120:XFD123 A100:A119 D100:H119 K100:O119 R100:V119 Y100:AC119 AF100:XFD119 H124:L143 O124:S143 V124:Z143 AC124:AC143 A168:XFD171 A148:C167 F148:J167 M148:Q167 T148:X167 AA148:AE167 AG148:XFD167 C172:G191 J172:N191 X172:AB191 AE172:AE191 A240:XFD243 A220:B239 E220:I239 L220:P239 S220:W239 Z220:AD239 AG220:XFD239 A4:B23 P52:T71 Q172:U191 E4:I23">
    <cfRule type="cellIs" dxfId="1269" priority="1477" operator="equal">
      <formula>"szf"</formula>
    </cfRule>
    <cfRule type="cellIs" dxfId="1268" priority="1478" operator="equal">
      <formula>"+"</formula>
    </cfRule>
  </conditionalFormatting>
  <conditionalFormatting sqref="B28:F47 I28:M47 P28:T47 W28:AA47">
    <cfRule type="cellIs" dxfId="1267" priority="1457" operator="equal">
      <formula>"+"</formula>
    </cfRule>
    <cfRule type="cellIs" dxfId="1266" priority="1458" operator="equal">
      <formula>"szf"</formula>
    </cfRule>
  </conditionalFormatting>
  <conditionalFormatting sqref="AD124:AD143">
    <cfRule type="cellIs" dxfId="1265" priority="1373" operator="equal">
      <formula>"+"</formula>
    </cfRule>
    <cfRule type="cellIs" dxfId="1264" priority="1374" operator="equal">
      <formula>"szf"</formula>
    </cfRule>
  </conditionalFormatting>
  <conditionalFormatting sqref="AE124:AE143">
    <cfRule type="cellIs" dxfId="1263" priority="1371" operator="equal">
      <formula>"+"</formula>
    </cfRule>
    <cfRule type="cellIs" dxfId="1262" priority="1372" operator="equal">
      <formula>"szf"</formula>
    </cfRule>
  </conditionalFormatting>
  <conditionalFormatting sqref="AF172:AF191">
    <cfRule type="cellIs" dxfId="1261" priority="1337" operator="equal">
      <formula>"+"</formula>
    </cfRule>
    <cfRule type="cellIs" dxfId="1260" priority="1338" operator="equal">
      <formula>"szf"</formula>
    </cfRule>
  </conditionalFormatting>
  <conditionalFormatting sqref="B196:D215 G196:K215 N196:R215 U196:Y215 AB196:AE215">
    <cfRule type="cellIs" dxfId="1259" priority="1335" operator="equal">
      <formula>"+"</formula>
    </cfRule>
    <cfRule type="cellIs" dxfId="1258" priority="1336" operator="equal">
      <formula>"szf"</formula>
    </cfRule>
  </conditionalFormatting>
  <conditionalFormatting sqref="B244:F263 I244:M263 P244:T263 W244:AA263 AD244:AE263">
    <cfRule type="cellIs" dxfId="1257" priority="1301" operator="equal">
      <formula>"+"</formula>
    </cfRule>
    <cfRule type="cellIs" dxfId="1256" priority="1302" operator="equal">
      <formula>"szf"</formula>
    </cfRule>
  </conditionalFormatting>
  <conditionalFormatting sqref="B268:D287 G268:K287 N268:R287 U268:Y287 AB268:AD287">
    <cfRule type="cellIs" dxfId="1255" priority="1267" operator="equal">
      <formula>"+"</formula>
    </cfRule>
    <cfRule type="cellIs" dxfId="1254" priority="1268" operator="equal">
      <formula>"szf"</formula>
    </cfRule>
  </conditionalFormatting>
  <conditionalFormatting sqref="B1:AF3 B24:AF27 L4:P23 S4:W23 Z4:AD23 B48:AF51 B28:F47 I28:M47 P28:T47 W28:AA47 AD28:AF47 B72:AF75 B52:F71 I52:M71 W52:AA71 AD52:AF71 B96:AF99 B76:C95 F76:J95 M76:Q95 T76:X95 AA76:AF95 B120:AF123 D100:H119 K100:O119 R100:V119 Y100:AC119 AF100:AF119 B144:AF147 B124:E143 H124:L143 O124:S143 V124:Z143 AC124:AF143 B168:AF171 B148:C167 F148:J167 M148:Q167 T148:X167 AA148:AE167 B192:AF195 C172:G191 J172:N191 X172:AB191 AE172:AF191 B216:AF219 B196:D215 G196:K215 N196:R215 U196:Y215 AB196:AF215 B240:AF243 B220:B239 E220:I239 L220:P239 S220:W239 Z220:AD239 B264:AF267 I244:M263 P244:T263 W244:AA263 AD244:AF263 B288:AF1048576 B268:D287 G268:K287 N268:R287 U268:Y287 AB268:AF287 B4:B23 P52:T71 Q172:U191 B244:F263 E4:I23">
    <cfRule type="cellIs" dxfId="1253" priority="1264" operator="equal">
      <formula>"X"</formula>
    </cfRule>
    <cfRule type="cellIs" dxfId="1252" priority="1265" operator="equal">
      <formula>"V"</formula>
    </cfRule>
    <cfRule type="cellIs" dxfId="1251" priority="1266" operator="equal">
      <formula>"Szo"</formula>
    </cfRule>
  </conditionalFormatting>
  <conditionalFormatting sqref="C4">
    <cfRule type="cellIs" dxfId="1250" priority="1262" operator="equal">
      <formula>"+"</formula>
    </cfRule>
    <cfRule type="cellIs" dxfId="1249" priority="1263" operator="equal">
      <formula>"szf"</formula>
    </cfRule>
  </conditionalFormatting>
  <conditionalFormatting sqref="C4">
    <cfRule type="cellIs" dxfId="1248" priority="1261" operator="equal">
      <formula>"+"</formula>
    </cfRule>
  </conditionalFormatting>
  <conditionalFormatting sqref="C4:C23">
    <cfRule type="cellIs" dxfId="1247" priority="1259" operator="equal">
      <formula>"+"</formula>
    </cfRule>
    <cfRule type="cellIs" dxfId="1246" priority="1260" operator="equal">
      <formula>"szf"</formula>
    </cfRule>
  </conditionalFormatting>
  <conditionalFormatting sqref="C4:C23">
    <cfRule type="cellIs" dxfId="1245" priority="1255" operator="equal">
      <formula>"V"</formula>
    </cfRule>
    <cfRule type="cellIs" dxfId="1244" priority="1256" operator="equal">
      <formula>"Szo"</formula>
    </cfRule>
    <cfRule type="cellIs" dxfId="1243" priority="1257" operator="equal">
      <formula>"X"</formula>
    </cfRule>
    <cfRule type="cellIs" dxfId="1242" priority="1258" operator="equal">
      <formula>"X"</formula>
    </cfRule>
  </conditionalFormatting>
  <conditionalFormatting sqref="C4:C23">
    <cfRule type="cellIs" dxfId="1241" priority="1252" operator="equal">
      <formula>"X"</formula>
    </cfRule>
    <cfRule type="cellIs" dxfId="1240" priority="1253" operator="equal">
      <formula>"V"</formula>
    </cfRule>
    <cfRule type="cellIs" dxfId="1239" priority="1254" operator="equal">
      <formula>"Szo"</formula>
    </cfRule>
  </conditionalFormatting>
  <conditionalFormatting sqref="D4">
    <cfRule type="cellIs" dxfId="1238" priority="1250" operator="equal">
      <formula>"+"</formula>
    </cfRule>
    <cfRule type="cellIs" dxfId="1237" priority="1251" operator="equal">
      <formula>"szf"</formula>
    </cfRule>
  </conditionalFormatting>
  <conditionalFormatting sqref="D4">
    <cfRule type="cellIs" dxfId="1236" priority="1249" operator="equal">
      <formula>"+"</formula>
    </cfRule>
  </conditionalFormatting>
  <conditionalFormatting sqref="D4:D23">
    <cfRule type="cellIs" dxfId="1235" priority="1247" operator="equal">
      <formula>"+"</formula>
    </cfRule>
    <cfRule type="cellIs" dxfId="1234" priority="1248" operator="equal">
      <formula>"szf"</formula>
    </cfRule>
  </conditionalFormatting>
  <conditionalFormatting sqref="D4:D23">
    <cfRule type="cellIs" dxfId="1233" priority="1243" operator="equal">
      <formula>"V"</formula>
    </cfRule>
    <cfRule type="cellIs" dxfId="1232" priority="1244" operator="equal">
      <formula>"Szo"</formula>
    </cfRule>
    <cfRule type="cellIs" dxfId="1231" priority="1245" operator="equal">
      <formula>"X"</formula>
    </cfRule>
    <cfRule type="cellIs" dxfId="1230" priority="1246" operator="equal">
      <formula>"X"</formula>
    </cfRule>
  </conditionalFormatting>
  <conditionalFormatting sqref="D4:D23">
    <cfRule type="cellIs" dxfId="1229" priority="1240" operator="equal">
      <formula>"X"</formula>
    </cfRule>
    <cfRule type="cellIs" dxfId="1228" priority="1241" operator="equal">
      <formula>"V"</formula>
    </cfRule>
    <cfRule type="cellIs" dxfId="1227" priority="1242" operator="equal">
      <formula>"Szo"</formula>
    </cfRule>
  </conditionalFormatting>
  <conditionalFormatting sqref="J4">
    <cfRule type="cellIs" dxfId="1226" priority="1238" operator="equal">
      <formula>"+"</formula>
    </cfRule>
    <cfRule type="cellIs" dxfId="1225" priority="1239" operator="equal">
      <formula>"szf"</formula>
    </cfRule>
  </conditionalFormatting>
  <conditionalFormatting sqref="J4">
    <cfRule type="cellIs" dxfId="1224" priority="1237" operator="equal">
      <formula>"+"</formula>
    </cfRule>
  </conditionalFormatting>
  <conditionalFormatting sqref="J4:J23">
    <cfRule type="cellIs" dxfId="1223" priority="1235" operator="equal">
      <formula>"+"</formula>
    </cfRule>
    <cfRule type="cellIs" dxfId="1222" priority="1236" operator="equal">
      <formula>"szf"</formula>
    </cfRule>
  </conditionalFormatting>
  <conditionalFormatting sqref="J4:J23">
    <cfRule type="cellIs" dxfId="1221" priority="1231" operator="equal">
      <formula>"V"</formula>
    </cfRule>
    <cfRule type="cellIs" dxfId="1220" priority="1232" operator="equal">
      <formula>"Szo"</formula>
    </cfRule>
    <cfRule type="cellIs" dxfId="1219" priority="1233" operator="equal">
      <formula>"X"</formula>
    </cfRule>
    <cfRule type="cellIs" dxfId="1218" priority="1234" operator="equal">
      <formula>"X"</formula>
    </cfRule>
  </conditionalFormatting>
  <conditionalFormatting sqref="J4:J23">
    <cfRule type="cellIs" dxfId="1217" priority="1228" operator="equal">
      <formula>"X"</formula>
    </cfRule>
    <cfRule type="cellIs" dxfId="1216" priority="1229" operator="equal">
      <formula>"V"</formula>
    </cfRule>
    <cfRule type="cellIs" dxfId="1215" priority="1230" operator="equal">
      <formula>"Szo"</formula>
    </cfRule>
  </conditionalFormatting>
  <conditionalFormatting sqref="K4">
    <cfRule type="cellIs" dxfId="1214" priority="1226" operator="equal">
      <formula>"+"</formula>
    </cfRule>
    <cfRule type="cellIs" dxfId="1213" priority="1227" operator="equal">
      <formula>"szf"</formula>
    </cfRule>
  </conditionalFormatting>
  <conditionalFormatting sqref="K4">
    <cfRule type="cellIs" dxfId="1212" priority="1225" operator="equal">
      <formula>"+"</formula>
    </cfRule>
  </conditionalFormatting>
  <conditionalFormatting sqref="K4:K23">
    <cfRule type="cellIs" dxfId="1211" priority="1223" operator="equal">
      <formula>"+"</formula>
    </cfRule>
    <cfRule type="cellIs" dxfId="1210" priority="1224" operator="equal">
      <formula>"szf"</formula>
    </cfRule>
  </conditionalFormatting>
  <conditionalFormatting sqref="K4:K23">
    <cfRule type="cellIs" dxfId="1209" priority="1219" operator="equal">
      <formula>"V"</formula>
    </cfRule>
    <cfRule type="cellIs" dxfId="1208" priority="1220" operator="equal">
      <formula>"Szo"</formula>
    </cfRule>
    <cfRule type="cellIs" dxfId="1207" priority="1221" operator="equal">
      <formula>"X"</formula>
    </cfRule>
    <cfRule type="cellIs" dxfId="1206" priority="1222" operator="equal">
      <formula>"X"</formula>
    </cfRule>
  </conditionalFormatting>
  <conditionalFormatting sqref="K4:K23">
    <cfRule type="cellIs" dxfId="1205" priority="1216" operator="equal">
      <formula>"X"</formula>
    </cfRule>
    <cfRule type="cellIs" dxfId="1204" priority="1217" operator="equal">
      <formula>"V"</formula>
    </cfRule>
    <cfRule type="cellIs" dxfId="1203" priority="1218" operator="equal">
      <formula>"Szo"</formula>
    </cfRule>
  </conditionalFormatting>
  <conditionalFormatting sqref="Q4">
    <cfRule type="cellIs" dxfId="1202" priority="1214" operator="equal">
      <formula>"+"</formula>
    </cfRule>
    <cfRule type="cellIs" dxfId="1201" priority="1215" operator="equal">
      <formula>"szf"</formula>
    </cfRule>
  </conditionalFormatting>
  <conditionalFormatting sqref="Q4">
    <cfRule type="cellIs" dxfId="1200" priority="1213" operator="equal">
      <formula>"+"</formula>
    </cfRule>
  </conditionalFormatting>
  <conditionalFormatting sqref="Q4:Q23">
    <cfRule type="cellIs" dxfId="1199" priority="1211" operator="equal">
      <formula>"+"</formula>
    </cfRule>
    <cfRule type="cellIs" dxfId="1198" priority="1212" operator="equal">
      <formula>"szf"</formula>
    </cfRule>
  </conditionalFormatting>
  <conditionalFormatting sqref="Q4:Q23">
    <cfRule type="cellIs" dxfId="1197" priority="1207" operator="equal">
      <formula>"V"</formula>
    </cfRule>
    <cfRule type="cellIs" dxfId="1196" priority="1208" operator="equal">
      <formula>"Szo"</formula>
    </cfRule>
    <cfRule type="cellIs" dxfId="1195" priority="1209" operator="equal">
      <formula>"X"</formula>
    </cfRule>
    <cfRule type="cellIs" dxfId="1194" priority="1210" operator="equal">
      <formula>"X"</formula>
    </cfRule>
  </conditionalFormatting>
  <conditionalFormatting sqref="Q4:Q23">
    <cfRule type="cellIs" dxfId="1193" priority="1204" operator="equal">
      <formula>"X"</formula>
    </cfRule>
    <cfRule type="cellIs" dxfId="1192" priority="1205" operator="equal">
      <formula>"V"</formula>
    </cfRule>
    <cfRule type="cellIs" dxfId="1191" priority="1206" operator="equal">
      <formula>"Szo"</formula>
    </cfRule>
  </conditionalFormatting>
  <conditionalFormatting sqref="R4">
    <cfRule type="cellIs" dxfId="1190" priority="1202" operator="equal">
      <formula>"+"</formula>
    </cfRule>
    <cfRule type="cellIs" dxfId="1189" priority="1203" operator="equal">
      <formula>"szf"</formula>
    </cfRule>
  </conditionalFormatting>
  <conditionalFormatting sqref="R4">
    <cfRule type="cellIs" dxfId="1188" priority="1201" operator="equal">
      <formula>"+"</formula>
    </cfRule>
  </conditionalFormatting>
  <conditionalFormatting sqref="R4:R23">
    <cfRule type="cellIs" dxfId="1187" priority="1199" operator="equal">
      <formula>"+"</formula>
    </cfRule>
    <cfRule type="cellIs" dxfId="1186" priority="1200" operator="equal">
      <formula>"szf"</formula>
    </cfRule>
  </conditionalFormatting>
  <conditionalFormatting sqref="R4:R23">
    <cfRule type="cellIs" dxfId="1185" priority="1195" operator="equal">
      <formula>"V"</formula>
    </cfRule>
    <cfRule type="cellIs" dxfId="1184" priority="1196" operator="equal">
      <formula>"Szo"</formula>
    </cfRule>
    <cfRule type="cellIs" dxfId="1183" priority="1197" operator="equal">
      <formula>"X"</formula>
    </cfRule>
    <cfRule type="cellIs" dxfId="1182" priority="1198" operator="equal">
      <formula>"X"</formula>
    </cfRule>
  </conditionalFormatting>
  <conditionalFormatting sqref="R4:R23">
    <cfRule type="cellIs" dxfId="1181" priority="1192" operator="equal">
      <formula>"X"</formula>
    </cfRule>
    <cfRule type="cellIs" dxfId="1180" priority="1193" operator="equal">
      <formula>"V"</formula>
    </cfRule>
    <cfRule type="cellIs" dxfId="1179" priority="1194" operator="equal">
      <formula>"Szo"</formula>
    </cfRule>
  </conditionalFormatting>
  <conditionalFormatting sqref="X4">
    <cfRule type="cellIs" dxfId="1178" priority="1190" operator="equal">
      <formula>"+"</formula>
    </cfRule>
    <cfRule type="cellIs" dxfId="1177" priority="1191" operator="equal">
      <formula>"szf"</formula>
    </cfRule>
  </conditionalFormatting>
  <conditionalFormatting sqref="X4">
    <cfRule type="cellIs" dxfId="1176" priority="1189" operator="equal">
      <formula>"+"</formula>
    </cfRule>
  </conditionalFormatting>
  <conditionalFormatting sqref="X4:X23">
    <cfRule type="cellIs" dxfId="1175" priority="1187" operator="equal">
      <formula>"+"</formula>
    </cfRule>
    <cfRule type="cellIs" dxfId="1174" priority="1188" operator="equal">
      <formula>"szf"</formula>
    </cfRule>
  </conditionalFormatting>
  <conditionalFormatting sqref="X4:X23">
    <cfRule type="cellIs" dxfId="1173" priority="1183" operator="equal">
      <formula>"V"</formula>
    </cfRule>
    <cfRule type="cellIs" dxfId="1172" priority="1184" operator="equal">
      <formula>"Szo"</formula>
    </cfRule>
    <cfRule type="cellIs" dxfId="1171" priority="1185" operator="equal">
      <formula>"X"</formula>
    </cfRule>
    <cfRule type="cellIs" dxfId="1170" priority="1186" operator="equal">
      <formula>"X"</formula>
    </cfRule>
  </conditionalFormatting>
  <conditionalFormatting sqref="X4:X23">
    <cfRule type="cellIs" dxfId="1169" priority="1180" operator="equal">
      <formula>"X"</formula>
    </cfRule>
    <cfRule type="cellIs" dxfId="1168" priority="1181" operator="equal">
      <formula>"V"</formula>
    </cfRule>
    <cfRule type="cellIs" dxfId="1167" priority="1182" operator="equal">
      <formula>"Szo"</formula>
    </cfRule>
  </conditionalFormatting>
  <conditionalFormatting sqref="Y4">
    <cfRule type="cellIs" dxfId="1166" priority="1178" operator="equal">
      <formula>"+"</formula>
    </cfRule>
    <cfRule type="cellIs" dxfId="1165" priority="1179" operator="equal">
      <formula>"szf"</formula>
    </cfRule>
  </conditionalFormatting>
  <conditionalFormatting sqref="Y4">
    <cfRule type="cellIs" dxfId="1164" priority="1177" operator="equal">
      <formula>"+"</formula>
    </cfRule>
  </conditionalFormatting>
  <conditionalFormatting sqref="Y4:Y23">
    <cfRule type="cellIs" dxfId="1163" priority="1175" operator="equal">
      <formula>"+"</formula>
    </cfRule>
    <cfRule type="cellIs" dxfId="1162" priority="1176" operator="equal">
      <formula>"szf"</formula>
    </cfRule>
  </conditionalFormatting>
  <conditionalFormatting sqref="Y4:Y23">
    <cfRule type="cellIs" dxfId="1161" priority="1171" operator="equal">
      <formula>"V"</formula>
    </cfRule>
    <cfRule type="cellIs" dxfId="1160" priority="1172" operator="equal">
      <formula>"Szo"</formula>
    </cfRule>
    <cfRule type="cellIs" dxfId="1159" priority="1173" operator="equal">
      <formula>"X"</formula>
    </cfRule>
    <cfRule type="cellIs" dxfId="1158" priority="1174" operator="equal">
      <formula>"X"</formula>
    </cfRule>
  </conditionalFormatting>
  <conditionalFormatting sqref="Y4:Y23">
    <cfRule type="cellIs" dxfId="1157" priority="1168" operator="equal">
      <formula>"X"</formula>
    </cfRule>
    <cfRule type="cellIs" dxfId="1156" priority="1169" operator="equal">
      <formula>"V"</formula>
    </cfRule>
    <cfRule type="cellIs" dxfId="1155" priority="1170" operator="equal">
      <formula>"Szo"</formula>
    </cfRule>
  </conditionalFormatting>
  <conditionalFormatting sqref="AE4">
    <cfRule type="cellIs" dxfId="1154" priority="1166" operator="equal">
      <formula>"+"</formula>
    </cfRule>
    <cfRule type="cellIs" dxfId="1153" priority="1167" operator="equal">
      <formula>"szf"</formula>
    </cfRule>
  </conditionalFormatting>
  <conditionalFormatting sqref="AE4">
    <cfRule type="cellIs" dxfId="1152" priority="1165" operator="equal">
      <formula>"+"</formula>
    </cfRule>
  </conditionalFormatting>
  <conditionalFormatting sqref="AE4:AE23">
    <cfRule type="cellIs" dxfId="1151" priority="1163" operator="equal">
      <formula>"+"</formula>
    </cfRule>
    <cfRule type="cellIs" dxfId="1150" priority="1164" operator="equal">
      <formula>"szf"</formula>
    </cfRule>
  </conditionalFormatting>
  <conditionalFormatting sqref="AE4:AE23">
    <cfRule type="cellIs" dxfId="1149" priority="1159" operator="equal">
      <formula>"V"</formula>
    </cfRule>
    <cfRule type="cellIs" dxfId="1148" priority="1160" operator="equal">
      <formula>"Szo"</formula>
    </cfRule>
    <cfRule type="cellIs" dxfId="1147" priority="1161" operator="equal">
      <formula>"X"</formula>
    </cfRule>
    <cfRule type="cellIs" dxfId="1146" priority="1162" operator="equal">
      <formula>"X"</formula>
    </cfRule>
  </conditionalFormatting>
  <conditionalFormatting sqref="AE4:AE23">
    <cfRule type="cellIs" dxfId="1145" priority="1156" operator="equal">
      <formula>"X"</formula>
    </cfRule>
    <cfRule type="cellIs" dxfId="1144" priority="1157" operator="equal">
      <formula>"V"</formula>
    </cfRule>
    <cfRule type="cellIs" dxfId="1143" priority="1158" operator="equal">
      <formula>"Szo"</formula>
    </cfRule>
  </conditionalFormatting>
  <conditionalFormatting sqref="AF4">
    <cfRule type="cellIs" dxfId="1142" priority="1154" operator="equal">
      <formula>"+"</formula>
    </cfRule>
    <cfRule type="cellIs" dxfId="1141" priority="1155" operator="equal">
      <formula>"szf"</formula>
    </cfRule>
  </conditionalFormatting>
  <conditionalFormatting sqref="AF4">
    <cfRule type="cellIs" dxfId="1140" priority="1153" operator="equal">
      <formula>"+"</formula>
    </cfRule>
  </conditionalFormatting>
  <conditionalFormatting sqref="AF4:AF23">
    <cfRule type="cellIs" dxfId="1139" priority="1151" operator="equal">
      <formula>"+"</formula>
    </cfRule>
    <cfRule type="cellIs" dxfId="1138" priority="1152" operator="equal">
      <formula>"szf"</formula>
    </cfRule>
  </conditionalFormatting>
  <conditionalFormatting sqref="AF4:AF23">
    <cfRule type="cellIs" dxfId="1137" priority="1147" operator="equal">
      <formula>"V"</formula>
    </cfRule>
    <cfRule type="cellIs" dxfId="1136" priority="1148" operator="equal">
      <formula>"Szo"</formula>
    </cfRule>
    <cfRule type="cellIs" dxfId="1135" priority="1149" operator="equal">
      <formula>"X"</formula>
    </cfRule>
    <cfRule type="cellIs" dxfId="1134" priority="1150" operator="equal">
      <formula>"X"</formula>
    </cfRule>
  </conditionalFormatting>
  <conditionalFormatting sqref="AF4:AF23">
    <cfRule type="cellIs" dxfId="1133" priority="1144" operator="equal">
      <formula>"X"</formula>
    </cfRule>
    <cfRule type="cellIs" dxfId="1132" priority="1145" operator="equal">
      <formula>"V"</formula>
    </cfRule>
    <cfRule type="cellIs" dxfId="1131" priority="1146" operator="equal">
      <formula>"Szo"</formula>
    </cfRule>
  </conditionalFormatting>
  <conditionalFormatting sqref="G28">
    <cfRule type="cellIs" dxfId="1130" priority="1142" operator="equal">
      <formula>"+"</formula>
    </cfRule>
    <cfRule type="cellIs" dxfId="1129" priority="1143" operator="equal">
      <formula>"szf"</formula>
    </cfRule>
  </conditionalFormatting>
  <conditionalFormatting sqref="G28">
    <cfRule type="cellIs" dxfId="1128" priority="1141" operator="equal">
      <formula>"+"</formula>
    </cfRule>
  </conditionalFormatting>
  <conditionalFormatting sqref="G28:G47">
    <cfRule type="cellIs" dxfId="1127" priority="1139" operator="equal">
      <formula>"+"</formula>
    </cfRule>
    <cfRule type="cellIs" dxfId="1126" priority="1140" operator="equal">
      <formula>"szf"</formula>
    </cfRule>
  </conditionalFormatting>
  <conditionalFormatting sqref="G28:G47">
    <cfRule type="cellIs" dxfId="1125" priority="1135" operator="equal">
      <formula>"V"</formula>
    </cfRule>
    <cfRule type="cellIs" dxfId="1124" priority="1136" operator="equal">
      <formula>"Szo"</formula>
    </cfRule>
    <cfRule type="cellIs" dxfId="1123" priority="1137" operator="equal">
      <formula>"X"</formula>
    </cfRule>
    <cfRule type="cellIs" dxfId="1122" priority="1138" operator="equal">
      <formula>"X"</formula>
    </cfRule>
  </conditionalFormatting>
  <conditionalFormatting sqref="G28:G47">
    <cfRule type="cellIs" dxfId="1121" priority="1132" operator="equal">
      <formula>"X"</formula>
    </cfRule>
    <cfRule type="cellIs" dxfId="1120" priority="1133" operator="equal">
      <formula>"V"</formula>
    </cfRule>
    <cfRule type="cellIs" dxfId="1119" priority="1134" operator="equal">
      <formula>"Szo"</formula>
    </cfRule>
  </conditionalFormatting>
  <conditionalFormatting sqref="H28">
    <cfRule type="cellIs" dxfId="1118" priority="1130" operator="equal">
      <formula>"+"</formula>
    </cfRule>
    <cfRule type="cellIs" dxfId="1117" priority="1131" operator="equal">
      <formula>"szf"</formula>
    </cfRule>
  </conditionalFormatting>
  <conditionalFormatting sqref="H28">
    <cfRule type="cellIs" dxfId="1116" priority="1129" operator="equal">
      <formula>"+"</formula>
    </cfRule>
  </conditionalFormatting>
  <conditionalFormatting sqref="H28:H47">
    <cfRule type="cellIs" dxfId="1115" priority="1127" operator="equal">
      <formula>"+"</formula>
    </cfRule>
    <cfRule type="cellIs" dxfId="1114" priority="1128" operator="equal">
      <formula>"szf"</formula>
    </cfRule>
  </conditionalFormatting>
  <conditionalFormatting sqref="H28:H47">
    <cfRule type="cellIs" dxfId="1113" priority="1123" operator="equal">
      <formula>"V"</formula>
    </cfRule>
    <cfRule type="cellIs" dxfId="1112" priority="1124" operator="equal">
      <formula>"Szo"</formula>
    </cfRule>
    <cfRule type="cellIs" dxfId="1111" priority="1125" operator="equal">
      <formula>"X"</formula>
    </cfRule>
    <cfRule type="cellIs" dxfId="1110" priority="1126" operator="equal">
      <formula>"X"</formula>
    </cfRule>
  </conditionalFormatting>
  <conditionalFormatting sqref="H28:H47">
    <cfRule type="cellIs" dxfId="1109" priority="1120" operator="equal">
      <formula>"X"</formula>
    </cfRule>
    <cfRule type="cellIs" dxfId="1108" priority="1121" operator="equal">
      <formula>"V"</formula>
    </cfRule>
    <cfRule type="cellIs" dxfId="1107" priority="1122" operator="equal">
      <formula>"Szo"</formula>
    </cfRule>
  </conditionalFormatting>
  <conditionalFormatting sqref="N28">
    <cfRule type="cellIs" dxfId="1106" priority="1118" operator="equal">
      <formula>"+"</formula>
    </cfRule>
    <cfRule type="cellIs" dxfId="1105" priority="1119" operator="equal">
      <formula>"szf"</formula>
    </cfRule>
  </conditionalFormatting>
  <conditionalFormatting sqref="N28">
    <cfRule type="cellIs" dxfId="1104" priority="1117" operator="equal">
      <formula>"+"</formula>
    </cfRule>
  </conditionalFormatting>
  <conditionalFormatting sqref="N28:N47">
    <cfRule type="cellIs" dxfId="1103" priority="1115" operator="equal">
      <formula>"+"</formula>
    </cfRule>
    <cfRule type="cellIs" dxfId="1102" priority="1116" operator="equal">
      <formula>"szf"</formula>
    </cfRule>
  </conditionalFormatting>
  <conditionalFormatting sqref="N28:N47">
    <cfRule type="cellIs" dxfId="1101" priority="1111" operator="equal">
      <formula>"V"</formula>
    </cfRule>
    <cfRule type="cellIs" dxfId="1100" priority="1112" operator="equal">
      <formula>"Szo"</formula>
    </cfRule>
    <cfRule type="cellIs" dxfId="1099" priority="1113" operator="equal">
      <formula>"X"</formula>
    </cfRule>
    <cfRule type="cellIs" dxfId="1098" priority="1114" operator="equal">
      <formula>"X"</formula>
    </cfRule>
  </conditionalFormatting>
  <conditionalFormatting sqref="N28:N47">
    <cfRule type="cellIs" dxfId="1097" priority="1108" operator="equal">
      <formula>"X"</formula>
    </cfRule>
    <cfRule type="cellIs" dxfId="1096" priority="1109" operator="equal">
      <formula>"V"</formula>
    </cfRule>
    <cfRule type="cellIs" dxfId="1095" priority="1110" operator="equal">
      <formula>"Szo"</formula>
    </cfRule>
  </conditionalFormatting>
  <conditionalFormatting sqref="O28">
    <cfRule type="cellIs" dxfId="1094" priority="1106" operator="equal">
      <formula>"+"</formula>
    </cfRule>
    <cfRule type="cellIs" dxfId="1093" priority="1107" operator="equal">
      <formula>"szf"</formula>
    </cfRule>
  </conditionalFormatting>
  <conditionalFormatting sqref="O28">
    <cfRule type="cellIs" dxfId="1092" priority="1105" operator="equal">
      <formula>"+"</formula>
    </cfRule>
  </conditionalFormatting>
  <conditionalFormatting sqref="O28:O47">
    <cfRule type="cellIs" dxfId="1091" priority="1103" operator="equal">
      <formula>"+"</formula>
    </cfRule>
    <cfRule type="cellIs" dxfId="1090" priority="1104" operator="equal">
      <formula>"szf"</formula>
    </cfRule>
  </conditionalFormatting>
  <conditionalFormatting sqref="O28:O47">
    <cfRule type="cellIs" dxfId="1089" priority="1099" operator="equal">
      <formula>"V"</formula>
    </cfRule>
    <cfRule type="cellIs" dxfId="1088" priority="1100" operator="equal">
      <formula>"Szo"</formula>
    </cfRule>
    <cfRule type="cellIs" dxfId="1087" priority="1101" operator="equal">
      <formula>"X"</formula>
    </cfRule>
    <cfRule type="cellIs" dxfId="1086" priority="1102" operator="equal">
      <formula>"X"</formula>
    </cfRule>
  </conditionalFormatting>
  <conditionalFormatting sqref="O28:O47">
    <cfRule type="cellIs" dxfId="1085" priority="1096" operator="equal">
      <formula>"X"</formula>
    </cfRule>
    <cfRule type="cellIs" dxfId="1084" priority="1097" operator="equal">
      <formula>"V"</formula>
    </cfRule>
    <cfRule type="cellIs" dxfId="1083" priority="1098" operator="equal">
      <formula>"Szo"</formula>
    </cfRule>
  </conditionalFormatting>
  <conditionalFormatting sqref="U28">
    <cfRule type="cellIs" dxfId="1082" priority="1094" operator="equal">
      <formula>"+"</formula>
    </cfRule>
    <cfRule type="cellIs" dxfId="1081" priority="1095" operator="equal">
      <formula>"szf"</formula>
    </cfRule>
  </conditionalFormatting>
  <conditionalFormatting sqref="U28">
    <cfRule type="cellIs" dxfId="1080" priority="1093" operator="equal">
      <formula>"+"</formula>
    </cfRule>
  </conditionalFormatting>
  <conditionalFormatting sqref="U28:U47">
    <cfRule type="cellIs" dxfId="1079" priority="1091" operator="equal">
      <formula>"+"</formula>
    </cfRule>
    <cfRule type="cellIs" dxfId="1078" priority="1092" operator="equal">
      <formula>"szf"</formula>
    </cfRule>
  </conditionalFormatting>
  <conditionalFormatting sqref="U28:U47">
    <cfRule type="cellIs" dxfId="1077" priority="1087" operator="equal">
      <formula>"V"</formula>
    </cfRule>
    <cfRule type="cellIs" dxfId="1076" priority="1088" operator="equal">
      <formula>"Szo"</formula>
    </cfRule>
    <cfRule type="cellIs" dxfId="1075" priority="1089" operator="equal">
      <formula>"X"</formula>
    </cfRule>
    <cfRule type="cellIs" dxfId="1074" priority="1090" operator="equal">
      <formula>"X"</formula>
    </cfRule>
  </conditionalFormatting>
  <conditionalFormatting sqref="U28:U47">
    <cfRule type="cellIs" dxfId="1073" priority="1084" operator="equal">
      <formula>"X"</formula>
    </cfRule>
    <cfRule type="cellIs" dxfId="1072" priority="1085" operator="equal">
      <formula>"V"</formula>
    </cfRule>
    <cfRule type="cellIs" dxfId="1071" priority="1086" operator="equal">
      <formula>"Szo"</formula>
    </cfRule>
  </conditionalFormatting>
  <conditionalFormatting sqref="V28">
    <cfRule type="cellIs" dxfId="1070" priority="1082" operator="equal">
      <formula>"+"</formula>
    </cfRule>
    <cfRule type="cellIs" dxfId="1069" priority="1083" operator="equal">
      <formula>"szf"</formula>
    </cfRule>
  </conditionalFormatting>
  <conditionalFormatting sqref="V28">
    <cfRule type="cellIs" dxfId="1068" priority="1081" operator="equal">
      <formula>"+"</formula>
    </cfRule>
  </conditionalFormatting>
  <conditionalFormatting sqref="V28:V47">
    <cfRule type="cellIs" dxfId="1067" priority="1079" operator="equal">
      <formula>"+"</formula>
    </cfRule>
    <cfRule type="cellIs" dxfId="1066" priority="1080" operator="equal">
      <formula>"szf"</formula>
    </cfRule>
  </conditionalFormatting>
  <conditionalFormatting sqref="V28:V47">
    <cfRule type="cellIs" dxfId="1065" priority="1075" operator="equal">
      <formula>"V"</formula>
    </cfRule>
    <cfRule type="cellIs" dxfId="1064" priority="1076" operator="equal">
      <formula>"Szo"</formula>
    </cfRule>
    <cfRule type="cellIs" dxfId="1063" priority="1077" operator="equal">
      <formula>"X"</formula>
    </cfRule>
    <cfRule type="cellIs" dxfId="1062" priority="1078" operator="equal">
      <formula>"X"</formula>
    </cfRule>
  </conditionalFormatting>
  <conditionalFormatting sqref="V28:V47">
    <cfRule type="cellIs" dxfId="1061" priority="1072" operator="equal">
      <formula>"X"</formula>
    </cfRule>
    <cfRule type="cellIs" dxfId="1060" priority="1073" operator="equal">
      <formula>"V"</formula>
    </cfRule>
    <cfRule type="cellIs" dxfId="1059" priority="1074" operator="equal">
      <formula>"Szo"</formula>
    </cfRule>
  </conditionalFormatting>
  <conditionalFormatting sqref="AC28">
    <cfRule type="cellIs" dxfId="1058" priority="1070" operator="equal">
      <formula>"+"</formula>
    </cfRule>
    <cfRule type="cellIs" dxfId="1057" priority="1071" operator="equal">
      <formula>"szf"</formula>
    </cfRule>
  </conditionalFormatting>
  <conditionalFormatting sqref="AC28">
    <cfRule type="cellIs" dxfId="1056" priority="1069" operator="equal">
      <formula>"+"</formula>
    </cfRule>
  </conditionalFormatting>
  <conditionalFormatting sqref="AC28:AC47">
    <cfRule type="cellIs" dxfId="1055" priority="1067" operator="equal">
      <formula>"+"</formula>
    </cfRule>
    <cfRule type="cellIs" dxfId="1054" priority="1068" operator="equal">
      <formula>"szf"</formula>
    </cfRule>
  </conditionalFormatting>
  <conditionalFormatting sqref="AC28:AC47">
    <cfRule type="cellIs" dxfId="1053" priority="1063" operator="equal">
      <formula>"V"</formula>
    </cfRule>
    <cfRule type="cellIs" dxfId="1052" priority="1064" operator="equal">
      <formula>"Szo"</formula>
    </cfRule>
    <cfRule type="cellIs" dxfId="1051" priority="1065" operator="equal">
      <formula>"X"</formula>
    </cfRule>
    <cfRule type="cellIs" dxfId="1050" priority="1066" operator="equal">
      <formula>"X"</formula>
    </cfRule>
  </conditionalFormatting>
  <conditionalFormatting sqref="AC28:AC47">
    <cfRule type="cellIs" dxfId="1049" priority="1060" operator="equal">
      <formula>"X"</formula>
    </cfRule>
    <cfRule type="cellIs" dxfId="1048" priority="1061" operator="equal">
      <formula>"V"</formula>
    </cfRule>
    <cfRule type="cellIs" dxfId="1047" priority="1062" operator="equal">
      <formula>"Szo"</formula>
    </cfRule>
  </conditionalFormatting>
  <conditionalFormatting sqref="AB28">
    <cfRule type="cellIs" dxfId="1046" priority="1058" operator="equal">
      <formula>"+"</formula>
    </cfRule>
    <cfRule type="cellIs" dxfId="1045" priority="1059" operator="equal">
      <formula>"szf"</formula>
    </cfRule>
  </conditionalFormatting>
  <conditionalFormatting sqref="AB28">
    <cfRule type="cellIs" dxfId="1044" priority="1057" operator="equal">
      <formula>"+"</formula>
    </cfRule>
  </conditionalFormatting>
  <conditionalFormatting sqref="AB28:AB47">
    <cfRule type="cellIs" dxfId="1043" priority="1055" operator="equal">
      <formula>"+"</formula>
    </cfRule>
    <cfRule type="cellIs" dxfId="1042" priority="1056" operator="equal">
      <formula>"szf"</formula>
    </cfRule>
  </conditionalFormatting>
  <conditionalFormatting sqref="AB28:AB47">
    <cfRule type="cellIs" dxfId="1041" priority="1051" operator="equal">
      <formula>"V"</formula>
    </cfRule>
    <cfRule type="cellIs" dxfId="1040" priority="1052" operator="equal">
      <formula>"Szo"</formula>
    </cfRule>
    <cfRule type="cellIs" dxfId="1039" priority="1053" operator="equal">
      <formula>"X"</formula>
    </cfRule>
    <cfRule type="cellIs" dxfId="1038" priority="1054" operator="equal">
      <formula>"X"</formula>
    </cfRule>
  </conditionalFormatting>
  <conditionalFormatting sqref="AB28:AB47">
    <cfRule type="cellIs" dxfId="1037" priority="1048" operator="equal">
      <formula>"X"</formula>
    </cfRule>
    <cfRule type="cellIs" dxfId="1036" priority="1049" operator="equal">
      <formula>"V"</formula>
    </cfRule>
    <cfRule type="cellIs" dxfId="1035" priority="1050" operator="equal">
      <formula>"Szo"</formula>
    </cfRule>
  </conditionalFormatting>
  <conditionalFormatting sqref="G52">
    <cfRule type="cellIs" dxfId="1034" priority="1046" operator="equal">
      <formula>"+"</formula>
    </cfRule>
    <cfRule type="cellIs" dxfId="1033" priority="1047" operator="equal">
      <formula>"szf"</formula>
    </cfRule>
  </conditionalFormatting>
  <conditionalFormatting sqref="G52">
    <cfRule type="cellIs" dxfId="1032" priority="1045" operator="equal">
      <formula>"+"</formula>
    </cfRule>
  </conditionalFormatting>
  <conditionalFormatting sqref="G52:G71">
    <cfRule type="cellIs" dxfId="1031" priority="1043" operator="equal">
      <formula>"+"</formula>
    </cfRule>
    <cfRule type="cellIs" dxfId="1030" priority="1044" operator="equal">
      <formula>"szf"</formula>
    </cfRule>
  </conditionalFormatting>
  <conditionalFormatting sqref="G52:G71">
    <cfRule type="cellIs" dxfId="1029" priority="1039" operator="equal">
      <formula>"V"</formula>
    </cfRule>
    <cfRule type="cellIs" dxfId="1028" priority="1040" operator="equal">
      <formula>"Szo"</formula>
    </cfRule>
    <cfRule type="cellIs" dxfId="1027" priority="1041" operator="equal">
      <formula>"X"</formula>
    </cfRule>
    <cfRule type="cellIs" dxfId="1026" priority="1042" operator="equal">
      <formula>"X"</formula>
    </cfRule>
  </conditionalFormatting>
  <conditionalFormatting sqref="G52:G71">
    <cfRule type="cellIs" dxfId="1025" priority="1036" operator="equal">
      <formula>"X"</formula>
    </cfRule>
    <cfRule type="cellIs" dxfId="1024" priority="1037" operator="equal">
      <formula>"V"</formula>
    </cfRule>
    <cfRule type="cellIs" dxfId="1023" priority="1038" operator="equal">
      <formula>"Szo"</formula>
    </cfRule>
  </conditionalFormatting>
  <conditionalFormatting sqref="H52">
    <cfRule type="cellIs" dxfId="1022" priority="1034" operator="equal">
      <formula>"+"</formula>
    </cfRule>
    <cfRule type="cellIs" dxfId="1021" priority="1035" operator="equal">
      <formula>"szf"</formula>
    </cfRule>
  </conditionalFormatting>
  <conditionalFormatting sqref="H52">
    <cfRule type="cellIs" dxfId="1020" priority="1033" operator="equal">
      <formula>"+"</formula>
    </cfRule>
  </conditionalFormatting>
  <conditionalFormatting sqref="H52:H71">
    <cfRule type="cellIs" dxfId="1019" priority="1031" operator="equal">
      <formula>"+"</formula>
    </cfRule>
    <cfRule type="cellIs" dxfId="1018" priority="1032" operator="equal">
      <formula>"szf"</formula>
    </cfRule>
  </conditionalFormatting>
  <conditionalFormatting sqref="H52:H71">
    <cfRule type="cellIs" dxfId="1017" priority="1027" operator="equal">
      <formula>"V"</formula>
    </cfRule>
    <cfRule type="cellIs" dxfId="1016" priority="1028" operator="equal">
      <formula>"Szo"</formula>
    </cfRule>
    <cfRule type="cellIs" dxfId="1015" priority="1029" operator="equal">
      <formula>"X"</formula>
    </cfRule>
    <cfRule type="cellIs" dxfId="1014" priority="1030" operator="equal">
      <formula>"X"</formula>
    </cfRule>
  </conditionalFormatting>
  <conditionalFormatting sqref="H52:H71">
    <cfRule type="cellIs" dxfId="1013" priority="1024" operator="equal">
      <formula>"X"</formula>
    </cfRule>
    <cfRule type="cellIs" dxfId="1012" priority="1025" operator="equal">
      <formula>"V"</formula>
    </cfRule>
    <cfRule type="cellIs" dxfId="1011" priority="1026" operator="equal">
      <formula>"Szo"</formula>
    </cfRule>
  </conditionalFormatting>
  <conditionalFormatting sqref="N52">
    <cfRule type="cellIs" dxfId="1010" priority="1022" operator="equal">
      <formula>"+"</formula>
    </cfRule>
    <cfRule type="cellIs" dxfId="1009" priority="1023" operator="equal">
      <formula>"szf"</formula>
    </cfRule>
  </conditionalFormatting>
  <conditionalFormatting sqref="N52">
    <cfRule type="cellIs" dxfId="1008" priority="1021" operator="equal">
      <formula>"+"</formula>
    </cfRule>
  </conditionalFormatting>
  <conditionalFormatting sqref="N52:N71">
    <cfRule type="cellIs" dxfId="1007" priority="1019" operator="equal">
      <formula>"+"</formula>
    </cfRule>
    <cfRule type="cellIs" dxfId="1006" priority="1020" operator="equal">
      <formula>"szf"</formula>
    </cfRule>
  </conditionalFormatting>
  <conditionalFormatting sqref="N52:N71">
    <cfRule type="cellIs" dxfId="1005" priority="1015" operator="equal">
      <formula>"V"</formula>
    </cfRule>
    <cfRule type="cellIs" dxfId="1004" priority="1016" operator="equal">
      <formula>"Szo"</formula>
    </cfRule>
    <cfRule type="cellIs" dxfId="1003" priority="1017" operator="equal">
      <formula>"X"</formula>
    </cfRule>
    <cfRule type="cellIs" dxfId="1002" priority="1018" operator="equal">
      <formula>"X"</formula>
    </cfRule>
  </conditionalFormatting>
  <conditionalFormatting sqref="N52:N71">
    <cfRule type="cellIs" dxfId="1001" priority="1012" operator="equal">
      <formula>"X"</formula>
    </cfRule>
    <cfRule type="cellIs" dxfId="1000" priority="1013" operator="equal">
      <formula>"V"</formula>
    </cfRule>
    <cfRule type="cellIs" dxfId="999" priority="1014" operator="equal">
      <formula>"Szo"</formula>
    </cfRule>
  </conditionalFormatting>
  <conditionalFormatting sqref="O52">
    <cfRule type="cellIs" dxfId="998" priority="1010" operator="equal">
      <formula>"+"</formula>
    </cfRule>
    <cfRule type="cellIs" dxfId="997" priority="1011" operator="equal">
      <formula>"szf"</formula>
    </cfRule>
  </conditionalFormatting>
  <conditionalFormatting sqref="O52">
    <cfRule type="cellIs" dxfId="996" priority="1009" operator="equal">
      <formula>"+"</formula>
    </cfRule>
  </conditionalFormatting>
  <conditionalFormatting sqref="O52:O71">
    <cfRule type="cellIs" dxfId="995" priority="1007" operator="equal">
      <formula>"+"</formula>
    </cfRule>
    <cfRule type="cellIs" dxfId="994" priority="1008" operator="equal">
      <formula>"szf"</formula>
    </cfRule>
  </conditionalFormatting>
  <conditionalFormatting sqref="O52:O71">
    <cfRule type="cellIs" dxfId="993" priority="1003" operator="equal">
      <formula>"V"</formula>
    </cfRule>
    <cfRule type="cellIs" dxfId="992" priority="1004" operator="equal">
      <formula>"Szo"</formula>
    </cfRule>
    <cfRule type="cellIs" dxfId="991" priority="1005" operator="equal">
      <formula>"X"</formula>
    </cfRule>
    <cfRule type="cellIs" dxfId="990" priority="1006" operator="equal">
      <formula>"X"</formula>
    </cfRule>
  </conditionalFormatting>
  <conditionalFormatting sqref="O52:O71">
    <cfRule type="cellIs" dxfId="989" priority="1000" operator="equal">
      <formula>"X"</formula>
    </cfRule>
    <cfRule type="cellIs" dxfId="988" priority="1001" operator="equal">
      <formula>"V"</formula>
    </cfRule>
    <cfRule type="cellIs" dxfId="987" priority="1002" operator="equal">
      <formula>"Szo"</formula>
    </cfRule>
  </conditionalFormatting>
  <conditionalFormatting sqref="U52">
    <cfRule type="cellIs" dxfId="986" priority="998" operator="equal">
      <formula>"+"</formula>
    </cfRule>
    <cfRule type="cellIs" dxfId="985" priority="999" operator="equal">
      <formula>"szf"</formula>
    </cfRule>
  </conditionalFormatting>
  <conditionalFormatting sqref="U52">
    <cfRule type="cellIs" dxfId="984" priority="997" operator="equal">
      <formula>"+"</formula>
    </cfRule>
  </conditionalFormatting>
  <conditionalFormatting sqref="U52:U71">
    <cfRule type="cellIs" dxfId="983" priority="995" operator="equal">
      <formula>"+"</formula>
    </cfRule>
    <cfRule type="cellIs" dxfId="982" priority="996" operator="equal">
      <formula>"szf"</formula>
    </cfRule>
  </conditionalFormatting>
  <conditionalFormatting sqref="U52:U71">
    <cfRule type="cellIs" dxfId="981" priority="991" operator="equal">
      <formula>"V"</formula>
    </cfRule>
    <cfRule type="cellIs" dxfId="980" priority="992" operator="equal">
      <formula>"Szo"</formula>
    </cfRule>
    <cfRule type="cellIs" dxfId="979" priority="993" operator="equal">
      <formula>"X"</formula>
    </cfRule>
    <cfRule type="cellIs" dxfId="978" priority="994" operator="equal">
      <formula>"X"</formula>
    </cfRule>
  </conditionalFormatting>
  <conditionalFormatting sqref="U52:U71">
    <cfRule type="cellIs" dxfId="977" priority="988" operator="equal">
      <formula>"X"</formula>
    </cfRule>
    <cfRule type="cellIs" dxfId="976" priority="989" operator="equal">
      <formula>"V"</formula>
    </cfRule>
    <cfRule type="cellIs" dxfId="975" priority="990" operator="equal">
      <formula>"Szo"</formula>
    </cfRule>
  </conditionalFormatting>
  <conditionalFormatting sqref="V52">
    <cfRule type="cellIs" dxfId="974" priority="986" operator="equal">
      <formula>"+"</formula>
    </cfRule>
    <cfRule type="cellIs" dxfId="973" priority="987" operator="equal">
      <formula>"szf"</formula>
    </cfRule>
  </conditionalFormatting>
  <conditionalFormatting sqref="V52">
    <cfRule type="cellIs" dxfId="972" priority="985" operator="equal">
      <formula>"+"</formula>
    </cfRule>
  </conditionalFormatting>
  <conditionalFormatting sqref="V52:V71">
    <cfRule type="cellIs" dxfId="971" priority="983" operator="equal">
      <formula>"+"</formula>
    </cfRule>
    <cfRule type="cellIs" dxfId="970" priority="984" operator="equal">
      <formula>"szf"</formula>
    </cfRule>
  </conditionalFormatting>
  <conditionalFormatting sqref="V52:V71">
    <cfRule type="cellIs" dxfId="969" priority="979" operator="equal">
      <formula>"V"</formula>
    </cfRule>
    <cfRule type="cellIs" dxfId="968" priority="980" operator="equal">
      <formula>"Szo"</formula>
    </cfRule>
    <cfRule type="cellIs" dxfId="967" priority="981" operator="equal">
      <formula>"X"</formula>
    </cfRule>
    <cfRule type="cellIs" dxfId="966" priority="982" operator="equal">
      <formula>"X"</formula>
    </cfRule>
  </conditionalFormatting>
  <conditionalFormatting sqref="V52:V71">
    <cfRule type="cellIs" dxfId="965" priority="976" operator="equal">
      <formula>"X"</formula>
    </cfRule>
    <cfRule type="cellIs" dxfId="964" priority="977" operator="equal">
      <formula>"V"</formula>
    </cfRule>
    <cfRule type="cellIs" dxfId="963" priority="978" operator="equal">
      <formula>"Szo"</formula>
    </cfRule>
  </conditionalFormatting>
  <conditionalFormatting sqref="AB52">
    <cfRule type="cellIs" dxfId="962" priority="974" operator="equal">
      <formula>"+"</formula>
    </cfRule>
    <cfRule type="cellIs" dxfId="961" priority="975" operator="equal">
      <formula>"szf"</formula>
    </cfRule>
  </conditionalFormatting>
  <conditionalFormatting sqref="AB52">
    <cfRule type="cellIs" dxfId="960" priority="973" operator="equal">
      <formula>"+"</formula>
    </cfRule>
  </conditionalFormatting>
  <conditionalFormatting sqref="AB52:AB71">
    <cfRule type="cellIs" dxfId="959" priority="971" operator="equal">
      <formula>"+"</formula>
    </cfRule>
    <cfRule type="cellIs" dxfId="958" priority="972" operator="equal">
      <formula>"szf"</formula>
    </cfRule>
  </conditionalFormatting>
  <conditionalFormatting sqref="AB52:AB71">
    <cfRule type="cellIs" dxfId="957" priority="967" operator="equal">
      <formula>"V"</formula>
    </cfRule>
    <cfRule type="cellIs" dxfId="956" priority="968" operator="equal">
      <formula>"Szo"</formula>
    </cfRule>
    <cfRule type="cellIs" dxfId="955" priority="969" operator="equal">
      <formula>"X"</formula>
    </cfRule>
    <cfRule type="cellIs" dxfId="954" priority="970" operator="equal">
      <formula>"X"</formula>
    </cfRule>
  </conditionalFormatting>
  <conditionalFormatting sqref="AB52:AB71">
    <cfRule type="cellIs" dxfId="953" priority="964" operator="equal">
      <formula>"X"</formula>
    </cfRule>
    <cfRule type="cellIs" dxfId="952" priority="965" operator="equal">
      <formula>"V"</formula>
    </cfRule>
    <cfRule type="cellIs" dxfId="951" priority="966" operator="equal">
      <formula>"Szo"</formula>
    </cfRule>
  </conditionalFormatting>
  <conditionalFormatting sqref="AC52">
    <cfRule type="cellIs" dxfId="950" priority="962" operator="equal">
      <formula>"+"</formula>
    </cfRule>
    <cfRule type="cellIs" dxfId="949" priority="963" operator="equal">
      <formula>"szf"</formula>
    </cfRule>
  </conditionalFormatting>
  <conditionalFormatting sqref="AC52">
    <cfRule type="cellIs" dxfId="948" priority="961" operator="equal">
      <formula>"+"</formula>
    </cfRule>
  </conditionalFormatting>
  <conditionalFormatting sqref="AC52:AC71">
    <cfRule type="cellIs" dxfId="947" priority="959" operator="equal">
      <formula>"+"</formula>
    </cfRule>
    <cfRule type="cellIs" dxfId="946" priority="960" operator="equal">
      <formula>"szf"</formula>
    </cfRule>
  </conditionalFormatting>
  <conditionalFormatting sqref="AC52:AC71">
    <cfRule type="cellIs" dxfId="945" priority="955" operator="equal">
      <formula>"V"</formula>
    </cfRule>
    <cfRule type="cellIs" dxfId="944" priority="956" operator="equal">
      <formula>"Szo"</formula>
    </cfRule>
    <cfRule type="cellIs" dxfId="943" priority="957" operator="equal">
      <formula>"X"</formula>
    </cfRule>
    <cfRule type="cellIs" dxfId="942" priority="958" operator="equal">
      <formula>"X"</formula>
    </cfRule>
  </conditionalFormatting>
  <conditionalFormatting sqref="AC52:AC71">
    <cfRule type="cellIs" dxfId="941" priority="952" operator="equal">
      <formula>"X"</formula>
    </cfRule>
    <cfRule type="cellIs" dxfId="940" priority="953" operator="equal">
      <formula>"V"</formula>
    </cfRule>
    <cfRule type="cellIs" dxfId="939" priority="954" operator="equal">
      <formula>"Szo"</formula>
    </cfRule>
  </conditionalFormatting>
  <conditionalFormatting sqref="E76">
    <cfRule type="cellIs" dxfId="938" priority="950" operator="equal">
      <formula>"+"</formula>
    </cfRule>
    <cfRule type="cellIs" dxfId="937" priority="951" operator="equal">
      <formula>"szf"</formula>
    </cfRule>
  </conditionalFormatting>
  <conditionalFormatting sqref="E76">
    <cfRule type="cellIs" dxfId="936" priority="949" operator="equal">
      <formula>"+"</formula>
    </cfRule>
  </conditionalFormatting>
  <conditionalFormatting sqref="E76:E95">
    <cfRule type="cellIs" dxfId="935" priority="947" operator="equal">
      <formula>"+"</formula>
    </cfRule>
    <cfRule type="cellIs" dxfId="934" priority="948" operator="equal">
      <formula>"szf"</formula>
    </cfRule>
  </conditionalFormatting>
  <conditionalFormatting sqref="E76:E95">
    <cfRule type="cellIs" dxfId="933" priority="943" operator="equal">
      <formula>"V"</formula>
    </cfRule>
    <cfRule type="cellIs" dxfId="932" priority="944" operator="equal">
      <formula>"Szo"</formula>
    </cfRule>
    <cfRule type="cellIs" dxfId="931" priority="945" operator="equal">
      <formula>"X"</formula>
    </cfRule>
    <cfRule type="cellIs" dxfId="930" priority="946" operator="equal">
      <formula>"X"</formula>
    </cfRule>
  </conditionalFormatting>
  <conditionalFormatting sqref="E76:E95">
    <cfRule type="cellIs" dxfId="929" priority="940" operator="equal">
      <formula>"X"</formula>
    </cfRule>
    <cfRule type="cellIs" dxfId="928" priority="941" operator="equal">
      <formula>"V"</formula>
    </cfRule>
    <cfRule type="cellIs" dxfId="927" priority="942" operator="equal">
      <formula>"Szo"</formula>
    </cfRule>
  </conditionalFormatting>
  <conditionalFormatting sqref="D76">
    <cfRule type="cellIs" dxfId="926" priority="938" operator="equal">
      <formula>"+"</formula>
    </cfRule>
    <cfRule type="cellIs" dxfId="925" priority="939" operator="equal">
      <formula>"szf"</formula>
    </cfRule>
  </conditionalFormatting>
  <conditionalFormatting sqref="D76">
    <cfRule type="cellIs" dxfId="924" priority="937" operator="equal">
      <formula>"+"</formula>
    </cfRule>
  </conditionalFormatting>
  <conditionalFormatting sqref="D76:D95">
    <cfRule type="cellIs" dxfId="923" priority="935" operator="equal">
      <formula>"+"</formula>
    </cfRule>
    <cfRule type="cellIs" dxfId="922" priority="936" operator="equal">
      <formula>"szf"</formula>
    </cfRule>
  </conditionalFormatting>
  <conditionalFormatting sqref="D76:D95">
    <cfRule type="cellIs" dxfId="921" priority="931" operator="equal">
      <formula>"V"</formula>
    </cfRule>
    <cfRule type="cellIs" dxfId="920" priority="932" operator="equal">
      <formula>"Szo"</formula>
    </cfRule>
    <cfRule type="cellIs" dxfId="919" priority="933" operator="equal">
      <formula>"X"</formula>
    </cfRule>
    <cfRule type="cellIs" dxfId="918" priority="934" operator="equal">
      <formula>"X"</formula>
    </cfRule>
  </conditionalFormatting>
  <conditionalFormatting sqref="D76:D95">
    <cfRule type="cellIs" dxfId="917" priority="928" operator="equal">
      <formula>"X"</formula>
    </cfRule>
    <cfRule type="cellIs" dxfId="916" priority="929" operator="equal">
      <formula>"V"</formula>
    </cfRule>
    <cfRule type="cellIs" dxfId="915" priority="930" operator="equal">
      <formula>"Szo"</formula>
    </cfRule>
  </conditionalFormatting>
  <conditionalFormatting sqref="L76">
    <cfRule type="cellIs" dxfId="914" priority="926" operator="equal">
      <formula>"+"</formula>
    </cfRule>
    <cfRule type="cellIs" dxfId="913" priority="927" operator="equal">
      <formula>"szf"</formula>
    </cfRule>
  </conditionalFormatting>
  <conditionalFormatting sqref="L76">
    <cfRule type="cellIs" dxfId="912" priority="925" operator="equal">
      <formula>"+"</formula>
    </cfRule>
  </conditionalFormatting>
  <conditionalFormatting sqref="L76:L95">
    <cfRule type="cellIs" dxfId="911" priority="923" operator="equal">
      <formula>"+"</formula>
    </cfRule>
    <cfRule type="cellIs" dxfId="910" priority="924" operator="equal">
      <formula>"szf"</formula>
    </cfRule>
  </conditionalFormatting>
  <conditionalFormatting sqref="L76:L95">
    <cfRule type="cellIs" dxfId="909" priority="919" operator="equal">
      <formula>"V"</formula>
    </cfRule>
    <cfRule type="cellIs" dxfId="908" priority="920" operator="equal">
      <formula>"Szo"</formula>
    </cfRule>
    <cfRule type="cellIs" dxfId="907" priority="921" operator="equal">
      <formula>"X"</formula>
    </cfRule>
    <cfRule type="cellIs" dxfId="906" priority="922" operator="equal">
      <formula>"X"</formula>
    </cfRule>
  </conditionalFormatting>
  <conditionalFormatting sqref="L76:L95">
    <cfRule type="cellIs" dxfId="905" priority="916" operator="equal">
      <formula>"X"</formula>
    </cfRule>
    <cfRule type="cellIs" dxfId="904" priority="917" operator="equal">
      <formula>"V"</formula>
    </cfRule>
    <cfRule type="cellIs" dxfId="903" priority="918" operator="equal">
      <formula>"Szo"</formula>
    </cfRule>
  </conditionalFormatting>
  <conditionalFormatting sqref="K76">
    <cfRule type="cellIs" dxfId="902" priority="914" operator="equal">
      <formula>"+"</formula>
    </cfRule>
    <cfRule type="cellIs" dxfId="901" priority="915" operator="equal">
      <formula>"szf"</formula>
    </cfRule>
  </conditionalFormatting>
  <conditionalFormatting sqref="K76">
    <cfRule type="cellIs" dxfId="900" priority="913" operator="equal">
      <formula>"+"</formula>
    </cfRule>
  </conditionalFormatting>
  <conditionalFormatting sqref="K76:K95">
    <cfRule type="cellIs" dxfId="899" priority="911" operator="equal">
      <formula>"+"</formula>
    </cfRule>
    <cfRule type="cellIs" dxfId="898" priority="912" operator="equal">
      <formula>"szf"</formula>
    </cfRule>
  </conditionalFormatting>
  <conditionalFormatting sqref="K76:K95">
    <cfRule type="cellIs" dxfId="897" priority="907" operator="equal">
      <formula>"V"</formula>
    </cfRule>
    <cfRule type="cellIs" dxfId="896" priority="908" operator="equal">
      <formula>"Szo"</formula>
    </cfRule>
    <cfRule type="cellIs" dxfId="895" priority="909" operator="equal">
      <formula>"X"</formula>
    </cfRule>
    <cfRule type="cellIs" dxfId="894" priority="910" operator="equal">
      <formula>"X"</formula>
    </cfRule>
  </conditionalFormatting>
  <conditionalFormatting sqref="K76:K95">
    <cfRule type="cellIs" dxfId="893" priority="904" operator="equal">
      <formula>"X"</formula>
    </cfRule>
    <cfRule type="cellIs" dxfId="892" priority="905" operator="equal">
      <formula>"V"</formula>
    </cfRule>
    <cfRule type="cellIs" dxfId="891" priority="906" operator="equal">
      <formula>"Szo"</formula>
    </cfRule>
  </conditionalFormatting>
  <conditionalFormatting sqref="R76">
    <cfRule type="cellIs" dxfId="890" priority="902" operator="equal">
      <formula>"+"</formula>
    </cfRule>
    <cfRule type="cellIs" dxfId="889" priority="903" operator="equal">
      <formula>"szf"</formula>
    </cfRule>
  </conditionalFormatting>
  <conditionalFormatting sqref="R76">
    <cfRule type="cellIs" dxfId="888" priority="901" operator="equal">
      <formula>"+"</formula>
    </cfRule>
  </conditionalFormatting>
  <conditionalFormatting sqref="R76:R95">
    <cfRule type="cellIs" dxfId="887" priority="899" operator="equal">
      <formula>"+"</formula>
    </cfRule>
    <cfRule type="cellIs" dxfId="886" priority="900" operator="equal">
      <formula>"szf"</formula>
    </cfRule>
  </conditionalFormatting>
  <conditionalFormatting sqref="R76:R95">
    <cfRule type="cellIs" dxfId="885" priority="895" operator="equal">
      <formula>"V"</formula>
    </cfRule>
    <cfRule type="cellIs" dxfId="884" priority="896" operator="equal">
      <formula>"Szo"</formula>
    </cfRule>
    <cfRule type="cellIs" dxfId="883" priority="897" operator="equal">
      <formula>"X"</formula>
    </cfRule>
    <cfRule type="cellIs" dxfId="882" priority="898" operator="equal">
      <formula>"X"</formula>
    </cfRule>
  </conditionalFormatting>
  <conditionalFormatting sqref="R76:R95">
    <cfRule type="cellIs" dxfId="881" priority="892" operator="equal">
      <formula>"X"</formula>
    </cfRule>
    <cfRule type="cellIs" dxfId="880" priority="893" operator="equal">
      <formula>"V"</formula>
    </cfRule>
    <cfRule type="cellIs" dxfId="879" priority="894" operator="equal">
      <formula>"Szo"</formula>
    </cfRule>
  </conditionalFormatting>
  <conditionalFormatting sqref="S76">
    <cfRule type="cellIs" dxfId="878" priority="890" operator="equal">
      <formula>"+"</formula>
    </cfRule>
    <cfRule type="cellIs" dxfId="877" priority="891" operator="equal">
      <formula>"szf"</formula>
    </cfRule>
  </conditionalFormatting>
  <conditionalFormatting sqref="S76">
    <cfRule type="cellIs" dxfId="876" priority="889" operator="equal">
      <formula>"+"</formula>
    </cfRule>
  </conditionalFormatting>
  <conditionalFormatting sqref="S76:S95">
    <cfRule type="cellIs" dxfId="875" priority="887" operator="equal">
      <formula>"+"</formula>
    </cfRule>
    <cfRule type="cellIs" dxfId="874" priority="888" operator="equal">
      <formula>"szf"</formula>
    </cfRule>
  </conditionalFormatting>
  <conditionalFormatting sqref="S76:S95">
    <cfRule type="cellIs" dxfId="873" priority="883" operator="equal">
      <formula>"V"</formula>
    </cfRule>
    <cfRule type="cellIs" dxfId="872" priority="884" operator="equal">
      <formula>"Szo"</formula>
    </cfRule>
    <cfRule type="cellIs" dxfId="871" priority="885" operator="equal">
      <formula>"X"</formula>
    </cfRule>
    <cfRule type="cellIs" dxfId="870" priority="886" operator="equal">
      <formula>"X"</formula>
    </cfRule>
  </conditionalFormatting>
  <conditionalFormatting sqref="S76:S95">
    <cfRule type="cellIs" dxfId="869" priority="880" operator="equal">
      <formula>"X"</formula>
    </cfRule>
    <cfRule type="cellIs" dxfId="868" priority="881" operator="equal">
      <formula>"V"</formula>
    </cfRule>
    <cfRule type="cellIs" dxfId="867" priority="882" operator="equal">
      <formula>"Szo"</formula>
    </cfRule>
  </conditionalFormatting>
  <conditionalFormatting sqref="Y76">
    <cfRule type="cellIs" dxfId="866" priority="878" operator="equal">
      <formula>"+"</formula>
    </cfRule>
    <cfRule type="cellIs" dxfId="865" priority="879" operator="equal">
      <formula>"szf"</formula>
    </cfRule>
  </conditionalFormatting>
  <conditionalFormatting sqref="Y76">
    <cfRule type="cellIs" dxfId="864" priority="877" operator="equal">
      <formula>"+"</formula>
    </cfRule>
  </conditionalFormatting>
  <conditionalFormatting sqref="Y76:Y95">
    <cfRule type="cellIs" dxfId="863" priority="875" operator="equal">
      <formula>"+"</formula>
    </cfRule>
    <cfRule type="cellIs" dxfId="862" priority="876" operator="equal">
      <formula>"szf"</formula>
    </cfRule>
  </conditionalFormatting>
  <conditionalFormatting sqref="Y76:Y95">
    <cfRule type="cellIs" dxfId="861" priority="871" operator="equal">
      <formula>"V"</formula>
    </cfRule>
    <cfRule type="cellIs" dxfId="860" priority="872" operator="equal">
      <formula>"Szo"</formula>
    </cfRule>
    <cfRule type="cellIs" dxfId="859" priority="873" operator="equal">
      <formula>"X"</formula>
    </cfRule>
    <cfRule type="cellIs" dxfId="858" priority="874" operator="equal">
      <formula>"X"</formula>
    </cfRule>
  </conditionalFormatting>
  <conditionalFormatting sqref="Y76:Y95">
    <cfRule type="cellIs" dxfId="857" priority="868" operator="equal">
      <formula>"X"</formula>
    </cfRule>
    <cfRule type="cellIs" dxfId="856" priority="869" operator="equal">
      <formula>"V"</formula>
    </cfRule>
    <cfRule type="cellIs" dxfId="855" priority="870" operator="equal">
      <formula>"Szo"</formula>
    </cfRule>
  </conditionalFormatting>
  <conditionalFormatting sqref="Z76">
    <cfRule type="cellIs" dxfId="854" priority="866" operator="equal">
      <formula>"+"</formula>
    </cfRule>
    <cfRule type="cellIs" dxfId="853" priority="867" operator="equal">
      <formula>"szf"</formula>
    </cfRule>
  </conditionalFormatting>
  <conditionalFormatting sqref="Z76">
    <cfRule type="cellIs" dxfId="852" priority="865" operator="equal">
      <formula>"+"</formula>
    </cfRule>
  </conditionalFormatting>
  <conditionalFormatting sqref="Z76:Z95">
    <cfRule type="cellIs" dxfId="851" priority="863" operator="equal">
      <formula>"+"</formula>
    </cfRule>
    <cfRule type="cellIs" dxfId="850" priority="864" operator="equal">
      <formula>"szf"</formula>
    </cfRule>
  </conditionalFormatting>
  <conditionalFormatting sqref="Z76:Z95">
    <cfRule type="cellIs" dxfId="849" priority="859" operator="equal">
      <formula>"V"</formula>
    </cfRule>
    <cfRule type="cellIs" dxfId="848" priority="860" operator="equal">
      <formula>"Szo"</formula>
    </cfRule>
    <cfRule type="cellIs" dxfId="847" priority="861" operator="equal">
      <formula>"X"</formula>
    </cfRule>
    <cfRule type="cellIs" dxfId="846" priority="862" operator="equal">
      <formula>"X"</formula>
    </cfRule>
  </conditionalFormatting>
  <conditionalFormatting sqref="Z76:Z95">
    <cfRule type="cellIs" dxfId="845" priority="856" operator="equal">
      <formula>"X"</formula>
    </cfRule>
    <cfRule type="cellIs" dxfId="844" priority="857" operator="equal">
      <formula>"V"</formula>
    </cfRule>
    <cfRule type="cellIs" dxfId="843" priority="858" operator="equal">
      <formula>"Szo"</formula>
    </cfRule>
  </conditionalFormatting>
  <conditionalFormatting sqref="B100">
    <cfRule type="cellIs" dxfId="842" priority="854" operator="equal">
      <formula>"+"</formula>
    </cfRule>
    <cfRule type="cellIs" dxfId="841" priority="855" operator="equal">
      <formula>"szf"</formula>
    </cfRule>
  </conditionalFormatting>
  <conditionalFormatting sqref="B100">
    <cfRule type="cellIs" dxfId="840" priority="853" operator="equal">
      <formula>"+"</formula>
    </cfRule>
  </conditionalFormatting>
  <conditionalFormatting sqref="B100:B119">
    <cfRule type="cellIs" dxfId="839" priority="851" operator="equal">
      <formula>"+"</formula>
    </cfRule>
    <cfRule type="cellIs" dxfId="838" priority="852" operator="equal">
      <formula>"szf"</formula>
    </cfRule>
  </conditionalFormatting>
  <conditionalFormatting sqref="B100:B119">
    <cfRule type="cellIs" dxfId="837" priority="847" operator="equal">
      <formula>"V"</formula>
    </cfRule>
    <cfRule type="cellIs" dxfId="836" priority="848" operator="equal">
      <formula>"Szo"</formula>
    </cfRule>
    <cfRule type="cellIs" dxfId="835" priority="849" operator="equal">
      <formula>"X"</formula>
    </cfRule>
    <cfRule type="cellIs" dxfId="834" priority="850" operator="equal">
      <formula>"X"</formula>
    </cfRule>
  </conditionalFormatting>
  <conditionalFormatting sqref="B100:B119">
    <cfRule type="cellIs" dxfId="833" priority="844" operator="equal">
      <formula>"X"</formula>
    </cfRule>
    <cfRule type="cellIs" dxfId="832" priority="845" operator="equal">
      <formula>"V"</formula>
    </cfRule>
    <cfRule type="cellIs" dxfId="831" priority="846" operator="equal">
      <formula>"Szo"</formula>
    </cfRule>
  </conditionalFormatting>
  <conditionalFormatting sqref="C100">
    <cfRule type="cellIs" dxfId="830" priority="842" operator="equal">
      <formula>"+"</formula>
    </cfRule>
    <cfRule type="cellIs" dxfId="829" priority="843" operator="equal">
      <formula>"szf"</formula>
    </cfRule>
  </conditionalFormatting>
  <conditionalFormatting sqref="C100">
    <cfRule type="cellIs" dxfId="828" priority="841" operator="equal">
      <formula>"+"</formula>
    </cfRule>
  </conditionalFormatting>
  <conditionalFormatting sqref="C100:C119">
    <cfRule type="cellIs" dxfId="827" priority="839" operator="equal">
      <formula>"+"</formula>
    </cfRule>
    <cfRule type="cellIs" dxfId="826" priority="840" operator="equal">
      <formula>"szf"</formula>
    </cfRule>
  </conditionalFormatting>
  <conditionalFormatting sqref="C100:C119">
    <cfRule type="cellIs" dxfId="825" priority="835" operator="equal">
      <formula>"V"</formula>
    </cfRule>
    <cfRule type="cellIs" dxfId="824" priority="836" operator="equal">
      <formula>"Szo"</formula>
    </cfRule>
    <cfRule type="cellIs" dxfId="823" priority="837" operator="equal">
      <formula>"X"</formula>
    </cfRule>
    <cfRule type="cellIs" dxfId="822" priority="838" operator="equal">
      <formula>"X"</formula>
    </cfRule>
  </conditionalFormatting>
  <conditionalFormatting sqref="C100:C119">
    <cfRule type="cellIs" dxfId="821" priority="832" operator="equal">
      <formula>"X"</formula>
    </cfRule>
    <cfRule type="cellIs" dxfId="820" priority="833" operator="equal">
      <formula>"V"</formula>
    </cfRule>
    <cfRule type="cellIs" dxfId="819" priority="834" operator="equal">
      <formula>"Szo"</formula>
    </cfRule>
  </conditionalFormatting>
  <conditionalFormatting sqref="I100">
    <cfRule type="cellIs" dxfId="818" priority="830" operator="equal">
      <formula>"+"</formula>
    </cfRule>
    <cfRule type="cellIs" dxfId="817" priority="831" operator="equal">
      <formula>"szf"</formula>
    </cfRule>
  </conditionalFormatting>
  <conditionalFormatting sqref="I100">
    <cfRule type="cellIs" dxfId="816" priority="829" operator="equal">
      <formula>"+"</formula>
    </cfRule>
  </conditionalFormatting>
  <conditionalFormatting sqref="I100:I119">
    <cfRule type="cellIs" dxfId="815" priority="827" operator="equal">
      <formula>"+"</formula>
    </cfRule>
    <cfRule type="cellIs" dxfId="814" priority="828" operator="equal">
      <formula>"szf"</formula>
    </cfRule>
  </conditionalFormatting>
  <conditionalFormatting sqref="I100:I119">
    <cfRule type="cellIs" dxfId="813" priority="823" operator="equal">
      <formula>"V"</formula>
    </cfRule>
    <cfRule type="cellIs" dxfId="812" priority="824" operator="equal">
      <formula>"Szo"</formula>
    </cfRule>
    <cfRule type="cellIs" dxfId="811" priority="825" operator="equal">
      <formula>"X"</formula>
    </cfRule>
    <cfRule type="cellIs" dxfId="810" priority="826" operator="equal">
      <formula>"X"</formula>
    </cfRule>
  </conditionalFormatting>
  <conditionalFormatting sqref="I100:I119">
    <cfRule type="cellIs" dxfId="809" priority="820" operator="equal">
      <formula>"X"</formula>
    </cfRule>
    <cfRule type="cellIs" dxfId="808" priority="821" operator="equal">
      <formula>"V"</formula>
    </cfRule>
    <cfRule type="cellIs" dxfId="807" priority="822" operator="equal">
      <formula>"Szo"</formula>
    </cfRule>
  </conditionalFormatting>
  <conditionalFormatting sqref="J100">
    <cfRule type="cellIs" dxfId="806" priority="818" operator="equal">
      <formula>"+"</formula>
    </cfRule>
    <cfRule type="cellIs" dxfId="805" priority="819" operator="equal">
      <formula>"szf"</formula>
    </cfRule>
  </conditionalFormatting>
  <conditionalFormatting sqref="J100">
    <cfRule type="cellIs" dxfId="804" priority="817" operator="equal">
      <formula>"+"</formula>
    </cfRule>
  </conditionalFormatting>
  <conditionalFormatting sqref="J100:J119">
    <cfRule type="cellIs" dxfId="803" priority="815" operator="equal">
      <formula>"+"</formula>
    </cfRule>
    <cfRule type="cellIs" dxfId="802" priority="816" operator="equal">
      <formula>"szf"</formula>
    </cfRule>
  </conditionalFormatting>
  <conditionalFormatting sqref="J100:J119">
    <cfRule type="cellIs" dxfId="801" priority="811" operator="equal">
      <formula>"V"</formula>
    </cfRule>
    <cfRule type="cellIs" dxfId="800" priority="812" operator="equal">
      <formula>"Szo"</formula>
    </cfRule>
    <cfRule type="cellIs" dxfId="799" priority="813" operator="equal">
      <formula>"X"</formula>
    </cfRule>
    <cfRule type="cellIs" dxfId="798" priority="814" operator="equal">
      <formula>"X"</formula>
    </cfRule>
  </conditionalFormatting>
  <conditionalFormatting sqref="J100:J119">
    <cfRule type="cellIs" dxfId="797" priority="808" operator="equal">
      <formula>"X"</formula>
    </cfRule>
    <cfRule type="cellIs" dxfId="796" priority="809" operator="equal">
      <formula>"V"</formula>
    </cfRule>
    <cfRule type="cellIs" dxfId="795" priority="810" operator="equal">
      <formula>"Szo"</formula>
    </cfRule>
  </conditionalFormatting>
  <conditionalFormatting sqref="P100">
    <cfRule type="cellIs" dxfId="794" priority="806" operator="equal">
      <formula>"+"</formula>
    </cfRule>
    <cfRule type="cellIs" dxfId="793" priority="807" operator="equal">
      <formula>"szf"</formula>
    </cfRule>
  </conditionalFormatting>
  <conditionalFormatting sqref="P100">
    <cfRule type="cellIs" dxfId="792" priority="805" operator="equal">
      <formula>"+"</formula>
    </cfRule>
  </conditionalFormatting>
  <conditionalFormatting sqref="P100:P119">
    <cfRule type="cellIs" dxfId="791" priority="803" operator="equal">
      <formula>"+"</formula>
    </cfRule>
    <cfRule type="cellIs" dxfId="790" priority="804" operator="equal">
      <formula>"szf"</formula>
    </cfRule>
  </conditionalFormatting>
  <conditionalFormatting sqref="P100:P119">
    <cfRule type="cellIs" dxfId="789" priority="799" operator="equal">
      <formula>"V"</formula>
    </cfRule>
    <cfRule type="cellIs" dxfId="788" priority="800" operator="equal">
      <formula>"Szo"</formula>
    </cfRule>
    <cfRule type="cellIs" dxfId="787" priority="801" operator="equal">
      <formula>"X"</formula>
    </cfRule>
    <cfRule type="cellIs" dxfId="786" priority="802" operator="equal">
      <formula>"X"</formula>
    </cfRule>
  </conditionalFormatting>
  <conditionalFormatting sqref="P100:P119">
    <cfRule type="cellIs" dxfId="785" priority="796" operator="equal">
      <formula>"X"</formula>
    </cfRule>
    <cfRule type="cellIs" dxfId="784" priority="797" operator="equal">
      <formula>"V"</formula>
    </cfRule>
    <cfRule type="cellIs" dxfId="783" priority="798" operator="equal">
      <formula>"Szo"</formula>
    </cfRule>
  </conditionalFormatting>
  <conditionalFormatting sqref="Q100">
    <cfRule type="cellIs" dxfId="782" priority="794" operator="equal">
      <formula>"+"</formula>
    </cfRule>
    <cfRule type="cellIs" dxfId="781" priority="795" operator="equal">
      <formula>"szf"</formula>
    </cfRule>
  </conditionalFormatting>
  <conditionalFormatting sqref="Q100">
    <cfRule type="cellIs" dxfId="780" priority="793" operator="equal">
      <formula>"+"</formula>
    </cfRule>
  </conditionalFormatting>
  <conditionalFormatting sqref="Q100:Q119">
    <cfRule type="cellIs" dxfId="779" priority="791" operator="equal">
      <formula>"+"</formula>
    </cfRule>
    <cfRule type="cellIs" dxfId="778" priority="792" operator="equal">
      <formula>"szf"</formula>
    </cfRule>
  </conditionalFormatting>
  <conditionalFormatting sqref="Q100:Q119">
    <cfRule type="cellIs" dxfId="777" priority="787" operator="equal">
      <formula>"V"</formula>
    </cfRule>
    <cfRule type="cellIs" dxfId="776" priority="788" operator="equal">
      <formula>"Szo"</formula>
    </cfRule>
    <cfRule type="cellIs" dxfId="775" priority="789" operator="equal">
      <formula>"X"</formula>
    </cfRule>
    <cfRule type="cellIs" dxfId="774" priority="790" operator="equal">
      <formula>"X"</formula>
    </cfRule>
  </conditionalFormatting>
  <conditionalFormatting sqref="Q100:Q119">
    <cfRule type="cellIs" dxfId="773" priority="784" operator="equal">
      <formula>"X"</formula>
    </cfRule>
    <cfRule type="cellIs" dxfId="772" priority="785" operator="equal">
      <formula>"V"</formula>
    </cfRule>
    <cfRule type="cellIs" dxfId="771" priority="786" operator="equal">
      <formula>"Szo"</formula>
    </cfRule>
  </conditionalFormatting>
  <conditionalFormatting sqref="X100">
    <cfRule type="cellIs" dxfId="770" priority="770" operator="equal">
      <formula>"+"</formula>
    </cfRule>
    <cfRule type="cellIs" dxfId="769" priority="771" operator="equal">
      <formula>"szf"</formula>
    </cfRule>
  </conditionalFormatting>
  <conditionalFormatting sqref="X100">
    <cfRule type="cellIs" dxfId="768" priority="769" operator="equal">
      <formula>"+"</formula>
    </cfRule>
  </conditionalFormatting>
  <conditionalFormatting sqref="X100:X119">
    <cfRule type="cellIs" dxfId="767" priority="767" operator="equal">
      <formula>"+"</formula>
    </cfRule>
    <cfRule type="cellIs" dxfId="766" priority="768" operator="equal">
      <formula>"szf"</formula>
    </cfRule>
  </conditionalFormatting>
  <conditionalFormatting sqref="X100:X119">
    <cfRule type="cellIs" dxfId="765" priority="763" operator="equal">
      <formula>"V"</formula>
    </cfRule>
    <cfRule type="cellIs" dxfId="764" priority="764" operator="equal">
      <formula>"Szo"</formula>
    </cfRule>
    <cfRule type="cellIs" dxfId="763" priority="765" operator="equal">
      <formula>"X"</formula>
    </cfRule>
    <cfRule type="cellIs" dxfId="762" priority="766" operator="equal">
      <formula>"X"</formula>
    </cfRule>
  </conditionalFormatting>
  <conditionalFormatting sqref="X100:X119">
    <cfRule type="cellIs" dxfId="761" priority="760" operator="equal">
      <formula>"X"</formula>
    </cfRule>
    <cfRule type="cellIs" dxfId="760" priority="761" operator="equal">
      <formula>"V"</formula>
    </cfRule>
    <cfRule type="cellIs" dxfId="759" priority="762" operator="equal">
      <formula>"Szo"</formula>
    </cfRule>
  </conditionalFormatting>
  <conditionalFormatting sqref="W100">
    <cfRule type="cellIs" dxfId="758" priority="758" operator="equal">
      <formula>"+"</formula>
    </cfRule>
    <cfRule type="cellIs" dxfId="757" priority="759" operator="equal">
      <formula>"szf"</formula>
    </cfRule>
  </conditionalFormatting>
  <conditionalFormatting sqref="W100">
    <cfRule type="cellIs" dxfId="756" priority="757" operator="equal">
      <formula>"+"</formula>
    </cfRule>
  </conditionalFormatting>
  <conditionalFormatting sqref="W100:W119">
    <cfRule type="cellIs" dxfId="755" priority="755" operator="equal">
      <formula>"+"</formula>
    </cfRule>
    <cfRule type="cellIs" dxfId="754" priority="756" operator="equal">
      <formula>"szf"</formula>
    </cfRule>
  </conditionalFormatting>
  <conditionalFormatting sqref="W100:W119">
    <cfRule type="cellIs" dxfId="753" priority="751" operator="equal">
      <formula>"V"</formula>
    </cfRule>
    <cfRule type="cellIs" dxfId="752" priority="752" operator="equal">
      <formula>"Szo"</formula>
    </cfRule>
    <cfRule type="cellIs" dxfId="751" priority="753" operator="equal">
      <formula>"X"</formula>
    </cfRule>
    <cfRule type="cellIs" dxfId="750" priority="754" operator="equal">
      <formula>"X"</formula>
    </cfRule>
  </conditionalFormatting>
  <conditionalFormatting sqref="W100:W119">
    <cfRule type="cellIs" dxfId="749" priority="748" operator="equal">
      <formula>"X"</formula>
    </cfRule>
    <cfRule type="cellIs" dxfId="748" priority="749" operator="equal">
      <formula>"V"</formula>
    </cfRule>
    <cfRule type="cellIs" dxfId="747" priority="750" operator="equal">
      <formula>"Szo"</formula>
    </cfRule>
  </conditionalFormatting>
  <conditionalFormatting sqref="AD100">
    <cfRule type="cellIs" dxfId="746" priority="746" operator="equal">
      <formula>"+"</formula>
    </cfRule>
    <cfRule type="cellIs" dxfId="745" priority="747" operator="equal">
      <formula>"szf"</formula>
    </cfRule>
  </conditionalFormatting>
  <conditionalFormatting sqref="AD100">
    <cfRule type="cellIs" dxfId="744" priority="745" operator="equal">
      <formula>"+"</formula>
    </cfRule>
  </conditionalFormatting>
  <conditionalFormatting sqref="AD100:AD119">
    <cfRule type="cellIs" dxfId="743" priority="743" operator="equal">
      <formula>"+"</formula>
    </cfRule>
    <cfRule type="cellIs" dxfId="742" priority="744" operator="equal">
      <formula>"szf"</formula>
    </cfRule>
  </conditionalFormatting>
  <conditionalFormatting sqref="AD100:AD119">
    <cfRule type="cellIs" dxfId="741" priority="739" operator="equal">
      <formula>"V"</formula>
    </cfRule>
    <cfRule type="cellIs" dxfId="740" priority="740" operator="equal">
      <formula>"Szo"</formula>
    </cfRule>
    <cfRule type="cellIs" dxfId="739" priority="741" operator="equal">
      <formula>"X"</formula>
    </cfRule>
    <cfRule type="cellIs" dxfId="738" priority="742" operator="equal">
      <formula>"X"</formula>
    </cfRule>
  </conditionalFormatting>
  <conditionalFormatting sqref="AD100:AD119">
    <cfRule type="cellIs" dxfId="737" priority="736" operator="equal">
      <formula>"X"</formula>
    </cfRule>
    <cfRule type="cellIs" dxfId="736" priority="737" operator="equal">
      <formula>"V"</formula>
    </cfRule>
    <cfRule type="cellIs" dxfId="735" priority="738" operator="equal">
      <formula>"Szo"</formula>
    </cfRule>
  </conditionalFormatting>
  <conditionalFormatting sqref="AE100">
    <cfRule type="cellIs" dxfId="734" priority="734" operator="equal">
      <formula>"+"</formula>
    </cfRule>
    <cfRule type="cellIs" dxfId="733" priority="735" operator="equal">
      <formula>"szf"</formula>
    </cfRule>
  </conditionalFormatting>
  <conditionalFormatting sqref="AE100">
    <cfRule type="cellIs" dxfId="732" priority="733" operator="equal">
      <formula>"+"</formula>
    </cfRule>
  </conditionalFormatting>
  <conditionalFormatting sqref="AE100:AE119">
    <cfRule type="cellIs" dxfId="731" priority="731" operator="equal">
      <formula>"+"</formula>
    </cfRule>
    <cfRule type="cellIs" dxfId="730" priority="732" operator="equal">
      <formula>"szf"</formula>
    </cfRule>
  </conditionalFormatting>
  <conditionalFormatting sqref="AE100:AE119">
    <cfRule type="cellIs" dxfId="729" priority="727" operator="equal">
      <formula>"V"</formula>
    </cfRule>
    <cfRule type="cellIs" dxfId="728" priority="728" operator="equal">
      <formula>"Szo"</formula>
    </cfRule>
    <cfRule type="cellIs" dxfId="727" priority="729" operator="equal">
      <formula>"X"</formula>
    </cfRule>
    <cfRule type="cellIs" dxfId="726" priority="730" operator="equal">
      <formula>"X"</formula>
    </cfRule>
  </conditionalFormatting>
  <conditionalFormatting sqref="AE100:AE119">
    <cfRule type="cellIs" dxfId="725" priority="724" operator="equal">
      <formula>"X"</formula>
    </cfRule>
    <cfRule type="cellIs" dxfId="724" priority="725" operator="equal">
      <formula>"V"</formula>
    </cfRule>
    <cfRule type="cellIs" dxfId="723" priority="726" operator="equal">
      <formula>"Szo"</formula>
    </cfRule>
  </conditionalFormatting>
  <conditionalFormatting sqref="F124">
    <cfRule type="cellIs" dxfId="722" priority="722" operator="equal">
      <formula>"+"</formula>
    </cfRule>
    <cfRule type="cellIs" dxfId="721" priority="723" operator="equal">
      <formula>"szf"</formula>
    </cfRule>
  </conditionalFormatting>
  <conditionalFormatting sqref="F124">
    <cfRule type="cellIs" dxfId="720" priority="721" operator="equal">
      <formula>"+"</formula>
    </cfRule>
  </conditionalFormatting>
  <conditionalFormatting sqref="F124:F143">
    <cfRule type="cellIs" dxfId="719" priority="719" operator="equal">
      <formula>"+"</formula>
    </cfRule>
    <cfRule type="cellIs" dxfId="718" priority="720" operator="equal">
      <formula>"szf"</formula>
    </cfRule>
  </conditionalFormatting>
  <conditionalFormatting sqref="F124:F143">
    <cfRule type="cellIs" dxfId="717" priority="715" operator="equal">
      <formula>"V"</formula>
    </cfRule>
    <cfRule type="cellIs" dxfId="716" priority="716" operator="equal">
      <formula>"Szo"</formula>
    </cfRule>
    <cfRule type="cellIs" dxfId="715" priority="717" operator="equal">
      <formula>"X"</formula>
    </cfRule>
    <cfRule type="cellIs" dxfId="714" priority="718" operator="equal">
      <formula>"X"</formula>
    </cfRule>
  </conditionalFormatting>
  <conditionalFormatting sqref="F124:F143">
    <cfRule type="cellIs" dxfId="713" priority="712" operator="equal">
      <formula>"X"</formula>
    </cfRule>
    <cfRule type="cellIs" dxfId="712" priority="713" operator="equal">
      <formula>"V"</formula>
    </cfRule>
    <cfRule type="cellIs" dxfId="711" priority="714" operator="equal">
      <formula>"Szo"</formula>
    </cfRule>
  </conditionalFormatting>
  <conditionalFormatting sqref="G124">
    <cfRule type="cellIs" dxfId="710" priority="710" operator="equal">
      <formula>"+"</formula>
    </cfRule>
    <cfRule type="cellIs" dxfId="709" priority="711" operator="equal">
      <formula>"szf"</formula>
    </cfRule>
  </conditionalFormatting>
  <conditionalFormatting sqref="G124">
    <cfRule type="cellIs" dxfId="708" priority="709" operator="equal">
      <formula>"+"</formula>
    </cfRule>
  </conditionalFormatting>
  <conditionalFormatting sqref="G124:G143">
    <cfRule type="cellIs" dxfId="707" priority="707" operator="equal">
      <formula>"+"</formula>
    </cfRule>
    <cfRule type="cellIs" dxfId="706" priority="708" operator="equal">
      <formula>"szf"</formula>
    </cfRule>
  </conditionalFormatting>
  <conditionalFormatting sqref="G124:G143">
    <cfRule type="cellIs" dxfId="705" priority="703" operator="equal">
      <formula>"V"</formula>
    </cfRule>
    <cfRule type="cellIs" dxfId="704" priority="704" operator="equal">
      <formula>"Szo"</formula>
    </cfRule>
    <cfRule type="cellIs" dxfId="703" priority="705" operator="equal">
      <formula>"X"</formula>
    </cfRule>
    <cfRule type="cellIs" dxfId="702" priority="706" operator="equal">
      <formula>"X"</formula>
    </cfRule>
  </conditionalFormatting>
  <conditionalFormatting sqref="G124:G143">
    <cfRule type="cellIs" dxfId="701" priority="700" operator="equal">
      <formula>"X"</formula>
    </cfRule>
    <cfRule type="cellIs" dxfId="700" priority="701" operator="equal">
      <formula>"V"</formula>
    </cfRule>
    <cfRule type="cellIs" dxfId="699" priority="702" operator="equal">
      <formula>"Szo"</formula>
    </cfRule>
  </conditionalFormatting>
  <conditionalFormatting sqref="M124">
    <cfRule type="cellIs" dxfId="698" priority="698" operator="equal">
      <formula>"+"</formula>
    </cfRule>
    <cfRule type="cellIs" dxfId="697" priority="699" operator="equal">
      <formula>"szf"</formula>
    </cfRule>
  </conditionalFormatting>
  <conditionalFormatting sqref="M124">
    <cfRule type="cellIs" dxfId="696" priority="697" operator="equal">
      <formula>"+"</formula>
    </cfRule>
  </conditionalFormatting>
  <conditionalFormatting sqref="M124:M143">
    <cfRule type="cellIs" dxfId="695" priority="695" operator="equal">
      <formula>"+"</formula>
    </cfRule>
    <cfRule type="cellIs" dxfId="694" priority="696" operator="equal">
      <formula>"szf"</formula>
    </cfRule>
  </conditionalFormatting>
  <conditionalFormatting sqref="M124:M143">
    <cfRule type="cellIs" dxfId="693" priority="691" operator="equal">
      <formula>"V"</formula>
    </cfRule>
    <cfRule type="cellIs" dxfId="692" priority="692" operator="equal">
      <formula>"Szo"</formula>
    </cfRule>
    <cfRule type="cellIs" dxfId="691" priority="693" operator="equal">
      <formula>"X"</formula>
    </cfRule>
    <cfRule type="cellIs" dxfId="690" priority="694" operator="equal">
      <formula>"X"</formula>
    </cfRule>
  </conditionalFormatting>
  <conditionalFormatting sqref="M124:M143">
    <cfRule type="cellIs" dxfId="689" priority="688" operator="equal">
      <formula>"X"</formula>
    </cfRule>
    <cfRule type="cellIs" dxfId="688" priority="689" operator="equal">
      <formula>"V"</formula>
    </cfRule>
    <cfRule type="cellIs" dxfId="687" priority="690" operator="equal">
      <formula>"Szo"</formula>
    </cfRule>
  </conditionalFormatting>
  <conditionalFormatting sqref="N124">
    <cfRule type="cellIs" dxfId="686" priority="686" operator="equal">
      <formula>"+"</formula>
    </cfRule>
    <cfRule type="cellIs" dxfId="685" priority="687" operator="equal">
      <formula>"szf"</formula>
    </cfRule>
  </conditionalFormatting>
  <conditionalFormatting sqref="N124">
    <cfRule type="cellIs" dxfId="684" priority="685" operator="equal">
      <formula>"+"</formula>
    </cfRule>
  </conditionalFormatting>
  <conditionalFormatting sqref="N124:N143">
    <cfRule type="cellIs" dxfId="683" priority="683" operator="equal">
      <formula>"+"</formula>
    </cfRule>
    <cfRule type="cellIs" dxfId="682" priority="684" operator="equal">
      <formula>"szf"</formula>
    </cfRule>
  </conditionalFormatting>
  <conditionalFormatting sqref="N124:N143">
    <cfRule type="cellIs" dxfId="681" priority="679" operator="equal">
      <formula>"V"</formula>
    </cfRule>
    <cfRule type="cellIs" dxfId="680" priority="680" operator="equal">
      <formula>"Szo"</formula>
    </cfRule>
    <cfRule type="cellIs" dxfId="679" priority="681" operator="equal">
      <formula>"X"</formula>
    </cfRule>
    <cfRule type="cellIs" dxfId="678" priority="682" operator="equal">
      <formula>"X"</formula>
    </cfRule>
  </conditionalFormatting>
  <conditionalFormatting sqref="N124:N143">
    <cfRule type="cellIs" dxfId="677" priority="676" operator="equal">
      <formula>"X"</formula>
    </cfRule>
    <cfRule type="cellIs" dxfId="676" priority="677" operator="equal">
      <formula>"V"</formula>
    </cfRule>
    <cfRule type="cellIs" dxfId="675" priority="678" operator="equal">
      <formula>"Szo"</formula>
    </cfRule>
  </conditionalFormatting>
  <conditionalFormatting sqref="T124">
    <cfRule type="cellIs" dxfId="674" priority="674" operator="equal">
      <formula>"+"</formula>
    </cfRule>
    <cfRule type="cellIs" dxfId="673" priority="675" operator="equal">
      <formula>"szf"</formula>
    </cfRule>
  </conditionalFormatting>
  <conditionalFormatting sqref="T124">
    <cfRule type="cellIs" dxfId="672" priority="673" operator="equal">
      <formula>"+"</formula>
    </cfRule>
  </conditionalFormatting>
  <conditionalFormatting sqref="T124:T143">
    <cfRule type="cellIs" dxfId="671" priority="671" operator="equal">
      <formula>"+"</formula>
    </cfRule>
    <cfRule type="cellIs" dxfId="670" priority="672" operator="equal">
      <formula>"szf"</formula>
    </cfRule>
  </conditionalFormatting>
  <conditionalFormatting sqref="T124:T143">
    <cfRule type="cellIs" dxfId="669" priority="667" operator="equal">
      <formula>"V"</formula>
    </cfRule>
    <cfRule type="cellIs" dxfId="668" priority="668" operator="equal">
      <formula>"Szo"</formula>
    </cfRule>
    <cfRule type="cellIs" dxfId="667" priority="669" operator="equal">
      <formula>"X"</formula>
    </cfRule>
    <cfRule type="cellIs" dxfId="666" priority="670" operator="equal">
      <formula>"X"</formula>
    </cfRule>
  </conditionalFormatting>
  <conditionalFormatting sqref="T124:T143">
    <cfRule type="cellIs" dxfId="665" priority="664" operator="equal">
      <formula>"X"</formula>
    </cfRule>
    <cfRule type="cellIs" dxfId="664" priority="665" operator="equal">
      <formula>"V"</formula>
    </cfRule>
    <cfRule type="cellIs" dxfId="663" priority="666" operator="equal">
      <formula>"Szo"</formula>
    </cfRule>
  </conditionalFormatting>
  <conditionalFormatting sqref="U124">
    <cfRule type="cellIs" dxfId="662" priority="662" operator="equal">
      <formula>"+"</formula>
    </cfRule>
    <cfRule type="cellIs" dxfId="661" priority="663" operator="equal">
      <formula>"szf"</formula>
    </cfRule>
  </conditionalFormatting>
  <conditionalFormatting sqref="U124">
    <cfRule type="cellIs" dxfId="660" priority="661" operator="equal">
      <formula>"+"</formula>
    </cfRule>
  </conditionalFormatting>
  <conditionalFormatting sqref="U124:U143">
    <cfRule type="cellIs" dxfId="659" priority="659" operator="equal">
      <formula>"+"</formula>
    </cfRule>
    <cfRule type="cellIs" dxfId="658" priority="660" operator="equal">
      <formula>"szf"</formula>
    </cfRule>
  </conditionalFormatting>
  <conditionalFormatting sqref="U124:U143">
    <cfRule type="cellIs" dxfId="657" priority="655" operator="equal">
      <formula>"V"</formula>
    </cfRule>
    <cfRule type="cellIs" dxfId="656" priority="656" operator="equal">
      <formula>"Szo"</formula>
    </cfRule>
    <cfRule type="cellIs" dxfId="655" priority="657" operator="equal">
      <formula>"X"</formula>
    </cfRule>
    <cfRule type="cellIs" dxfId="654" priority="658" operator="equal">
      <formula>"X"</formula>
    </cfRule>
  </conditionalFormatting>
  <conditionalFormatting sqref="U124:U143">
    <cfRule type="cellIs" dxfId="653" priority="652" operator="equal">
      <formula>"X"</formula>
    </cfRule>
    <cfRule type="cellIs" dxfId="652" priority="653" operator="equal">
      <formula>"V"</formula>
    </cfRule>
    <cfRule type="cellIs" dxfId="651" priority="654" operator="equal">
      <formula>"Szo"</formula>
    </cfRule>
  </conditionalFormatting>
  <conditionalFormatting sqref="AA124">
    <cfRule type="cellIs" dxfId="650" priority="650" operator="equal">
      <formula>"+"</formula>
    </cfRule>
    <cfRule type="cellIs" dxfId="649" priority="651" operator="equal">
      <formula>"szf"</formula>
    </cfRule>
  </conditionalFormatting>
  <conditionalFormatting sqref="AA124">
    <cfRule type="cellIs" dxfId="648" priority="649" operator="equal">
      <formula>"+"</formula>
    </cfRule>
  </conditionalFormatting>
  <conditionalFormatting sqref="AA124:AA143">
    <cfRule type="cellIs" dxfId="647" priority="647" operator="equal">
      <formula>"+"</formula>
    </cfRule>
    <cfRule type="cellIs" dxfId="646" priority="648" operator="equal">
      <formula>"szf"</formula>
    </cfRule>
  </conditionalFormatting>
  <conditionalFormatting sqref="AA124:AA143">
    <cfRule type="cellIs" dxfId="645" priority="643" operator="equal">
      <formula>"V"</formula>
    </cfRule>
    <cfRule type="cellIs" dxfId="644" priority="644" operator="equal">
      <formula>"Szo"</formula>
    </cfRule>
    <cfRule type="cellIs" dxfId="643" priority="645" operator="equal">
      <formula>"X"</formula>
    </cfRule>
    <cfRule type="cellIs" dxfId="642" priority="646" operator="equal">
      <formula>"X"</formula>
    </cfRule>
  </conditionalFormatting>
  <conditionalFormatting sqref="AA124:AA143">
    <cfRule type="cellIs" dxfId="641" priority="640" operator="equal">
      <formula>"X"</formula>
    </cfRule>
    <cfRule type="cellIs" dxfId="640" priority="641" operator="equal">
      <formula>"V"</formula>
    </cfRule>
    <cfRule type="cellIs" dxfId="639" priority="642" operator="equal">
      <formula>"Szo"</formula>
    </cfRule>
  </conditionalFormatting>
  <conditionalFormatting sqref="AB124">
    <cfRule type="cellIs" dxfId="638" priority="638" operator="equal">
      <formula>"+"</formula>
    </cfRule>
    <cfRule type="cellIs" dxfId="637" priority="639" operator="equal">
      <formula>"szf"</formula>
    </cfRule>
  </conditionalFormatting>
  <conditionalFormatting sqref="AB124">
    <cfRule type="cellIs" dxfId="636" priority="637" operator="equal">
      <formula>"+"</formula>
    </cfRule>
  </conditionalFormatting>
  <conditionalFormatting sqref="AB124:AB143">
    <cfRule type="cellIs" dxfId="635" priority="635" operator="equal">
      <formula>"+"</formula>
    </cfRule>
    <cfRule type="cellIs" dxfId="634" priority="636" operator="equal">
      <formula>"szf"</formula>
    </cfRule>
  </conditionalFormatting>
  <conditionalFormatting sqref="AB124:AB143">
    <cfRule type="cellIs" dxfId="633" priority="631" operator="equal">
      <formula>"V"</formula>
    </cfRule>
    <cfRule type="cellIs" dxfId="632" priority="632" operator="equal">
      <formula>"Szo"</formula>
    </cfRule>
    <cfRule type="cellIs" dxfId="631" priority="633" operator="equal">
      <formula>"X"</formula>
    </cfRule>
    <cfRule type="cellIs" dxfId="630" priority="634" operator="equal">
      <formula>"X"</formula>
    </cfRule>
  </conditionalFormatting>
  <conditionalFormatting sqref="AB124:AB143">
    <cfRule type="cellIs" dxfId="629" priority="628" operator="equal">
      <formula>"X"</formula>
    </cfRule>
    <cfRule type="cellIs" dxfId="628" priority="629" operator="equal">
      <formula>"V"</formula>
    </cfRule>
    <cfRule type="cellIs" dxfId="627" priority="630" operator="equal">
      <formula>"Szo"</formula>
    </cfRule>
  </conditionalFormatting>
  <conditionalFormatting sqref="D148">
    <cfRule type="cellIs" dxfId="626" priority="626" operator="equal">
      <formula>"+"</formula>
    </cfRule>
    <cfRule type="cellIs" dxfId="625" priority="627" operator="equal">
      <formula>"szf"</formula>
    </cfRule>
  </conditionalFormatting>
  <conditionalFormatting sqref="D148">
    <cfRule type="cellIs" dxfId="624" priority="625" operator="equal">
      <formula>"+"</formula>
    </cfRule>
  </conditionalFormatting>
  <conditionalFormatting sqref="D148:D167">
    <cfRule type="cellIs" dxfId="623" priority="623" operator="equal">
      <formula>"+"</formula>
    </cfRule>
    <cfRule type="cellIs" dxfId="622" priority="624" operator="equal">
      <formula>"szf"</formula>
    </cfRule>
  </conditionalFormatting>
  <conditionalFormatting sqref="D148:D167">
    <cfRule type="cellIs" dxfId="621" priority="619" operator="equal">
      <formula>"V"</formula>
    </cfRule>
    <cfRule type="cellIs" dxfId="620" priority="620" operator="equal">
      <formula>"Szo"</formula>
    </cfRule>
    <cfRule type="cellIs" dxfId="619" priority="621" operator="equal">
      <formula>"X"</formula>
    </cfRule>
    <cfRule type="cellIs" dxfId="618" priority="622" operator="equal">
      <formula>"X"</formula>
    </cfRule>
  </conditionalFormatting>
  <conditionalFormatting sqref="D148:D167">
    <cfRule type="cellIs" dxfId="617" priority="616" operator="equal">
      <formula>"X"</formula>
    </cfRule>
    <cfRule type="cellIs" dxfId="616" priority="617" operator="equal">
      <formula>"V"</formula>
    </cfRule>
    <cfRule type="cellIs" dxfId="615" priority="618" operator="equal">
      <formula>"Szo"</formula>
    </cfRule>
  </conditionalFormatting>
  <conditionalFormatting sqref="E148">
    <cfRule type="cellIs" dxfId="614" priority="614" operator="equal">
      <formula>"+"</formula>
    </cfRule>
    <cfRule type="cellIs" dxfId="613" priority="615" operator="equal">
      <formula>"szf"</formula>
    </cfRule>
  </conditionalFormatting>
  <conditionalFormatting sqref="E148">
    <cfRule type="cellIs" dxfId="612" priority="613" operator="equal">
      <formula>"+"</formula>
    </cfRule>
  </conditionalFormatting>
  <conditionalFormatting sqref="E148:E167">
    <cfRule type="cellIs" dxfId="611" priority="611" operator="equal">
      <formula>"+"</formula>
    </cfRule>
    <cfRule type="cellIs" dxfId="610" priority="612" operator="equal">
      <formula>"szf"</formula>
    </cfRule>
  </conditionalFormatting>
  <conditionalFormatting sqref="E148:E167">
    <cfRule type="cellIs" dxfId="609" priority="607" operator="equal">
      <formula>"V"</formula>
    </cfRule>
    <cfRule type="cellIs" dxfId="608" priority="608" operator="equal">
      <formula>"Szo"</formula>
    </cfRule>
    <cfRule type="cellIs" dxfId="607" priority="609" operator="equal">
      <formula>"X"</formula>
    </cfRule>
    <cfRule type="cellIs" dxfId="606" priority="610" operator="equal">
      <formula>"X"</formula>
    </cfRule>
  </conditionalFormatting>
  <conditionalFormatting sqref="E148:E167">
    <cfRule type="cellIs" dxfId="605" priority="604" operator="equal">
      <formula>"X"</formula>
    </cfRule>
    <cfRule type="cellIs" dxfId="604" priority="605" operator="equal">
      <formula>"V"</formula>
    </cfRule>
    <cfRule type="cellIs" dxfId="603" priority="606" operator="equal">
      <formula>"Szo"</formula>
    </cfRule>
  </conditionalFormatting>
  <conditionalFormatting sqref="K148">
    <cfRule type="cellIs" dxfId="602" priority="602" operator="equal">
      <formula>"+"</formula>
    </cfRule>
    <cfRule type="cellIs" dxfId="601" priority="603" operator="equal">
      <formula>"szf"</formula>
    </cfRule>
  </conditionalFormatting>
  <conditionalFormatting sqref="K148">
    <cfRule type="cellIs" dxfId="600" priority="601" operator="equal">
      <formula>"+"</formula>
    </cfRule>
  </conditionalFormatting>
  <conditionalFormatting sqref="K148:K167">
    <cfRule type="cellIs" dxfId="599" priority="599" operator="equal">
      <formula>"+"</formula>
    </cfRule>
    <cfRule type="cellIs" dxfId="598" priority="600" operator="equal">
      <formula>"szf"</formula>
    </cfRule>
  </conditionalFormatting>
  <conditionalFormatting sqref="K148:K167">
    <cfRule type="cellIs" dxfId="597" priority="595" operator="equal">
      <formula>"V"</formula>
    </cfRule>
    <cfRule type="cellIs" dxfId="596" priority="596" operator="equal">
      <formula>"Szo"</formula>
    </cfRule>
    <cfRule type="cellIs" dxfId="595" priority="597" operator="equal">
      <formula>"X"</formula>
    </cfRule>
    <cfRule type="cellIs" dxfId="594" priority="598" operator="equal">
      <formula>"X"</formula>
    </cfRule>
  </conditionalFormatting>
  <conditionalFormatting sqref="K148:K167">
    <cfRule type="cellIs" dxfId="593" priority="592" operator="equal">
      <formula>"X"</formula>
    </cfRule>
    <cfRule type="cellIs" dxfId="592" priority="593" operator="equal">
      <formula>"V"</formula>
    </cfRule>
    <cfRule type="cellIs" dxfId="591" priority="594" operator="equal">
      <formula>"Szo"</formula>
    </cfRule>
  </conditionalFormatting>
  <conditionalFormatting sqref="L148">
    <cfRule type="cellIs" dxfId="590" priority="590" operator="equal">
      <formula>"+"</formula>
    </cfRule>
    <cfRule type="cellIs" dxfId="589" priority="591" operator="equal">
      <formula>"szf"</formula>
    </cfRule>
  </conditionalFormatting>
  <conditionalFormatting sqref="L148">
    <cfRule type="cellIs" dxfId="588" priority="589" operator="equal">
      <formula>"+"</formula>
    </cfRule>
  </conditionalFormatting>
  <conditionalFormatting sqref="L148:L167">
    <cfRule type="cellIs" dxfId="587" priority="587" operator="equal">
      <formula>"+"</formula>
    </cfRule>
    <cfRule type="cellIs" dxfId="586" priority="588" operator="equal">
      <formula>"szf"</formula>
    </cfRule>
  </conditionalFormatting>
  <conditionalFormatting sqref="L148:L167">
    <cfRule type="cellIs" dxfId="585" priority="583" operator="equal">
      <formula>"V"</formula>
    </cfRule>
    <cfRule type="cellIs" dxfId="584" priority="584" operator="equal">
      <formula>"Szo"</formula>
    </cfRule>
    <cfRule type="cellIs" dxfId="583" priority="585" operator="equal">
      <formula>"X"</formula>
    </cfRule>
    <cfRule type="cellIs" dxfId="582" priority="586" operator="equal">
      <formula>"X"</formula>
    </cfRule>
  </conditionalFormatting>
  <conditionalFormatting sqref="L148:L167">
    <cfRule type="cellIs" dxfId="581" priority="580" operator="equal">
      <formula>"X"</formula>
    </cfRule>
    <cfRule type="cellIs" dxfId="580" priority="581" operator="equal">
      <formula>"V"</formula>
    </cfRule>
    <cfRule type="cellIs" dxfId="579" priority="582" operator="equal">
      <formula>"Szo"</formula>
    </cfRule>
  </conditionalFormatting>
  <conditionalFormatting sqref="R148">
    <cfRule type="cellIs" dxfId="578" priority="578" operator="equal">
      <formula>"+"</formula>
    </cfRule>
    <cfRule type="cellIs" dxfId="577" priority="579" operator="equal">
      <formula>"szf"</formula>
    </cfRule>
  </conditionalFormatting>
  <conditionalFormatting sqref="R148">
    <cfRule type="cellIs" dxfId="576" priority="577" operator="equal">
      <formula>"+"</formula>
    </cfRule>
  </conditionalFormatting>
  <conditionalFormatting sqref="R148:R167">
    <cfRule type="cellIs" dxfId="575" priority="575" operator="equal">
      <formula>"+"</formula>
    </cfRule>
    <cfRule type="cellIs" dxfId="574" priority="576" operator="equal">
      <formula>"szf"</formula>
    </cfRule>
  </conditionalFormatting>
  <conditionalFormatting sqref="R148:R167">
    <cfRule type="cellIs" dxfId="573" priority="571" operator="equal">
      <formula>"V"</formula>
    </cfRule>
    <cfRule type="cellIs" dxfId="572" priority="572" operator="equal">
      <formula>"Szo"</formula>
    </cfRule>
    <cfRule type="cellIs" dxfId="571" priority="573" operator="equal">
      <formula>"X"</formula>
    </cfRule>
    <cfRule type="cellIs" dxfId="570" priority="574" operator="equal">
      <formula>"X"</formula>
    </cfRule>
  </conditionalFormatting>
  <conditionalFormatting sqref="R148:R167">
    <cfRule type="cellIs" dxfId="569" priority="568" operator="equal">
      <formula>"X"</formula>
    </cfRule>
    <cfRule type="cellIs" dxfId="568" priority="569" operator="equal">
      <formula>"V"</formula>
    </cfRule>
    <cfRule type="cellIs" dxfId="567" priority="570" operator="equal">
      <formula>"Szo"</formula>
    </cfRule>
  </conditionalFormatting>
  <conditionalFormatting sqref="S148">
    <cfRule type="cellIs" dxfId="566" priority="566" operator="equal">
      <formula>"+"</formula>
    </cfRule>
    <cfRule type="cellIs" dxfId="565" priority="567" operator="equal">
      <formula>"szf"</formula>
    </cfRule>
  </conditionalFormatting>
  <conditionalFormatting sqref="S148">
    <cfRule type="cellIs" dxfId="564" priority="565" operator="equal">
      <formula>"+"</formula>
    </cfRule>
  </conditionalFormatting>
  <conditionalFormatting sqref="S148:S167">
    <cfRule type="cellIs" dxfId="563" priority="563" operator="equal">
      <formula>"+"</formula>
    </cfRule>
    <cfRule type="cellIs" dxfId="562" priority="564" operator="equal">
      <formula>"szf"</formula>
    </cfRule>
  </conditionalFormatting>
  <conditionalFormatting sqref="S148:S167">
    <cfRule type="cellIs" dxfId="561" priority="559" operator="equal">
      <formula>"V"</formula>
    </cfRule>
    <cfRule type="cellIs" dxfId="560" priority="560" operator="equal">
      <formula>"Szo"</formula>
    </cfRule>
    <cfRule type="cellIs" dxfId="559" priority="561" operator="equal">
      <formula>"X"</formula>
    </cfRule>
    <cfRule type="cellIs" dxfId="558" priority="562" operator="equal">
      <formula>"X"</formula>
    </cfRule>
  </conditionalFormatting>
  <conditionalFormatting sqref="S148:S167">
    <cfRule type="cellIs" dxfId="557" priority="556" operator="equal">
      <formula>"X"</formula>
    </cfRule>
    <cfRule type="cellIs" dxfId="556" priority="557" operator="equal">
      <formula>"V"</formula>
    </cfRule>
    <cfRule type="cellIs" dxfId="555" priority="558" operator="equal">
      <formula>"Szo"</formula>
    </cfRule>
  </conditionalFormatting>
  <conditionalFormatting sqref="Z148">
    <cfRule type="cellIs" dxfId="554" priority="554" operator="equal">
      <formula>"+"</formula>
    </cfRule>
    <cfRule type="cellIs" dxfId="553" priority="555" operator="equal">
      <formula>"szf"</formula>
    </cfRule>
  </conditionalFormatting>
  <conditionalFormatting sqref="Z148">
    <cfRule type="cellIs" dxfId="552" priority="553" operator="equal">
      <formula>"+"</formula>
    </cfRule>
  </conditionalFormatting>
  <conditionalFormatting sqref="Z148:Z167">
    <cfRule type="cellIs" dxfId="551" priority="551" operator="equal">
      <formula>"+"</formula>
    </cfRule>
    <cfRule type="cellIs" dxfId="550" priority="552" operator="equal">
      <formula>"szf"</formula>
    </cfRule>
  </conditionalFormatting>
  <conditionalFormatting sqref="Z148:Z167">
    <cfRule type="cellIs" dxfId="549" priority="547" operator="equal">
      <formula>"V"</formula>
    </cfRule>
    <cfRule type="cellIs" dxfId="548" priority="548" operator="equal">
      <formula>"Szo"</formula>
    </cfRule>
    <cfRule type="cellIs" dxfId="547" priority="549" operator="equal">
      <formula>"X"</formula>
    </cfRule>
    <cfRule type="cellIs" dxfId="546" priority="550" operator="equal">
      <formula>"X"</formula>
    </cfRule>
  </conditionalFormatting>
  <conditionalFormatting sqref="Z148:Z167">
    <cfRule type="cellIs" dxfId="545" priority="544" operator="equal">
      <formula>"X"</formula>
    </cfRule>
    <cfRule type="cellIs" dxfId="544" priority="545" operator="equal">
      <formula>"V"</formula>
    </cfRule>
    <cfRule type="cellIs" dxfId="543" priority="546" operator="equal">
      <formula>"Szo"</formula>
    </cfRule>
  </conditionalFormatting>
  <conditionalFormatting sqref="Y148">
    <cfRule type="cellIs" dxfId="542" priority="542" operator="equal">
      <formula>"+"</formula>
    </cfRule>
    <cfRule type="cellIs" dxfId="541" priority="543" operator="equal">
      <formula>"szf"</formula>
    </cfRule>
  </conditionalFormatting>
  <conditionalFormatting sqref="Y148">
    <cfRule type="cellIs" dxfId="540" priority="541" operator="equal">
      <formula>"+"</formula>
    </cfRule>
  </conditionalFormatting>
  <conditionalFormatting sqref="Y148:Y167">
    <cfRule type="cellIs" dxfId="539" priority="539" operator="equal">
      <formula>"+"</formula>
    </cfRule>
    <cfRule type="cellIs" dxfId="538" priority="540" operator="equal">
      <formula>"szf"</formula>
    </cfRule>
  </conditionalFormatting>
  <conditionalFormatting sqref="Y148:Y167">
    <cfRule type="cellIs" dxfId="537" priority="535" operator="equal">
      <formula>"V"</formula>
    </cfRule>
    <cfRule type="cellIs" dxfId="536" priority="536" operator="equal">
      <formula>"Szo"</formula>
    </cfRule>
    <cfRule type="cellIs" dxfId="535" priority="537" operator="equal">
      <formula>"X"</formula>
    </cfRule>
    <cfRule type="cellIs" dxfId="534" priority="538" operator="equal">
      <formula>"X"</formula>
    </cfRule>
  </conditionalFormatting>
  <conditionalFormatting sqref="Y148:Y167">
    <cfRule type="cellIs" dxfId="533" priority="532" operator="equal">
      <formula>"X"</formula>
    </cfRule>
    <cfRule type="cellIs" dxfId="532" priority="533" operator="equal">
      <formula>"V"</formula>
    </cfRule>
    <cfRule type="cellIs" dxfId="531" priority="534" operator="equal">
      <formula>"Szo"</formula>
    </cfRule>
  </conditionalFormatting>
  <conditionalFormatting sqref="AF148">
    <cfRule type="cellIs" dxfId="530" priority="530" operator="equal">
      <formula>"+"</formula>
    </cfRule>
    <cfRule type="cellIs" dxfId="529" priority="531" operator="equal">
      <formula>"szf"</formula>
    </cfRule>
  </conditionalFormatting>
  <conditionalFormatting sqref="AF148">
    <cfRule type="cellIs" dxfId="528" priority="529" operator="equal">
      <formula>"+"</formula>
    </cfRule>
  </conditionalFormatting>
  <conditionalFormatting sqref="AF148:AF167">
    <cfRule type="cellIs" dxfId="527" priority="527" operator="equal">
      <formula>"+"</formula>
    </cfRule>
    <cfRule type="cellIs" dxfId="526" priority="528" operator="equal">
      <formula>"szf"</formula>
    </cfRule>
  </conditionalFormatting>
  <conditionalFormatting sqref="AF148:AF167">
    <cfRule type="cellIs" dxfId="525" priority="523" operator="equal">
      <formula>"V"</formula>
    </cfRule>
    <cfRule type="cellIs" dxfId="524" priority="524" operator="equal">
      <formula>"Szo"</formula>
    </cfRule>
    <cfRule type="cellIs" dxfId="523" priority="525" operator="equal">
      <formula>"X"</formula>
    </cfRule>
    <cfRule type="cellIs" dxfId="522" priority="526" operator="equal">
      <formula>"X"</formula>
    </cfRule>
  </conditionalFormatting>
  <conditionalFormatting sqref="AF148:AF167">
    <cfRule type="cellIs" dxfId="521" priority="520" operator="equal">
      <formula>"X"</formula>
    </cfRule>
    <cfRule type="cellIs" dxfId="520" priority="521" operator="equal">
      <formula>"V"</formula>
    </cfRule>
    <cfRule type="cellIs" dxfId="519" priority="522" operator="equal">
      <formula>"Szo"</formula>
    </cfRule>
  </conditionalFormatting>
  <conditionalFormatting sqref="B172">
    <cfRule type="cellIs" dxfId="518" priority="518" operator="equal">
      <formula>"+"</formula>
    </cfRule>
    <cfRule type="cellIs" dxfId="517" priority="519" operator="equal">
      <formula>"szf"</formula>
    </cfRule>
  </conditionalFormatting>
  <conditionalFormatting sqref="B172">
    <cfRule type="cellIs" dxfId="516" priority="517" operator="equal">
      <formula>"+"</formula>
    </cfRule>
  </conditionalFormatting>
  <conditionalFormatting sqref="B172:B191">
    <cfRule type="cellIs" dxfId="515" priority="515" operator="equal">
      <formula>"+"</formula>
    </cfRule>
    <cfRule type="cellIs" dxfId="514" priority="516" operator="equal">
      <formula>"szf"</formula>
    </cfRule>
  </conditionalFormatting>
  <conditionalFormatting sqref="B172:B191">
    <cfRule type="cellIs" dxfId="513" priority="511" operator="equal">
      <formula>"V"</formula>
    </cfRule>
    <cfRule type="cellIs" dxfId="512" priority="512" operator="equal">
      <formula>"Szo"</formula>
    </cfRule>
    <cfRule type="cellIs" dxfId="511" priority="513" operator="equal">
      <formula>"X"</formula>
    </cfRule>
    <cfRule type="cellIs" dxfId="510" priority="514" operator="equal">
      <formula>"X"</formula>
    </cfRule>
  </conditionalFormatting>
  <conditionalFormatting sqref="B172:B191">
    <cfRule type="cellIs" dxfId="509" priority="508" operator="equal">
      <formula>"X"</formula>
    </cfRule>
    <cfRule type="cellIs" dxfId="508" priority="509" operator="equal">
      <formula>"V"</formula>
    </cfRule>
    <cfRule type="cellIs" dxfId="507" priority="510" operator="equal">
      <formula>"Szo"</formula>
    </cfRule>
  </conditionalFormatting>
  <conditionalFormatting sqref="H172">
    <cfRule type="cellIs" dxfId="506" priority="506" operator="equal">
      <formula>"+"</formula>
    </cfRule>
    <cfRule type="cellIs" dxfId="505" priority="507" operator="equal">
      <formula>"szf"</formula>
    </cfRule>
  </conditionalFormatting>
  <conditionalFormatting sqref="H172">
    <cfRule type="cellIs" dxfId="504" priority="505" operator="equal">
      <formula>"+"</formula>
    </cfRule>
  </conditionalFormatting>
  <conditionalFormatting sqref="H172:H191">
    <cfRule type="cellIs" dxfId="503" priority="503" operator="equal">
      <formula>"+"</formula>
    </cfRule>
    <cfRule type="cellIs" dxfId="502" priority="504" operator="equal">
      <formula>"szf"</formula>
    </cfRule>
  </conditionalFormatting>
  <conditionalFormatting sqref="H172:H191">
    <cfRule type="cellIs" dxfId="501" priority="499" operator="equal">
      <formula>"V"</formula>
    </cfRule>
    <cfRule type="cellIs" dxfId="500" priority="500" operator="equal">
      <formula>"Szo"</formula>
    </cfRule>
    <cfRule type="cellIs" dxfId="499" priority="501" operator="equal">
      <formula>"X"</formula>
    </cfRule>
    <cfRule type="cellIs" dxfId="498" priority="502" operator="equal">
      <formula>"X"</formula>
    </cfRule>
  </conditionalFormatting>
  <conditionalFormatting sqref="H172:H191">
    <cfRule type="cellIs" dxfId="497" priority="496" operator="equal">
      <formula>"X"</formula>
    </cfRule>
    <cfRule type="cellIs" dxfId="496" priority="497" operator="equal">
      <formula>"V"</formula>
    </cfRule>
    <cfRule type="cellIs" dxfId="495" priority="498" operator="equal">
      <formula>"Szo"</formula>
    </cfRule>
  </conditionalFormatting>
  <conditionalFormatting sqref="I172">
    <cfRule type="cellIs" dxfId="494" priority="494" operator="equal">
      <formula>"+"</formula>
    </cfRule>
    <cfRule type="cellIs" dxfId="493" priority="495" operator="equal">
      <formula>"szf"</formula>
    </cfRule>
  </conditionalFormatting>
  <conditionalFormatting sqref="I172">
    <cfRule type="cellIs" dxfId="492" priority="493" operator="equal">
      <formula>"+"</formula>
    </cfRule>
  </conditionalFormatting>
  <conditionalFormatting sqref="I172:I191">
    <cfRule type="cellIs" dxfId="491" priority="491" operator="equal">
      <formula>"+"</formula>
    </cfRule>
    <cfRule type="cellIs" dxfId="490" priority="492" operator="equal">
      <formula>"szf"</formula>
    </cfRule>
  </conditionalFormatting>
  <conditionalFormatting sqref="I172:I191">
    <cfRule type="cellIs" dxfId="489" priority="487" operator="equal">
      <formula>"V"</formula>
    </cfRule>
    <cfRule type="cellIs" dxfId="488" priority="488" operator="equal">
      <formula>"Szo"</formula>
    </cfRule>
    <cfRule type="cellIs" dxfId="487" priority="489" operator="equal">
      <formula>"X"</formula>
    </cfRule>
    <cfRule type="cellIs" dxfId="486" priority="490" operator="equal">
      <formula>"X"</formula>
    </cfRule>
  </conditionalFormatting>
  <conditionalFormatting sqref="I172:I191">
    <cfRule type="cellIs" dxfId="485" priority="484" operator="equal">
      <formula>"X"</formula>
    </cfRule>
    <cfRule type="cellIs" dxfId="484" priority="485" operator="equal">
      <formula>"V"</formula>
    </cfRule>
    <cfRule type="cellIs" dxfId="483" priority="486" operator="equal">
      <formula>"Szo"</formula>
    </cfRule>
  </conditionalFormatting>
  <conditionalFormatting sqref="O172">
    <cfRule type="cellIs" dxfId="482" priority="482" operator="equal">
      <formula>"+"</formula>
    </cfRule>
    <cfRule type="cellIs" dxfId="481" priority="483" operator="equal">
      <formula>"szf"</formula>
    </cfRule>
  </conditionalFormatting>
  <conditionalFormatting sqref="O172">
    <cfRule type="cellIs" dxfId="480" priority="481" operator="equal">
      <formula>"+"</formula>
    </cfRule>
  </conditionalFormatting>
  <conditionalFormatting sqref="O172:O191">
    <cfRule type="cellIs" dxfId="479" priority="479" operator="equal">
      <formula>"+"</formula>
    </cfRule>
    <cfRule type="cellIs" dxfId="478" priority="480" operator="equal">
      <formula>"szf"</formula>
    </cfRule>
  </conditionalFormatting>
  <conditionalFormatting sqref="O172:O191">
    <cfRule type="cellIs" dxfId="477" priority="475" operator="equal">
      <formula>"V"</formula>
    </cfRule>
    <cfRule type="cellIs" dxfId="476" priority="476" operator="equal">
      <formula>"Szo"</formula>
    </cfRule>
    <cfRule type="cellIs" dxfId="475" priority="477" operator="equal">
      <formula>"X"</formula>
    </cfRule>
    <cfRule type="cellIs" dxfId="474" priority="478" operator="equal">
      <formula>"X"</formula>
    </cfRule>
  </conditionalFormatting>
  <conditionalFormatting sqref="O172:O191">
    <cfRule type="cellIs" dxfId="473" priority="472" operator="equal">
      <formula>"X"</formula>
    </cfRule>
    <cfRule type="cellIs" dxfId="472" priority="473" operator="equal">
      <formula>"V"</formula>
    </cfRule>
    <cfRule type="cellIs" dxfId="471" priority="474" operator="equal">
      <formula>"Szo"</formula>
    </cfRule>
  </conditionalFormatting>
  <conditionalFormatting sqref="P172">
    <cfRule type="cellIs" dxfId="470" priority="470" operator="equal">
      <formula>"+"</formula>
    </cfRule>
    <cfRule type="cellIs" dxfId="469" priority="471" operator="equal">
      <formula>"szf"</formula>
    </cfRule>
  </conditionalFormatting>
  <conditionalFormatting sqref="P172">
    <cfRule type="cellIs" dxfId="468" priority="469" operator="equal">
      <formula>"+"</formula>
    </cfRule>
  </conditionalFormatting>
  <conditionalFormatting sqref="P172:P191">
    <cfRule type="cellIs" dxfId="467" priority="467" operator="equal">
      <formula>"+"</formula>
    </cfRule>
    <cfRule type="cellIs" dxfId="466" priority="468" operator="equal">
      <formula>"szf"</formula>
    </cfRule>
  </conditionalFormatting>
  <conditionalFormatting sqref="P172:P191">
    <cfRule type="cellIs" dxfId="465" priority="463" operator="equal">
      <formula>"V"</formula>
    </cfRule>
    <cfRule type="cellIs" dxfId="464" priority="464" operator="equal">
      <formula>"Szo"</formula>
    </cfRule>
    <cfRule type="cellIs" dxfId="463" priority="465" operator="equal">
      <formula>"X"</formula>
    </cfRule>
    <cfRule type="cellIs" dxfId="462" priority="466" operator="equal">
      <formula>"X"</formula>
    </cfRule>
  </conditionalFormatting>
  <conditionalFormatting sqref="P172:P191">
    <cfRule type="cellIs" dxfId="461" priority="460" operator="equal">
      <formula>"X"</formula>
    </cfRule>
    <cfRule type="cellIs" dxfId="460" priority="461" operator="equal">
      <formula>"V"</formula>
    </cfRule>
    <cfRule type="cellIs" dxfId="459" priority="462" operator="equal">
      <formula>"Szo"</formula>
    </cfRule>
  </conditionalFormatting>
  <conditionalFormatting sqref="V172">
    <cfRule type="cellIs" dxfId="458" priority="458" operator="equal">
      <formula>"+"</formula>
    </cfRule>
    <cfRule type="cellIs" dxfId="457" priority="459" operator="equal">
      <formula>"szf"</formula>
    </cfRule>
  </conditionalFormatting>
  <conditionalFormatting sqref="V172">
    <cfRule type="cellIs" dxfId="456" priority="457" operator="equal">
      <formula>"+"</formula>
    </cfRule>
  </conditionalFormatting>
  <conditionalFormatting sqref="V172:V191">
    <cfRule type="cellIs" dxfId="455" priority="455" operator="equal">
      <formula>"+"</formula>
    </cfRule>
    <cfRule type="cellIs" dxfId="454" priority="456" operator="equal">
      <formula>"szf"</formula>
    </cfRule>
  </conditionalFormatting>
  <conditionalFormatting sqref="V172:V191">
    <cfRule type="cellIs" dxfId="453" priority="451" operator="equal">
      <formula>"V"</formula>
    </cfRule>
    <cfRule type="cellIs" dxfId="452" priority="452" operator="equal">
      <formula>"Szo"</formula>
    </cfRule>
    <cfRule type="cellIs" dxfId="451" priority="453" operator="equal">
      <formula>"X"</formula>
    </cfRule>
    <cfRule type="cellIs" dxfId="450" priority="454" operator="equal">
      <formula>"X"</formula>
    </cfRule>
  </conditionalFormatting>
  <conditionalFormatting sqref="V172:V191">
    <cfRule type="cellIs" dxfId="449" priority="448" operator="equal">
      <formula>"X"</formula>
    </cfRule>
    <cfRule type="cellIs" dxfId="448" priority="449" operator="equal">
      <formula>"V"</formula>
    </cfRule>
    <cfRule type="cellIs" dxfId="447" priority="450" operator="equal">
      <formula>"Szo"</formula>
    </cfRule>
  </conditionalFormatting>
  <conditionalFormatting sqref="W172">
    <cfRule type="cellIs" dxfId="446" priority="446" operator="equal">
      <formula>"+"</formula>
    </cfRule>
    <cfRule type="cellIs" dxfId="445" priority="447" operator="equal">
      <formula>"szf"</formula>
    </cfRule>
  </conditionalFormatting>
  <conditionalFormatting sqref="W172">
    <cfRule type="cellIs" dxfId="444" priority="445" operator="equal">
      <formula>"+"</formula>
    </cfRule>
  </conditionalFormatting>
  <conditionalFormatting sqref="W172:W191">
    <cfRule type="cellIs" dxfId="443" priority="443" operator="equal">
      <formula>"+"</formula>
    </cfRule>
    <cfRule type="cellIs" dxfId="442" priority="444" operator="equal">
      <formula>"szf"</formula>
    </cfRule>
  </conditionalFormatting>
  <conditionalFormatting sqref="W172:W191">
    <cfRule type="cellIs" dxfId="441" priority="439" operator="equal">
      <formula>"V"</formula>
    </cfRule>
    <cfRule type="cellIs" dxfId="440" priority="440" operator="equal">
      <formula>"Szo"</formula>
    </cfRule>
    <cfRule type="cellIs" dxfId="439" priority="441" operator="equal">
      <formula>"X"</formula>
    </cfRule>
    <cfRule type="cellIs" dxfId="438" priority="442" operator="equal">
      <formula>"X"</formula>
    </cfRule>
  </conditionalFormatting>
  <conditionalFormatting sqref="W172:W191">
    <cfRule type="cellIs" dxfId="437" priority="436" operator="equal">
      <formula>"X"</formula>
    </cfRule>
    <cfRule type="cellIs" dxfId="436" priority="437" operator="equal">
      <formula>"V"</formula>
    </cfRule>
    <cfRule type="cellIs" dxfId="435" priority="438" operator="equal">
      <formula>"Szo"</formula>
    </cfRule>
  </conditionalFormatting>
  <conditionalFormatting sqref="AC172">
    <cfRule type="cellIs" dxfId="434" priority="434" operator="equal">
      <formula>"+"</formula>
    </cfRule>
    <cfRule type="cellIs" dxfId="433" priority="435" operator="equal">
      <formula>"szf"</formula>
    </cfRule>
  </conditionalFormatting>
  <conditionalFormatting sqref="AC172">
    <cfRule type="cellIs" dxfId="432" priority="433" operator="equal">
      <formula>"+"</formula>
    </cfRule>
  </conditionalFormatting>
  <conditionalFormatting sqref="AC172:AC191">
    <cfRule type="cellIs" dxfId="431" priority="431" operator="equal">
      <formula>"+"</formula>
    </cfRule>
    <cfRule type="cellIs" dxfId="430" priority="432" operator="equal">
      <formula>"szf"</formula>
    </cfRule>
  </conditionalFormatting>
  <conditionalFormatting sqref="AC172:AC191">
    <cfRule type="cellIs" dxfId="429" priority="427" operator="equal">
      <formula>"V"</formula>
    </cfRule>
    <cfRule type="cellIs" dxfId="428" priority="428" operator="equal">
      <formula>"Szo"</formula>
    </cfRule>
    <cfRule type="cellIs" dxfId="427" priority="429" operator="equal">
      <formula>"X"</formula>
    </cfRule>
    <cfRule type="cellIs" dxfId="426" priority="430" operator="equal">
      <formula>"X"</formula>
    </cfRule>
  </conditionalFormatting>
  <conditionalFormatting sqref="AC172:AC191">
    <cfRule type="cellIs" dxfId="425" priority="424" operator="equal">
      <formula>"X"</formula>
    </cfRule>
    <cfRule type="cellIs" dxfId="424" priority="425" operator="equal">
      <formula>"V"</formula>
    </cfRule>
    <cfRule type="cellIs" dxfId="423" priority="426" operator="equal">
      <formula>"Szo"</formula>
    </cfRule>
  </conditionalFormatting>
  <conditionalFormatting sqref="AD172">
    <cfRule type="cellIs" dxfId="422" priority="422" operator="equal">
      <formula>"+"</formula>
    </cfRule>
    <cfRule type="cellIs" dxfId="421" priority="423" operator="equal">
      <formula>"szf"</formula>
    </cfRule>
  </conditionalFormatting>
  <conditionalFormatting sqref="AD172">
    <cfRule type="cellIs" dxfId="420" priority="421" operator="equal">
      <formula>"+"</formula>
    </cfRule>
  </conditionalFormatting>
  <conditionalFormatting sqref="AD172:AD191">
    <cfRule type="cellIs" dxfId="419" priority="419" operator="equal">
      <formula>"+"</formula>
    </cfRule>
    <cfRule type="cellIs" dxfId="418" priority="420" operator="equal">
      <formula>"szf"</formula>
    </cfRule>
  </conditionalFormatting>
  <conditionalFormatting sqref="AD172:AD191">
    <cfRule type="cellIs" dxfId="417" priority="415" operator="equal">
      <formula>"V"</formula>
    </cfRule>
    <cfRule type="cellIs" dxfId="416" priority="416" operator="equal">
      <formula>"Szo"</formula>
    </cfRule>
    <cfRule type="cellIs" dxfId="415" priority="417" operator="equal">
      <formula>"X"</formula>
    </cfRule>
    <cfRule type="cellIs" dxfId="414" priority="418" operator="equal">
      <formula>"X"</formula>
    </cfRule>
  </conditionalFormatting>
  <conditionalFormatting sqref="AD172:AD191">
    <cfRule type="cellIs" dxfId="413" priority="412" operator="equal">
      <formula>"X"</formula>
    </cfRule>
    <cfRule type="cellIs" dxfId="412" priority="413" operator="equal">
      <formula>"V"</formula>
    </cfRule>
    <cfRule type="cellIs" dxfId="411" priority="414" operator="equal">
      <formula>"Szo"</formula>
    </cfRule>
  </conditionalFormatting>
  <conditionalFormatting sqref="E196">
    <cfRule type="cellIs" dxfId="410" priority="410" operator="equal">
      <formula>"+"</formula>
    </cfRule>
    <cfRule type="cellIs" dxfId="409" priority="411" operator="equal">
      <formula>"szf"</formula>
    </cfRule>
  </conditionalFormatting>
  <conditionalFormatting sqref="E196">
    <cfRule type="cellIs" dxfId="408" priority="409" operator="equal">
      <formula>"+"</formula>
    </cfRule>
  </conditionalFormatting>
  <conditionalFormatting sqref="E196:E215">
    <cfRule type="cellIs" dxfId="407" priority="407" operator="equal">
      <formula>"+"</formula>
    </cfRule>
    <cfRule type="cellIs" dxfId="406" priority="408" operator="equal">
      <formula>"szf"</formula>
    </cfRule>
  </conditionalFormatting>
  <conditionalFormatting sqref="E196:E215">
    <cfRule type="cellIs" dxfId="405" priority="403" operator="equal">
      <formula>"V"</formula>
    </cfRule>
    <cfRule type="cellIs" dxfId="404" priority="404" operator="equal">
      <formula>"Szo"</formula>
    </cfRule>
    <cfRule type="cellIs" dxfId="403" priority="405" operator="equal">
      <formula>"X"</formula>
    </cfRule>
    <cfRule type="cellIs" dxfId="402" priority="406" operator="equal">
      <formula>"X"</formula>
    </cfRule>
  </conditionalFormatting>
  <conditionalFormatting sqref="E196:E215">
    <cfRule type="cellIs" dxfId="401" priority="400" operator="equal">
      <formula>"X"</formula>
    </cfRule>
    <cfRule type="cellIs" dxfId="400" priority="401" operator="equal">
      <formula>"V"</formula>
    </cfRule>
    <cfRule type="cellIs" dxfId="399" priority="402" operator="equal">
      <formula>"Szo"</formula>
    </cfRule>
  </conditionalFormatting>
  <conditionalFormatting sqref="F196">
    <cfRule type="cellIs" dxfId="398" priority="398" operator="equal">
      <formula>"+"</formula>
    </cfRule>
    <cfRule type="cellIs" dxfId="397" priority="399" operator="equal">
      <formula>"szf"</formula>
    </cfRule>
  </conditionalFormatting>
  <conditionalFormatting sqref="F196">
    <cfRule type="cellIs" dxfId="396" priority="397" operator="equal">
      <formula>"+"</formula>
    </cfRule>
  </conditionalFormatting>
  <conditionalFormatting sqref="F196:F215">
    <cfRule type="cellIs" dxfId="395" priority="395" operator="equal">
      <formula>"+"</formula>
    </cfRule>
    <cfRule type="cellIs" dxfId="394" priority="396" operator="equal">
      <formula>"szf"</formula>
    </cfRule>
  </conditionalFormatting>
  <conditionalFormatting sqref="F196:F215">
    <cfRule type="cellIs" dxfId="393" priority="391" operator="equal">
      <formula>"V"</formula>
    </cfRule>
    <cfRule type="cellIs" dxfId="392" priority="392" operator="equal">
      <formula>"Szo"</formula>
    </cfRule>
    <cfRule type="cellIs" dxfId="391" priority="393" operator="equal">
      <formula>"X"</formula>
    </cfRule>
    <cfRule type="cellIs" dxfId="390" priority="394" operator="equal">
      <formula>"X"</formula>
    </cfRule>
  </conditionalFormatting>
  <conditionalFormatting sqref="F196:F215">
    <cfRule type="cellIs" dxfId="389" priority="388" operator="equal">
      <formula>"X"</formula>
    </cfRule>
    <cfRule type="cellIs" dxfId="388" priority="389" operator="equal">
      <formula>"V"</formula>
    </cfRule>
    <cfRule type="cellIs" dxfId="387" priority="390" operator="equal">
      <formula>"Szo"</formula>
    </cfRule>
  </conditionalFormatting>
  <conditionalFormatting sqref="L196">
    <cfRule type="cellIs" dxfId="386" priority="386" operator="equal">
      <formula>"+"</formula>
    </cfRule>
    <cfRule type="cellIs" dxfId="385" priority="387" operator="equal">
      <formula>"szf"</formula>
    </cfRule>
  </conditionalFormatting>
  <conditionalFormatting sqref="L196">
    <cfRule type="cellIs" dxfId="384" priority="385" operator="equal">
      <formula>"+"</formula>
    </cfRule>
  </conditionalFormatting>
  <conditionalFormatting sqref="L196:L215">
    <cfRule type="cellIs" dxfId="383" priority="383" operator="equal">
      <formula>"+"</formula>
    </cfRule>
    <cfRule type="cellIs" dxfId="382" priority="384" operator="equal">
      <formula>"szf"</formula>
    </cfRule>
  </conditionalFormatting>
  <conditionalFormatting sqref="L196:L215">
    <cfRule type="cellIs" dxfId="381" priority="379" operator="equal">
      <formula>"V"</formula>
    </cfRule>
    <cfRule type="cellIs" dxfId="380" priority="380" operator="equal">
      <formula>"Szo"</formula>
    </cfRule>
    <cfRule type="cellIs" dxfId="379" priority="381" operator="equal">
      <formula>"X"</formula>
    </cfRule>
    <cfRule type="cellIs" dxfId="378" priority="382" operator="equal">
      <formula>"X"</formula>
    </cfRule>
  </conditionalFormatting>
  <conditionalFormatting sqref="L196:L215">
    <cfRule type="cellIs" dxfId="377" priority="376" operator="equal">
      <formula>"X"</formula>
    </cfRule>
    <cfRule type="cellIs" dxfId="376" priority="377" operator="equal">
      <formula>"V"</formula>
    </cfRule>
    <cfRule type="cellIs" dxfId="375" priority="378" operator="equal">
      <formula>"Szo"</formula>
    </cfRule>
  </conditionalFormatting>
  <conditionalFormatting sqref="M196">
    <cfRule type="cellIs" dxfId="374" priority="374" operator="equal">
      <formula>"+"</formula>
    </cfRule>
    <cfRule type="cellIs" dxfId="373" priority="375" operator="equal">
      <formula>"szf"</formula>
    </cfRule>
  </conditionalFormatting>
  <conditionalFormatting sqref="M196">
    <cfRule type="cellIs" dxfId="372" priority="373" operator="equal">
      <formula>"+"</formula>
    </cfRule>
  </conditionalFormatting>
  <conditionalFormatting sqref="M196:M215">
    <cfRule type="cellIs" dxfId="371" priority="371" operator="equal">
      <formula>"+"</formula>
    </cfRule>
    <cfRule type="cellIs" dxfId="370" priority="372" operator="equal">
      <formula>"szf"</formula>
    </cfRule>
  </conditionalFormatting>
  <conditionalFormatting sqref="M196:M215">
    <cfRule type="cellIs" dxfId="369" priority="367" operator="equal">
      <formula>"V"</formula>
    </cfRule>
    <cfRule type="cellIs" dxfId="368" priority="368" operator="equal">
      <formula>"Szo"</formula>
    </cfRule>
    <cfRule type="cellIs" dxfId="367" priority="369" operator="equal">
      <formula>"X"</formula>
    </cfRule>
    <cfRule type="cellIs" dxfId="366" priority="370" operator="equal">
      <formula>"X"</formula>
    </cfRule>
  </conditionalFormatting>
  <conditionalFormatting sqref="M196:M215">
    <cfRule type="cellIs" dxfId="365" priority="364" operator="equal">
      <formula>"X"</formula>
    </cfRule>
    <cfRule type="cellIs" dxfId="364" priority="365" operator="equal">
      <formula>"V"</formula>
    </cfRule>
    <cfRule type="cellIs" dxfId="363" priority="366" operator="equal">
      <formula>"Szo"</formula>
    </cfRule>
  </conditionalFormatting>
  <conditionalFormatting sqref="S196">
    <cfRule type="cellIs" dxfId="362" priority="362" operator="equal">
      <formula>"+"</formula>
    </cfRule>
    <cfRule type="cellIs" dxfId="361" priority="363" operator="equal">
      <formula>"szf"</formula>
    </cfRule>
  </conditionalFormatting>
  <conditionalFormatting sqref="S196">
    <cfRule type="cellIs" dxfId="360" priority="361" operator="equal">
      <formula>"+"</formula>
    </cfRule>
  </conditionalFormatting>
  <conditionalFormatting sqref="S196:S215">
    <cfRule type="cellIs" dxfId="359" priority="359" operator="equal">
      <formula>"+"</formula>
    </cfRule>
    <cfRule type="cellIs" dxfId="358" priority="360" operator="equal">
      <formula>"szf"</formula>
    </cfRule>
  </conditionalFormatting>
  <conditionalFormatting sqref="S196:S215">
    <cfRule type="cellIs" dxfId="357" priority="355" operator="equal">
      <formula>"V"</formula>
    </cfRule>
    <cfRule type="cellIs" dxfId="356" priority="356" operator="equal">
      <formula>"Szo"</formula>
    </cfRule>
    <cfRule type="cellIs" dxfId="355" priority="357" operator="equal">
      <formula>"X"</formula>
    </cfRule>
    <cfRule type="cellIs" dxfId="354" priority="358" operator="equal">
      <formula>"X"</formula>
    </cfRule>
  </conditionalFormatting>
  <conditionalFormatting sqref="S196:S215">
    <cfRule type="cellIs" dxfId="353" priority="352" operator="equal">
      <formula>"X"</formula>
    </cfRule>
    <cfRule type="cellIs" dxfId="352" priority="353" operator="equal">
      <formula>"V"</formula>
    </cfRule>
    <cfRule type="cellIs" dxfId="351" priority="354" operator="equal">
      <formula>"Szo"</formula>
    </cfRule>
  </conditionalFormatting>
  <conditionalFormatting sqref="T196">
    <cfRule type="cellIs" dxfId="350" priority="350" operator="equal">
      <formula>"+"</formula>
    </cfRule>
    <cfRule type="cellIs" dxfId="349" priority="351" operator="equal">
      <formula>"szf"</formula>
    </cfRule>
  </conditionalFormatting>
  <conditionalFormatting sqref="T196">
    <cfRule type="cellIs" dxfId="348" priority="349" operator="equal">
      <formula>"+"</formula>
    </cfRule>
  </conditionalFormatting>
  <conditionalFormatting sqref="T196:T215">
    <cfRule type="cellIs" dxfId="347" priority="347" operator="equal">
      <formula>"+"</formula>
    </cfRule>
    <cfRule type="cellIs" dxfId="346" priority="348" operator="equal">
      <formula>"szf"</formula>
    </cfRule>
  </conditionalFormatting>
  <conditionalFormatting sqref="T196:T215">
    <cfRule type="cellIs" dxfId="345" priority="343" operator="equal">
      <formula>"V"</formula>
    </cfRule>
    <cfRule type="cellIs" dxfId="344" priority="344" operator="equal">
      <formula>"Szo"</formula>
    </cfRule>
    <cfRule type="cellIs" dxfId="343" priority="345" operator="equal">
      <formula>"X"</formula>
    </cfRule>
    <cfRule type="cellIs" dxfId="342" priority="346" operator="equal">
      <formula>"X"</formula>
    </cfRule>
  </conditionalFormatting>
  <conditionalFormatting sqref="T196:T215">
    <cfRule type="cellIs" dxfId="341" priority="340" operator="equal">
      <formula>"X"</formula>
    </cfRule>
    <cfRule type="cellIs" dxfId="340" priority="341" operator="equal">
      <formula>"V"</formula>
    </cfRule>
    <cfRule type="cellIs" dxfId="339" priority="342" operator="equal">
      <formula>"Szo"</formula>
    </cfRule>
  </conditionalFormatting>
  <conditionalFormatting sqref="Z196">
    <cfRule type="cellIs" dxfId="338" priority="338" operator="equal">
      <formula>"+"</formula>
    </cfRule>
    <cfRule type="cellIs" dxfId="337" priority="339" operator="equal">
      <formula>"szf"</formula>
    </cfRule>
  </conditionalFormatting>
  <conditionalFormatting sqref="Z196">
    <cfRule type="cellIs" dxfId="336" priority="337" operator="equal">
      <formula>"+"</formula>
    </cfRule>
  </conditionalFormatting>
  <conditionalFormatting sqref="Z196:Z215">
    <cfRule type="cellIs" dxfId="335" priority="335" operator="equal">
      <formula>"+"</formula>
    </cfRule>
    <cfRule type="cellIs" dxfId="334" priority="336" operator="equal">
      <formula>"szf"</formula>
    </cfRule>
  </conditionalFormatting>
  <conditionalFormatting sqref="Z196:Z215">
    <cfRule type="cellIs" dxfId="333" priority="331" operator="equal">
      <formula>"V"</formula>
    </cfRule>
    <cfRule type="cellIs" dxfId="332" priority="332" operator="equal">
      <formula>"Szo"</formula>
    </cfRule>
    <cfRule type="cellIs" dxfId="331" priority="333" operator="equal">
      <formula>"X"</formula>
    </cfRule>
    <cfRule type="cellIs" dxfId="330" priority="334" operator="equal">
      <formula>"X"</formula>
    </cfRule>
  </conditionalFormatting>
  <conditionalFormatting sqref="Z196:Z215">
    <cfRule type="cellIs" dxfId="329" priority="328" operator="equal">
      <formula>"X"</formula>
    </cfRule>
    <cfRule type="cellIs" dxfId="328" priority="329" operator="equal">
      <formula>"V"</formula>
    </cfRule>
    <cfRule type="cellIs" dxfId="327" priority="330" operator="equal">
      <formula>"Szo"</formula>
    </cfRule>
  </conditionalFormatting>
  <conditionalFormatting sqref="AA196">
    <cfRule type="cellIs" dxfId="326" priority="326" operator="equal">
      <formula>"+"</formula>
    </cfRule>
    <cfRule type="cellIs" dxfId="325" priority="327" operator="equal">
      <formula>"szf"</formula>
    </cfRule>
  </conditionalFormatting>
  <conditionalFormatting sqref="AA196">
    <cfRule type="cellIs" dxfId="324" priority="325" operator="equal">
      <formula>"+"</formula>
    </cfRule>
  </conditionalFormatting>
  <conditionalFormatting sqref="AA196:AA215">
    <cfRule type="cellIs" dxfId="323" priority="323" operator="equal">
      <formula>"+"</formula>
    </cfRule>
    <cfRule type="cellIs" dxfId="322" priority="324" operator="equal">
      <formula>"szf"</formula>
    </cfRule>
  </conditionalFormatting>
  <conditionalFormatting sqref="AA196:AA215">
    <cfRule type="cellIs" dxfId="321" priority="319" operator="equal">
      <formula>"V"</formula>
    </cfRule>
    <cfRule type="cellIs" dxfId="320" priority="320" operator="equal">
      <formula>"Szo"</formula>
    </cfRule>
    <cfRule type="cellIs" dxfId="319" priority="321" operator="equal">
      <formula>"X"</formula>
    </cfRule>
    <cfRule type="cellIs" dxfId="318" priority="322" operator="equal">
      <formula>"X"</formula>
    </cfRule>
  </conditionalFormatting>
  <conditionalFormatting sqref="AA196:AA215">
    <cfRule type="cellIs" dxfId="317" priority="316" operator="equal">
      <formula>"X"</formula>
    </cfRule>
    <cfRule type="cellIs" dxfId="316" priority="317" operator="equal">
      <formula>"V"</formula>
    </cfRule>
    <cfRule type="cellIs" dxfId="315" priority="318" operator="equal">
      <formula>"Szo"</formula>
    </cfRule>
  </conditionalFormatting>
  <conditionalFormatting sqref="C220">
    <cfRule type="cellIs" dxfId="314" priority="314" operator="equal">
      <formula>"+"</formula>
    </cfRule>
    <cfRule type="cellIs" dxfId="313" priority="315" operator="equal">
      <formula>"szf"</formula>
    </cfRule>
  </conditionalFormatting>
  <conditionalFormatting sqref="C220">
    <cfRule type="cellIs" dxfId="312" priority="313" operator="equal">
      <formula>"+"</formula>
    </cfRule>
  </conditionalFormatting>
  <conditionalFormatting sqref="C220:C239">
    <cfRule type="cellIs" dxfId="311" priority="311" operator="equal">
      <formula>"+"</formula>
    </cfRule>
    <cfRule type="cellIs" dxfId="310" priority="312" operator="equal">
      <formula>"szf"</formula>
    </cfRule>
  </conditionalFormatting>
  <conditionalFormatting sqref="C220:C239">
    <cfRule type="cellIs" dxfId="309" priority="307" operator="equal">
      <formula>"V"</formula>
    </cfRule>
    <cfRule type="cellIs" dxfId="308" priority="308" operator="equal">
      <formula>"Szo"</formula>
    </cfRule>
    <cfRule type="cellIs" dxfId="307" priority="309" operator="equal">
      <formula>"X"</formula>
    </cfRule>
    <cfRule type="cellIs" dxfId="306" priority="310" operator="equal">
      <formula>"X"</formula>
    </cfRule>
  </conditionalFormatting>
  <conditionalFormatting sqref="C220:C239">
    <cfRule type="cellIs" dxfId="305" priority="304" operator="equal">
      <formula>"X"</formula>
    </cfRule>
    <cfRule type="cellIs" dxfId="304" priority="305" operator="equal">
      <formula>"V"</formula>
    </cfRule>
    <cfRule type="cellIs" dxfId="303" priority="306" operator="equal">
      <formula>"Szo"</formula>
    </cfRule>
  </conditionalFormatting>
  <conditionalFormatting sqref="D220">
    <cfRule type="cellIs" dxfId="302" priority="302" operator="equal">
      <formula>"+"</formula>
    </cfRule>
    <cfRule type="cellIs" dxfId="301" priority="303" operator="equal">
      <formula>"szf"</formula>
    </cfRule>
  </conditionalFormatting>
  <conditionalFormatting sqref="D220">
    <cfRule type="cellIs" dxfId="300" priority="301" operator="equal">
      <formula>"+"</formula>
    </cfRule>
  </conditionalFormatting>
  <conditionalFormatting sqref="D220:D239">
    <cfRule type="cellIs" dxfId="299" priority="299" operator="equal">
      <formula>"+"</formula>
    </cfRule>
    <cfRule type="cellIs" dxfId="298" priority="300" operator="equal">
      <formula>"szf"</formula>
    </cfRule>
  </conditionalFormatting>
  <conditionalFormatting sqref="D220:D239">
    <cfRule type="cellIs" dxfId="297" priority="295" operator="equal">
      <formula>"V"</formula>
    </cfRule>
    <cfRule type="cellIs" dxfId="296" priority="296" operator="equal">
      <formula>"Szo"</formula>
    </cfRule>
    <cfRule type="cellIs" dxfId="295" priority="297" operator="equal">
      <formula>"X"</formula>
    </cfRule>
    <cfRule type="cellIs" dxfId="294" priority="298" operator="equal">
      <formula>"X"</formula>
    </cfRule>
  </conditionalFormatting>
  <conditionalFormatting sqref="D220:D239">
    <cfRule type="cellIs" dxfId="293" priority="292" operator="equal">
      <formula>"X"</formula>
    </cfRule>
    <cfRule type="cellIs" dxfId="292" priority="293" operator="equal">
      <formula>"V"</formula>
    </cfRule>
    <cfRule type="cellIs" dxfId="291" priority="294" operator="equal">
      <formula>"Szo"</formula>
    </cfRule>
  </conditionalFormatting>
  <conditionalFormatting sqref="K220">
    <cfRule type="cellIs" dxfId="290" priority="290" operator="equal">
      <formula>"+"</formula>
    </cfRule>
    <cfRule type="cellIs" dxfId="289" priority="291" operator="equal">
      <formula>"szf"</formula>
    </cfRule>
  </conditionalFormatting>
  <conditionalFormatting sqref="K220">
    <cfRule type="cellIs" dxfId="288" priority="289" operator="equal">
      <formula>"+"</formula>
    </cfRule>
  </conditionalFormatting>
  <conditionalFormatting sqref="K220:K239">
    <cfRule type="cellIs" dxfId="287" priority="287" operator="equal">
      <formula>"+"</formula>
    </cfRule>
    <cfRule type="cellIs" dxfId="286" priority="288" operator="equal">
      <formula>"szf"</formula>
    </cfRule>
  </conditionalFormatting>
  <conditionalFormatting sqref="K220:K239">
    <cfRule type="cellIs" dxfId="285" priority="283" operator="equal">
      <formula>"V"</formula>
    </cfRule>
    <cfRule type="cellIs" dxfId="284" priority="284" operator="equal">
      <formula>"Szo"</formula>
    </cfRule>
    <cfRule type="cellIs" dxfId="283" priority="285" operator="equal">
      <formula>"X"</formula>
    </cfRule>
    <cfRule type="cellIs" dxfId="282" priority="286" operator="equal">
      <formula>"X"</formula>
    </cfRule>
  </conditionalFormatting>
  <conditionalFormatting sqref="K220:K239">
    <cfRule type="cellIs" dxfId="281" priority="280" operator="equal">
      <formula>"X"</formula>
    </cfRule>
    <cfRule type="cellIs" dxfId="280" priority="281" operator="equal">
      <formula>"V"</formula>
    </cfRule>
    <cfRule type="cellIs" dxfId="279" priority="282" operator="equal">
      <formula>"Szo"</formula>
    </cfRule>
  </conditionalFormatting>
  <conditionalFormatting sqref="J220">
    <cfRule type="cellIs" dxfId="278" priority="278" operator="equal">
      <formula>"+"</formula>
    </cfRule>
    <cfRule type="cellIs" dxfId="277" priority="279" operator="equal">
      <formula>"szf"</formula>
    </cfRule>
  </conditionalFormatting>
  <conditionalFormatting sqref="J220">
    <cfRule type="cellIs" dxfId="276" priority="277" operator="equal">
      <formula>"+"</formula>
    </cfRule>
  </conditionalFormatting>
  <conditionalFormatting sqref="J220:J239">
    <cfRule type="cellIs" dxfId="275" priority="275" operator="equal">
      <formula>"+"</formula>
    </cfRule>
    <cfRule type="cellIs" dxfId="274" priority="276" operator="equal">
      <formula>"szf"</formula>
    </cfRule>
  </conditionalFormatting>
  <conditionalFormatting sqref="J220:J239">
    <cfRule type="cellIs" dxfId="273" priority="271" operator="equal">
      <formula>"V"</formula>
    </cfRule>
    <cfRule type="cellIs" dxfId="272" priority="272" operator="equal">
      <formula>"Szo"</formula>
    </cfRule>
    <cfRule type="cellIs" dxfId="271" priority="273" operator="equal">
      <formula>"X"</formula>
    </cfRule>
    <cfRule type="cellIs" dxfId="270" priority="274" operator="equal">
      <formula>"X"</formula>
    </cfRule>
  </conditionalFormatting>
  <conditionalFormatting sqref="J220:J239">
    <cfRule type="cellIs" dxfId="269" priority="268" operator="equal">
      <formula>"X"</formula>
    </cfRule>
    <cfRule type="cellIs" dxfId="268" priority="269" operator="equal">
      <formula>"V"</formula>
    </cfRule>
    <cfRule type="cellIs" dxfId="267" priority="270" operator="equal">
      <formula>"Szo"</formula>
    </cfRule>
  </conditionalFormatting>
  <conditionalFormatting sqref="Q220">
    <cfRule type="cellIs" dxfId="266" priority="266" operator="equal">
      <formula>"+"</formula>
    </cfRule>
    <cfRule type="cellIs" dxfId="265" priority="267" operator="equal">
      <formula>"szf"</formula>
    </cfRule>
  </conditionalFormatting>
  <conditionalFormatting sqref="Q220">
    <cfRule type="cellIs" dxfId="264" priority="265" operator="equal">
      <formula>"+"</formula>
    </cfRule>
  </conditionalFormatting>
  <conditionalFormatting sqref="Q220:Q239">
    <cfRule type="cellIs" dxfId="263" priority="263" operator="equal">
      <formula>"+"</formula>
    </cfRule>
    <cfRule type="cellIs" dxfId="262" priority="264" operator="equal">
      <formula>"szf"</formula>
    </cfRule>
  </conditionalFormatting>
  <conditionalFormatting sqref="Q220:Q239">
    <cfRule type="cellIs" dxfId="261" priority="259" operator="equal">
      <formula>"V"</formula>
    </cfRule>
    <cfRule type="cellIs" dxfId="260" priority="260" operator="equal">
      <formula>"Szo"</formula>
    </cfRule>
    <cfRule type="cellIs" dxfId="259" priority="261" operator="equal">
      <formula>"X"</formula>
    </cfRule>
    <cfRule type="cellIs" dxfId="258" priority="262" operator="equal">
      <formula>"X"</formula>
    </cfRule>
  </conditionalFormatting>
  <conditionalFormatting sqref="Q220:Q239">
    <cfRule type="cellIs" dxfId="257" priority="256" operator="equal">
      <formula>"X"</formula>
    </cfRule>
    <cfRule type="cellIs" dxfId="256" priority="257" operator="equal">
      <formula>"V"</formula>
    </cfRule>
    <cfRule type="cellIs" dxfId="255" priority="258" operator="equal">
      <formula>"Szo"</formula>
    </cfRule>
  </conditionalFormatting>
  <conditionalFormatting sqref="R220">
    <cfRule type="cellIs" dxfId="254" priority="254" operator="equal">
      <formula>"+"</formula>
    </cfRule>
    <cfRule type="cellIs" dxfId="253" priority="255" operator="equal">
      <formula>"szf"</formula>
    </cfRule>
  </conditionalFormatting>
  <conditionalFormatting sqref="R220">
    <cfRule type="cellIs" dxfId="252" priority="253" operator="equal">
      <formula>"+"</formula>
    </cfRule>
  </conditionalFormatting>
  <conditionalFormatting sqref="R220:R239">
    <cfRule type="cellIs" dxfId="251" priority="251" operator="equal">
      <formula>"+"</formula>
    </cfRule>
    <cfRule type="cellIs" dxfId="250" priority="252" operator="equal">
      <formula>"szf"</formula>
    </cfRule>
  </conditionalFormatting>
  <conditionalFormatting sqref="R220:R239">
    <cfRule type="cellIs" dxfId="249" priority="247" operator="equal">
      <formula>"V"</formula>
    </cfRule>
    <cfRule type="cellIs" dxfId="248" priority="248" operator="equal">
      <formula>"Szo"</formula>
    </cfRule>
    <cfRule type="cellIs" dxfId="247" priority="249" operator="equal">
      <formula>"X"</formula>
    </cfRule>
    <cfRule type="cellIs" dxfId="246" priority="250" operator="equal">
      <formula>"X"</formula>
    </cfRule>
  </conditionalFormatting>
  <conditionalFormatting sqref="R220:R239">
    <cfRule type="cellIs" dxfId="245" priority="244" operator="equal">
      <formula>"X"</formula>
    </cfRule>
    <cfRule type="cellIs" dxfId="244" priority="245" operator="equal">
      <formula>"V"</formula>
    </cfRule>
    <cfRule type="cellIs" dxfId="243" priority="246" operator="equal">
      <formula>"Szo"</formula>
    </cfRule>
  </conditionalFormatting>
  <conditionalFormatting sqref="X220">
    <cfRule type="cellIs" dxfId="242" priority="242" operator="equal">
      <formula>"+"</formula>
    </cfRule>
    <cfRule type="cellIs" dxfId="241" priority="243" operator="equal">
      <formula>"szf"</formula>
    </cfRule>
  </conditionalFormatting>
  <conditionalFormatting sqref="X220">
    <cfRule type="cellIs" dxfId="240" priority="241" operator="equal">
      <formula>"+"</formula>
    </cfRule>
  </conditionalFormatting>
  <conditionalFormatting sqref="X220:X239">
    <cfRule type="cellIs" dxfId="239" priority="239" operator="equal">
      <formula>"+"</formula>
    </cfRule>
    <cfRule type="cellIs" dxfId="238" priority="240" operator="equal">
      <formula>"szf"</formula>
    </cfRule>
  </conditionalFormatting>
  <conditionalFormatting sqref="X220:X239">
    <cfRule type="cellIs" dxfId="237" priority="235" operator="equal">
      <formula>"V"</formula>
    </cfRule>
    <cfRule type="cellIs" dxfId="236" priority="236" operator="equal">
      <formula>"Szo"</formula>
    </cfRule>
    <cfRule type="cellIs" dxfId="235" priority="237" operator="equal">
      <formula>"X"</formula>
    </cfRule>
    <cfRule type="cellIs" dxfId="234" priority="238" operator="equal">
      <formula>"X"</formula>
    </cfRule>
  </conditionalFormatting>
  <conditionalFormatting sqref="X220:X239">
    <cfRule type="cellIs" dxfId="233" priority="232" operator="equal">
      <formula>"X"</formula>
    </cfRule>
    <cfRule type="cellIs" dxfId="232" priority="233" operator="equal">
      <formula>"V"</formula>
    </cfRule>
    <cfRule type="cellIs" dxfId="231" priority="234" operator="equal">
      <formula>"Szo"</formula>
    </cfRule>
  </conditionalFormatting>
  <conditionalFormatting sqref="Y220">
    <cfRule type="cellIs" dxfId="230" priority="230" operator="equal">
      <formula>"+"</formula>
    </cfRule>
    <cfRule type="cellIs" dxfId="229" priority="231" operator="equal">
      <formula>"szf"</formula>
    </cfRule>
  </conditionalFormatting>
  <conditionalFormatting sqref="Y220">
    <cfRule type="cellIs" dxfId="228" priority="229" operator="equal">
      <formula>"+"</formula>
    </cfRule>
  </conditionalFormatting>
  <conditionalFormatting sqref="Y220:Y239">
    <cfRule type="cellIs" dxfId="227" priority="227" operator="equal">
      <formula>"+"</formula>
    </cfRule>
    <cfRule type="cellIs" dxfId="226" priority="228" operator="equal">
      <formula>"szf"</formula>
    </cfRule>
  </conditionalFormatting>
  <conditionalFormatting sqref="Y220:Y239">
    <cfRule type="cellIs" dxfId="225" priority="223" operator="equal">
      <formula>"V"</formula>
    </cfRule>
    <cfRule type="cellIs" dxfId="224" priority="224" operator="equal">
      <formula>"Szo"</formula>
    </cfRule>
    <cfRule type="cellIs" dxfId="223" priority="225" operator="equal">
      <formula>"X"</formula>
    </cfRule>
    <cfRule type="cellIs" dxfId="222" priority="226" operator="equal">
      <formula>"X"</formula>
    </cfRule>
  </conditionalFormatting>
  <conditionalFormatting sqref="Y220:Y239">
    <cfRule type="cellIs" dxfId="221" priority="220" operator="equal">
      <formula>"X"</formula>
    </cfRule>
    <cfRule type="cellIs" dxfId="220" priority="221" operator="equal">
      <formula>"V"</formula>
    </cfRule>
    <cfRule type="cellIs" dxfId="219" priority="222" operator="equal">
      <formula>"Szo"</formula>
    </cfRule>
  </conditionalFormatting>
  <conditionalFormatting sqref="AE220">
    <cfRule type="cellIs" dxfId="218" priority="218" operator="equal">
      <formula>"+"</formula>
    </cfRule>
    <cfRule type="cellIs" dxfId="217" priority="219" operator="equal">
      <formula>"szf"</formula>
    </cfRule>
  </conditionalFormatting>
  <conditionalFormatting sqref="AE220">
    <cfRule type="cellIs" dxfId="216" priority="217" operator="equal">
      <formula>"+"</formula>
    </cfRule>
  </conditionalFormatting>
  <conditionalFormatting sqref="AE220:AE239">
    <cfRule type="cellIs" dxfId="215" priority="215" operator="equal">
      <formula>"+"</formula>
    </cfRule>
    <cfRule type="cellIs" dxfId="214" priority="216" operator="equal">
      <formula>"szf"</formula>
    </cfRule>
  </conditionalFormatting>
  <conditionalFormatting sqref="AE220:AE239">
    <cfRule type="cellIs" dxfId="213" priority="211" operator="equal">
      <formula>"V"</formula>
    </cfRule>
    <cfRule type="cellIs" dxfId="212" priority="212" operator="equal">
      <formula>"Szo"</formula>
    </cfRule>
    <cfRule type="cellIs" dxfId="211" priority="213" operator="equal">
      <formula>"X"</formula>
    </cfRule>
    <cfRule type="cellIs" dxfId="210" priority="214" operator="equal">
      <formula>"X"</formula>
    </cfRule>
  </conditionalFormatting>
  <conditionalFormatting sqref="AE220:AE239">
    <cfRule type="cellIs" dxfId="209" priority="208" operator="equal">
      <formula>"X"</formula>
    </cfRule>
    <cfRule type="cellIs" dxfId="208" priority="209" operator="equal">
      <formula>"V"</formula>
    </cfRule>
    <cfRule type="cellIs" dxfId="207" priority="210" operator="equal">
      <formula>"Szo"</formula>
    </cfRule>
  </conditionalFormatting>
  <conditionalFormatting sqref="AF220">
    <cfRule type="cellIs" dxfId="206" priority="206" operator="equal">
      <formula>"+"</formula>
    </cfRule>
    <cfRule type="cellIs" dxfId="205" priority="207" operator="equal">
      <formula>"szf"</formula>
    </cfRule>
  </conditionalFormatting>
  <conditionalFormatting sqref="AF220">
    <cfRule type="cellIs" dxfId="204" priority="205" operator="equal">
      <formula>"+"</formula>
    </cfRule>
  </conditionalFormatting>
  <conditionalFormatting sqref="AF220:AF239">
    <cfRule type="cellIs" dxfId="203" priority="203" operator="equal">
      <formula>"+"</formula>
    </cfRule>
    <cfRule type="cellIs" dxfId="202" priority="204" operator="equal">
      <formula>"szf"</formula>
    </cfRule>
  </conditionalFormatting>
  <conditionalFormatting sqref="AF220:AF239">
    <cfRule type="cellIs" dxfId="201" priority="199" operator="equal">
      <formula>"V"</formula>
    </cfRule>
    <cfRule type="cellIs" dxfId="200" priority="200" operator="equal">
      <formula>"Szo"</formula>
    </cfRule>
    <cfRule type="cellIs" dxfId="199" priority="201" operator="equal">
      <formula>"X"</formula>
    </cfRule>
    <cfRule type="cellIs" dxfId="198" priority="202" operator="equal">
      <formula>"X"</formula>
    </cfRule>
  </conditionalFormatting>
  <conditionalFormatting sqref="AF220:AF239">
    <cfRule type="cellIs" dxfId="197" priority="196" operator="equal">
      <formula>"X"</formula>
    </cfRule>
    <cfRule type="cellIs" dxfId="196" priority="197" operator="equal">
      <formula>"V"</formula>
    </cfRule>
    <cfRule type="cellIs" dxfId="195" priority="198" operator="equal">
      <formula>"Szo"</formula>
    </cfRule>
  </conditionalFormatting>
  <conditionalFormatting sqref="G244">
    <cfRule type="cellIs" dxfId="194" priority="194" operator="equal">
      <formula>"+"</formula>
    </cfRule>
    <cfRule type="cellIs" dxfId="193" priority="195" operator="equal">
      <formula>"szf"</formula>
    </cfRule>
  </conditionalFormatting>
  <conditionalFormatting sqref="G244">
    <cfRule type="cellIs" dxfId="192" priority="193" operator="equal">
      <formula>"+"</formula>
    </cfRule>
  </conditionalFormatting>
  <conditionalFormatting sqref="G244:G263">
    <cfRule type="cellIs" dxfId="191" priority="191" operator="equal">
      <formula>"+"</formula>
    </cfRule>
    <cfRule type="cellIs" dxfId="190" priority="192" operator="equal">
      <formula>"szf"</formula>
    </cfRule>
  </conditionalFormatting>
  <conditionalFormatting sqref="G244:G263">
    <cfRule type="cellIs" dxfId="189" priority="187" operator="equal">
      <formula>"V"</formula>
    </cfRule>
    <cfRule type="cellIs" dxfId="188" priority="188" operator="equal">
      <formula>"Szo"</formula>
    </cfRule>
    <cfRule type="cellIs" dxfId="187" priority="189" operator="equal">
      <formula>"X"</formula>
    </cfRule>
    <cfRule type="cellIs" dxfId="186" priority="190" operator="equal">
      <formula>"X"</formula>
    </cfRule>
  </conditionalFormatting>
  <conditionalFormatting sqref="G244:G263">
    <cfRule type="cellIs" dxfId="185" priority="184" operator="equal">
      <formula>"X"</formula>
    </cfRule>
    <cfRule type="cellIs" dxfId="184" priority="185" operator="equal">
      <formula>"V"</formula>
    </cfRule>
    <cfRule type="cellIs" dxfId="183" priority="186" operator="equal">
      <formula>"Szo"</formula>
    </cfRule>
  </conditionalFormatting>
  <conditionalFormatting sqref="H244">
    <cfRule type="cellIs" dxfId="182" priority="182" operator="equal">
      <formula>"+"</formula>
    </cfRule>
    <cfRule type="cellIs" dxfId="181" priority="183" operator="equal">
      <formula>"szf"</formula>
    </cfRule>
  </conditionalFormatting>
  <conditionalFormatting sqref="H244">
    <cfRule type="cellIs" dxfId="180" priority="181" operator="equal">
      <formula>"+"</formula>
    </cfRule>
  </conditionalFormatting>
  <conditionalFormatting sqref="H244:H263">
    <cfRule type="cellIs" dxfId="179" priority="179" operator="equal">
      <formula>"+"</formula>
    </cfRule>
    <cfRule type="cellIs" dxfId="178" priority="180" operator="equal">
      <formula>"szf"</formula>
    </cfRule>
  </conditionalFormatting>
  <conditionalFormatting sqref="H244:H263">
    <cfRule type="cellIs" dxfId="177" priority="175" operator="equal">
      <formula>"V"</formula>
    </cfRule>
    <cfRule type="cellIs" dxfId="176" priority="176" operator="equal">
      <formula>"Szo"</formula>
    </cfRule>
    <cfRule type="cellIs" dxfId="175" priority="177" operator="equal">
      <formula>"X"</formula>
    </cfRule>
    <cfRule type="cellIs" dxfId="174" priority="178" operator="equal">
      <formula>"X"</formula>
    </cfRule>
  </conditionalFormatting>
  <conditionalFormatting sqref="H244:H263">
    <cfRule type="cellIs" dxfId="173" priority="172" operator="equal">
      <formula>"X"</formula>
    </cfRule>
    <cfRule type="cellIs" dxfId="172" priority="173" operator="equal">
      <formula>"V"</formula>
    </cfRule>
    <cfRule type="cellIs" dxfId="171" priority="174" operator="equal">
      <formula>"Szo"</formula>
    </cfRule>
  </conditionalFormatting>
  <conditionalFormatting sqref="O244">
    <cfRule type="cellIs" dxfId="170" priority="170" operator="equal">
      <formula>"+"</formula>
    </cfRule>
    <cfRule type="cellIs" dxfId="169" priority="171" operator="equal">
      <formula>"szf"</formula>
    </cfRule>
  </conditionalFormatting>
  <conditionalFormatting sqref="O244">
    <cfRule type="cellIs" dxfId="168" priority="169" operator="equal">
      <formula>"+"</formula>
    </cfRule>
  </conditionalFormatting>
  <conditionalFormatting sqref="O244:O263">
    <cfRule type="cellIs" dxfId="167" priority="167" operator="equal">
      <formula>"+"</formula>
    </cfRule>
    <cfRule type="cellIs" dxfId="166" priority="168" operator="equal">
      <formula>"szf"</formula>
    </cfRule>
  </conditionalFormatting>
  <conditionalFormatting sqref="O244:O263">
    <cfRule type="cellIs" dxfId="165" priority="163" operator="equal">
      <formula>"V"</formula>
    </cfRule>
    <cfRule type="cellIs" dxfId="164" priority="164" operator="equal">
      <formula>"Szo"</formula>
    </cfRule>
    <cfRule type="cellIs" dxfId="163" priority="165" operator="equal">
      <formula>"X"</formula>
    </cfRule>
    <cfRule type="cellIs" dxfId="162" priority="166" operator="equal">
      <formula>"X"</formula>
    </cfRule>
  </conditionalFormatting>
  <conditionalFormatting sqref="O244:O263">
    <cfRule type="cellIs" dxfId="161" priority="160" operator="equal">
      <formula>"X"</formula>
    </cfRule>
    <cfRule type="cellIs" dxfId="160" priority="161" operator="equal">
      <formula>"V"</formula>
    </cfRule>
    <cfRule type="cellIs" dxfId="159" priority="162" operator="equal">
      <formula>"Szo"</formula>
    </cfRule>
  </conditionalFormatting>
  <conditionalFormatting sqref="N244">
    <cfRule type="cellIs" dxfId="158" priority="158" operator="equal">
      <formula>"+"</formula>
    </cfRule>
    <cfRule type="cellIs" dxfId="157" priority="159" operator="equal">
      <formula>"szf"</formula>
    </cfRule>
  </conditionalFormatting>
  <conditionalFormatting sqref="N244">
    <cfRule type="cellIs" dxfId="156" priority="157" operator="equal">
      <formula>"+"</formula>
    </cfRule>
  </conditionalFormatting>
  <conditionalFormatting sqref="N244:N263">
    <cfRule type="cellIs" dxfId="155" priority="155" operator="equal">
      <formula>"+"</formula>
    </cfRule>
    <cfRule type="cellIs" dxfId="154" priority="156" operator="equal">
      <formula>"szf"</formula>
    </cfRule>
  </conditionalFormatting>
  <conditionalFormatting sqref="N244:N263">
    <cfRule type="cellIs" dxfId="153" priority="151" operator="equal">
      <formula>"V"</formula>
    </cfRule>
    <cfRule type="cellIs" dxfId="152" priority="152" operator="equal">
      <formula>"Szo"</formula>
    </cfRule>
    <cfRule type="cellIs" dxfId="151" priority="153" operator="equal">
      <formula>"X"</formula>
    </cfRule>
    <cfRule type="cellIs" dxfId="150" priority="154" operator="equal">
      <formula>"X"</formula>
    </cfRule>
  </conditionalFormatting>
  <conditionalFormatting sqref="N244:N263">
    <cfRule type="cellIs" dxfId="149" priority="148" operator="equal">
      <formula>"X"</formula>
    </cfRule>
    <cfRule type="cellIs" dxfId="148" priority="149" operator="equal">
      <formula>"V"</formula>
    </cfRule>
    <cfRule type="cellIs" dxfId="147" priority="150" operator="equal">
      <formula>"Szo"</formula>
    </cfRule>
  </conditionalFormatting>
  <conditionalFormatting sqref="U244">
    <cfRule type="cellIs" dxfId="146" priority="146" operator="equal">
      <formula>"+"</formula>
    </cfRule>
    <cfRule type="cellIs" dxfId="145" priority="147" operator="equal">
      <formula>"szf"</formula>
    </cfRule>
  </conditionalFormatting>
  <conditionalFormatting sqref="U244">
    <cfRule type="cellIs" dxfId="144" priority="145" operator="equal">
      <formula>"+"</formula>
    </cfRule>
  </conditionalFormatting>
  <conditionalFormatting sqref="U244:U263">
    <cfRule type="cellIs" dxfId="143" priority="143" operator="equal">
      <formula>"+"</formula>
    </cfRule>
    <cfRule type="cellIs" dxfId="142" priority="144" operator="equal">
      <formula>"szf"</formula>
    </cfRule>
  </conditionalFormatting>
  <conditionalFormatting sqref="U244:U263">
    <cfRule type="cellIs" dxfId="141" priority="139" operator="equal">
      <formula>"V"</formula>
    </cfRule>
    <cfRule type="cellIs" dxfId="140" priority="140" operator="equal">
      <formula>"Szo"</formula>
    </cfRule>
    <cfRule type="cellIs" dxfId="139" priority="141" operator="equal">
      <formula>"X"</formula>
    </cfRule>
    <cfRule type="cellIs" dxfId="138" priority="142" operator="equal">
      <formula>"X"</formula>
    </cfRule>
  </conditionalFormatting>
  <conditionalFormatting sqref="U244:U263">
    <cfRule type="cellIs" dxfId="137" priority="136" operator="equal">
      <formula>"X"</formula>
    </cfRule>
    <cfRule type="cellIs" dxfId="136" priority="137" operator="equal">
      <formula>"V"</formula>
    </cfRule>
    <cfRule type="cellIs" dxfId="135" priority="138" operator="equal">
      <formula>"Szo"</formula>
    </cfRule>
  </conditionalFormatting>
  <conditionalFormatting sqref="V244">
    <cfRule type="cellIs" dxfId="134" priority="134" operator="equal">
      <formula>"+"</formula>
    </cfRule>
    <cfRule type="cellIs" dxfId="133" priority="135" operator="equal">
      <formula>"szf"</formula>
    </cfRule>
  </conditionalFormatting>
  <conditionalFormatting sqref="V244">
    <cfRule type="cellIs" dxfId="132" priority="133" operator="equal">
      <formula>"+"</formula>
    </cfRule>
  </conditionalFormatting>
  <conditionalFormatting sqref="V244:V263">
    <cfRule type="cellIs" dxfId="131" priority="131" operator="equal">
      <formula>"+"</formula>
    </cfRule>
    <cfRule type="cellIs" dxfId="130" priority="132" operator="equal">
      <formula>"szf"</formula>
    </cfRule>
  </conditionalFormatting>
  <conditionalFormatting sqref="V244:V263">
    <cfRule type="cellIs" dxfId="129" priority="127" operator="equal">
      <formula>"V"</formula>
    </cfRule>
    <cfRule type="cellIs" dxfId="128" priority="128" operator="equal">
      <formula>"Szo"</formula>
    </cfRule>
    <cfRule type="cellIs" dxfId="127" priority="129" operator="equal">
      <formula>"X"</formula>
    </cfRule>
    <cfRule type="cellIs" dxfId="126" priority="130" operator="equal">
      <formula>"X"</formula>
    </cfRule>
  </conditionalFormatting>
  <conditionalFormatting sqref="V244:V263">
    <cfRule type="cellIs" dxfId="125" priority="124" operator="equal">
      <formula>"X"</formula>
    </cfRule>
    <cfRule type="cellIs" dxfId="124" priority="125" operator="equal">
      <formula>"V"</formula>
    </cfRule>
    <cfRule type="cellIs" dxfId="123" priority="126" operator="equal">
      <formula>"Szo"</formula>
    </cfRule>
  </conditionalFormatting>
  <conditionalFormatting sqref="AB244">
    <cfRule type="cellIs" dxfId="122" priority="122" operator="equal">
      <formula>"+"</formula>
    </cfRule>
    <cfRule type="cellIs" dxfId="121" priority="123" operator="equal">
      <formula>"szf"</formula>
    </cfRule>
  </conditionalFormatting>
  <conditionalFormatting sqref="AB244">
    <cfRule type="cellIs" dxfId="120" priority="121" operator="equal">
      <formula>"+"</formula>
    </cfRule>
  </conditionalFormatting>
  <conditionalFormatting sqref="AB244:AB263">
    <cfRule type="cellIs" dxfId="119" priority="119" operator="equal">
      <formula>"+"</formula>
    </cfRule>
    <cfRule type="cellIs" dxfId="118" priority="120" operator="equal">
      <formula>"szf"</formula>
    </cfRule>
  </conditionalFormatting>
  <conditionalFormatting sqref="AB244:AB263">
    <cfRule type="cellIs" dxfId="117" priority="115" operator="equal">
      <formula>"V"</formula>
    </cfRule>
    <cfRule type="cellIs" dxfId="116" priority="116" operator="equal">
      <formula>"Szo"</formula>
    </cfRule>
    <cfRule type="cellIs" dxfId="115" priority="117" operator="equal">
      <formula>"X"</formula>
    </cfRule>
    <cfRule type="cellIs" dxfId="114" priority="118" operator="equal">
      <formula>"X"</formula>
    </cfRule>
  </conditionalFormatting>
  <conditionalFormatting sqref="AB244:AB263">
    <cfRule type="cellIs" dxfId="113" priority="112" operator="equal">
      <formula>"X"</formula>
    </cfRule>
    <cfRule type="cellIs" dxfId="112" priority="113" operator="equal">
      <formula>"V"</formula>
    </cfRule>
    <cfRule type="cellIs" dxfId="111" priority="114" operator="equal">
      <formula>"Szo"</formula>
    </cfRule>
  </conditionalFormatting>
  <conditionalFormatting sqref="AC244">
    <cfRule type="cellIs" dxfId="110" priority="110" operator="equal">
      <formula>"+"</formula>
    </cfRule>
    <cfRule type="cellIs" dxfId="109" priority="111" operator="equal">
      <formula>"szf"</formula>
    </cfRule>
  </conditionalFormatting>
  <conditionalFormatting sqref="AC244">
    <cfRule type="cellIs" dxfId="108" priority="109" operator="equal">
      <formula>"+"</formula>
    </cfRule>
  </conditionalFormatting>
  <conditionalFormatting sqref="AC244:AC263">
    <cfRule type="cellIs" dxfId="107" priority="107" operator="equal">
      <formula>"+"</formula>
    </cfRule>
    <cfRule type="cellIs" dxfId="106" priority="108" operator="equal">
      <formula>"szf"</formula>
    </cfRule>
  </conditionalFormatting>
  <conditionalFormatting sqref="AC244:AC263">
    <cfRule type="cellIs" dxfId="105" priority="103" operator="equal">
      <formula>"V"</formula>
    </cfRule>
    <cfRule type="cellIs" dxfId="104" priority="104" operator="equal">
      <formula>"Szo"</formula>
    </cfRule>
    <cfRule type="cellIs" dxfId="103" priority="105" operator="equal">
      <formula>"X"</formula>
    </cfRule>
    <cfRule type="cellIs" dxfId="102" priority="106" operator="equal">
      <formula>"X"</formula>
    </cfRule>
  </conditionalFormatting>
  <conditionalFormatting sqref="AC244:AC263">
    <cfRule type="cellIs" dxfId="101" priority="100" operator="equal">
      <formula>"X"</formula>
    </cfRule>
    <cfRule type="cellIs" dxfId="100" priority="101" operator="equal">
      <formula>"V"</formula>
    </cfRule>
    <cfRule type="cellIs" dxfId="99" priority="102" operator="equal">
      <formula>"Szo"</formula>
    </cfRule>
  </conditionalFormatting>
  <conditionalFormatting sqref="E268">
    <cfRule type="cellIs" dxfId="98" priority="98" operator="equal">
      <formula>"+"</formula>
    </cfRule>
    <cfRule type="cellIs" dxfId="97" priority="99" operator="equal">
      <formula>"szf"</formula>
    </cfRule>
  </conditionalFormatting>
  <conditionalFormatting sqref="E268">
    <cfRule type="cellIs" dxfId="96" priority="97" operator="equal">
      <formula>"+"</formula>
    </cfRule>
  </conditionalFormatting>
  <conditionalFormatting sqref="E268:E287">
    <cfRule type="cellIs" dxfId="95" priority="95" operator="equal">
      <formula>"+"</formula>
    </cfRule>
    <cfRule type="cellIs" dxfId="94" priority="96" operator="equal">
      <formula>"szf"</formula>
    </cfRule>
  </conditionalFormatting>
  <conditionalFormatting sqref="E268:E287">
    <cfRule type="cellIs" dxfId="93" priority="91" operator="equal">
      <formula>"V"</formula>
    </cfRule>
    <cfRule type="cellIs" dxfId="92" priority="92" operator="equal">
      <formula>"Szo"</formula>
    </cfRule>
    <cfRule type="cellIs" dxfId="91" priority="93" operator="equal">
      <formula>"X"</formula>
    </cfRule>
    <cfRule type="cellIs" dxfId="90" priority="94" operator="equal">
      <formula>"X"</formula>
    </cfRule>
  </conditionalFormatting>
  <conditionalFormatting sqref="E268:E287">
    <cfRule type="cellIs" dxfId="89" priority="88" operator="equal">
      <formula>"X"</formula>
    </cfRule>
    <cfRule type="cellIs" dxfId="88" priority="89" operator="equal">
      <formula>"V"</formula>
    </cfRule>
    <cfRule type="cellIs" dxfId="87" priority="90" operator="equal">
      <formula>"Szo"</formula>
    </cfRule>
  </conditionalFormatting>
  <conditionalFormatting sqref="F268">
    <cfRule type="cellIs" dxfId="86" priority="86" operator="equal">
      <formula>"+"</formula>
    </cfRule>
    <cfRule type="cellIs" dxfId="85" priority="87" operator="equal">
      <formula>"szf"</formula>
    </cfRule>
  </conditionalFormatting>
  <conditionalFormatting sqref="F268">
    <cfRule type="cellIs" dxfId="84" priority="85" operator="equal">
      <formula>"+"</formula>
    </cfRule>
  </conditionalFormatting>
  <conditionalFormatting sqref="F268:F287">
    <cfRule type="cellIs" dxfId="83" priority="83" operator="equal">
      <formula>"+"</formula>
    </cfRule>
    <cfRule type="cellIs" dxfId="82" priority="84" operator="equal">
      <formula>"szf"</formula>
    </cfRule>
  </conditionalFormatting>
  <conditionalFormatting sqref="F268:F287">
    <cfRule type="cellIs" dxfId="81" priority="79" operator="equal">
      <formula>"V"</formula>
    </cfRule>
    <cfRule type="cellIs" dxfId="80" priority="80" operator="equal">
      <formula>"Szo"</formula>
    </cfRule>
    <cfRule type="cellIs" dxfId="79" priority="81" operator="equal">
      <formula>"X"</formula>
    </cfRule>
    <cfRule type="cellIs" dxfId="78" priority="82" operator="equal">
      <formula>"X"</formula>
    </cfRule>
  </conditionalFormatting>
  <conditionalFormatting sqref="F268:F287">
    <cfRule type="cellIs" dxfId="77" priority="76" operator="equal">
      <formula>"X"</formula>
    </cfRule>
    <cfRule type="cellIs" dxfId="76" priority="77" operator="equal">
      <formula>"V"</formula>
    </cfRule>
    <cfRule type="cellIs" dxfId="75" priority="78" operator="equal">
      <formula>"Szo"</formula>
    </cfRule>
  </conditionalFormatting>
  <conditionalFormatting sqref="L268">
    <cfRule type="cellIs" dxfId="74" priority="74" operator="equal">
      <formula>"+"</formula>
    </cfRule>
    <cfRule type="cellIs" dxfId="73" priority="75" operator="equal">
      <formula>"szf"</formula>
    </cfRule>
  </conditionalFormatting>
  <conditionalFormatting sqref="L268">
    <cfRule type="cellIs" dxfId="72" priority="73" operator="equal">
      <formula>"+"</formula>
    </cfRule>
  </conditionalFormatting>
  <conditionalFormatting sqref="L268:L287">
    <cfRule type="cellIs" dxfId="71" priority="71" operator="equal">
      <formula>"+"</formula>
    </cfRule>
    <cfRule type="cellIs" dxfId="70" priority="72" operator="equal">
      <formula>"szf"</formula>
    </cfRule>
  </conditionalFormatting>
  <conditionalFormatting sqref="L268:L287">
    <cfRule type="cellIs" dxfId="69" priority="67" operator="equal">
      <formula>"V"</formula>
    </cfRule>
    <cfRule type="cellIs" dxfId="68" priority="68" operator="equal">
      <formula>"Szo"</formula>
    </cfRule>
    <cfRule type="cellIs" dxfId="67" priority="69" operator="equal">
      <formula>"X"</formula>
    </cfRule>
    <cfRule type="cellIs" dxfId="66" priority="70" operator="equal">
      <formula>"X"</formula>
    </cfRule>
  </conditionalFormatting>
  <conditionalFormatting sqref="L268:L287">
    <cfRule type="cellIs" dxfId="65" priority="64" operator="equal">
      <formula>"X"</formula>
    </cfRule>
    <cfRule type="cellIs" dxfId="64" priority="65" operator="equal">
      <formula>"V"</formula>
    </cfRule>
    <cfRule type="cellIs" dxfId="63" priority="66" operator="equal">
      <formula>"Szo"</formula>
    </cfRule>
  </conditionalFormatting>
  <conditionalFormatting sqref="M268">
    <cfRule type="cellIs" dxfId="62" priority="62" operator="equal">
      <formula>"+"</formula>
    </cfRule>
    <cfRule type="cellIs" dxfId="61" priority="63" operator="equal">
      <formula>"szf"</formula>
    </cfRule>
  </conditionalFormatting>
  <conditionalFormatting sqref="M268">
    <cfRule type="cellIs" dxfId="60" priority="61" operator="equal">
      <formula>"+"</formula>
    </cfRule>
  </conditionalFormatting>
  <conditionalFormatting sqref="M268:M287">
    <cfRule type="cellIs" dxfId="59" priority="59" operator="equal">
      <formula>"+"</formula>
    </cfRule>
    <cfRule type="cellIs" dxfId="58" priority="60" operator="equal">
      <formula>"szf"</formula>
    </cfRule>
  </conditionalFormatting>
  <conditionalFormatting sqref="M268:M287">
    <cfRule type="cellIs" dxfId="57" priority="55" operator="equal">
      <formula>"V"</formula>
    </cfRule>
    <cfRule type="cellIs" dxfId="56" priority="56" operator="equal">
      <formula>"Szo"</formula>
    </cfRule>
    <cfRule type="cellIs" dxfId="55" priority="57" operator="equal">
      <formula>"X"</formula>
    </cfRule>
    <cfRule type="cellIs" dxfId="54" priority="58" operator="equal">
      <formula>"X"</formula>
    </cfRule>
  </conditionalFormatting>
  <conditionalFormatting sqref="M268:M287">
    <cfRule type="cellIs" dxfId="53" priority="52" operator="equal">
      <formula>"X"</formula>
    </cfRule>
    <cfRule type="cellIs" dxfId="52" priority="53" operator="equal">
      <formula>"V"</formula>
    </cfRule>
    <cfRule type="cellIs" dxfId="51" priority="54" operator="equal">
      <formula>"Szo"</formula>
    </cfRule>
  </conditionalFormatting>
  <conditionalFormatting sqref="S268">
    <cfRule type="cellIs" dxfId="50" priority="50" operator="equal">
      <formula>"+"</formula>
    </cfRule>
    <cfRule type="cellIs" dxfId="49" priority="51" operator="equal">
      <formula>"szf"</formula>
    </cfRule>
  </conditionalFormatting>
  <conditionalFormatting sqref="S268">
    <cfRule type="cellIs" dxfId="48" priority="49" operator="equal">
      <formula>"+"</formula>
    </cfRule>
  </conditionalFormatting>
  <conditionalFormatting sqref="S268:S287">
    <cfRule type="cellIs" dxfId="47" priority="47" operator="equal">
      <formula>"+"</formula>
    </cfRule>
    <cfRule type="cellIs" dxfId="46" priority="48" operator="equal">
      <formula>"szf"</formula>
    </cfRule>
  </conditionalFormatting>
  <conditionalFormatting sqref="S268:S287">
    <cfRule type="cellIs" dxfId="45" priority="43" operator="equal">
      <formula>"V"</formula>
    </cfRule>
    <cfRule type="cellIs" dxfId="44" priority="44" operator="equal">
      <formula>"Szo"</formula>
    </cfRule>
    <cfRule type="cellIs" dxfId="43" priority="45" operator="equal">
      <formula>"X"</formula>
    </cfRule>
    <cfRule type="cellIs" dxfId="42" priority="46" operator="equal">
      <formula>"X"</formula>
    </cfRule>
  </conditionalFormatting>
  <conditionalFormatting sqref="S268:S287">
    <cfRule type="cellIs" dxfId="41" priority="40" operator="equal">
      <formula>"X"</formula>
    </cfRule>
    <cfRule type="cellIs" dxfId="40" priority="41" operator="equal">
      <formula>"V"</formula>
    </cfRule>
    <cfRule type="cellIs" dxfId="39" priority="42" operator="equal">
      <formula>"Szo"</formula>
    </cfRule>
  </conditionalFormatting>
  <conditionalFormatting sqref="T268">
    <cfRule type="cellIs" dxfId="38" priority="38" operator="equal">
      <formula>"+"</formula>
    </cfRule>
    <cfRule type="cellIs" dxfId="37" priority="39" operator="equal">
      <formula>"szf"</formula>
    </cfRule>
  </conditionalFormatting>
  <conditionalFormatting sqref="T268">
    <cfRule type="cellIs" dxfId="36" priority="37" operator="equal">
      <formula>"+"</formula>
    </cfRule>
  </conditionalFormatting>
  <conditionalFormatting sqref="T268:T287">
    <cfRule type="cellIs" dxfId="35" priority="35" operator="equal">
      <formula>"+"</formula>
    </cfRule>
    <cfRule type="cellIs" dxfId="34" priority="36" operator="equal">
      <formula>"szf"</formula>
    </cfRule>
  </conditionalFormatting>
  <conditionalFormatting sqref="T268:T287">
    <cfRule type="cellIs" dxfId="33" priority="31" operator="equal">
      <formula>"V"</formula>
    </cfRule>
    <cfRule type="cellIs" dxfId="32" priority="32" operator="equal">
      <formula>"Szo"</formula>
    </cfRule>
    <cfRule type="cellIs" dxfId="31" priority="33" operator="equal">
      <formula>"X"</formula>
    </cfRule>
    <cfRule type="cellIs" dxfId="30" priority="34" operator="equal">
      <formula>"X"</formula>
    </cfRule>
  </conditionalFormatting>
  <conditionalFormatting sqref="T268:T287">
    <cfRule type="cellIs" dxfId="29" priority="28" operator="equal">
      <formula>"X"</formula>
    </cfRule>
    <cfRule type="cellIs" dxfId="28" priority="29" operator="equal">
      <formula>"V"</formula>
    </cfRule>
    <cfRule type="cellIs" dxfId="27" priority="30" operator="equal">
      <formula>"Szo"</formula>
    </cfRule>
  </conditionalFormatting>
  <conditionalFormatting sqref="Z268">
    <cfRule type="cellIs" dxfId="26" priority="26" operator="equal">
      <formula>"+"</formula>
    </cfRule>
    <cfRule type="cellIs" dxfId="25" priority="27" operator="equal">
      <formula>"szf"</formula>
    </cfRule>
  </conditionalFormatting>
  <conditionalFormatting sqref="Z268">
    <cfRule type="cellIs" dxfId="24" priority="25" operator="equal">
      <formula>"+"</formula>
    </cfRule>
  </conditionalFormatting>
  <conditionalFormatting sqref="Z268:Z287">
    <cfRule type="cellIs" dxfId="23" priority="23" operator="equal">
      <formula>"+"</formula>
    </cfRule>
    <cfRule type="cellIs" dxfId="22" priority="24" operator="equal">
      <formula>"szf"</formula>
    </cfRule>
  </conditionalFormatting>
  <conditionalFormatting sqref="Z268:Z287">
    <cfRule type="cellIs" dxfId="21" priority="19" operator="equal">
      <formula>"V"</formula>
    </cfRule>
    <cfRule type="cellIs" dxfId="20" priority="20" operator="equal">
      <formula>"Szo"</formula>
    </cfRule>
    <cfRule type="cellIs" dxfId="19" priority="21" operator="equal">
      <formula>"X"</formula>
    </cfRule>
    <cfRule type="cellIs" dxfId="18" priority="22" operator="equal">
      <formula>"X"</formula>
    </cfRule>
  </conditionalFormatting>
  <conditionalFormatting sqref="Z268:Z287">
    <cfRule type="cellIs" dxfId="17" priority="16" operator="equal">
      <formula>"X"</formula>
    </cfRule>
    <cfRule type="cellIs" dxfId="16" priority="17" operator="equal">
      <formula>"V"</formula>
    </cfRule>
    <cfRule type="cellIs" dxfId="15" priority="18" operator="equal">
      <formula>"Szo"</formula>
    </cfRule>
  </conditionalFormatting>
  <conditionalFormatting sqref="AA268">
    <cfRule type="cellIs" dxfId="14" priority="14" operator="equal">
      <formula>"+"</formula>
    </cfRule>
    <cfRule type="cellIs" dxfId="13" priority="15" operator="equal">
      <formula>"szf"</formula>
    </cfRule>
  </conditionalFormatting>
  <conditionalFormatting sqref="AA268">
    <cfRule type="cellIs" dxfId="12" priority="13" operator="equal">
      <formula>"+"</formula>
    </cfRule>
  </conditionalFormatting>
  <conditionalFormatting sqref="AA268:AA287">
    <cfRule type="cellIs" dxfId="11" priority="11" operator="equal">
      <formula>"+"</formula>
    </cfRule>
    <cfRule type="cellIs" dxfId="10" priority="12" operator="equal">
      <formula>"szf"</formula>
    </cfRule>
  </conditionalFormatting>
  <conditionalFormatting sqref="AA268:AA287">
    <cfRule type="cellIs" dxfId="9" priority="7" operator="equal">
      <formula>"V"</formula>
    </cfRule>
    <cfRule type="cellIs" dxfId="8" priority="8" operator="equal">
      <formula>"Szo"</formula>
    </cfRule>
    <cfRule type="cellIs" dxfId="7" priority="9" operator="equal">
      <formula>"X"</formula>
    </cfRule>
    <cfRule type="cellIs" dxfId="6" priority="10" operator="equal">
      <formula>"X"</formula>
    </cfRule>
  </conditionalFormatting>
  <conditionalFormatting sqref="AA268:AA287">
    <cfRule type="cellIs" dxfId="5" priority="4" operator="equal">
      <formula>"X"</formula>
    </cfRule>
    <cfRule type="cellIs" dxfId="4" priority="5" operator="equal">
      <formula>"V"</formula>
    </cfRule>
    <cfRule type="cellIs" dxfId="3" priority="6" operator="equal">
      <formula>"Szo"</formula>
    </cfRule>
  </conditionalFormatting>
  <conditionalFormatting sqref="B1:AF1048576">
    <cfRule type="cellIs" dxfId="2" priority="3" operator="equal">
      <formula>"Fü"</formula>
    </cfRule>
  </conditionalFormatting>
  <conditionalFormatting sqref="B244:B263">
    <cfRule type="cellIs" dxfId="1" priority="1" operator="equal">
      <formula>"szf"</formula>
    </cfRule>
    <cfRule type="cellIs" dxfId="0" priority="2" operator="equal">
      <formula>"+"</formula>
    </cfRule>
  </conditionalFormatting>
  <printOptions horizontalCentered="1" verticalCentered="1"/>
  <pageMargins left="0.39370078740157483" right="0.39370078740157483" top="0.24" bottom="0.3" header="0.17" footer="0.3"/>
  <pageSetup paperSize="9" orientation="landscape" horizontalDpi="4294967292" r:id="rId1"/>
  <headerFooter alignWithMargins="0">
    <oddFooter>&amp;RCim: C:\besse\szab_szn\szabi.xls</oddFooter>
  </headerFooter>
  <rowBreaks count="11" manualBreakCount="11">
    <brk id="23" max="16383" man="1"/>
    <brk id="47" max="16383" man="1"/>
    <brk id="71" max="16383" man="1"/>
    <brk id="95" max="16383" man="1"/>
    <brk id="119" max="16383" man="1"/>
    <brk id="143" max="16383" man="1"/>
    <brk id="167" max="16383" man="1"/>
    <brk id="191" max="16383" man="1"/>
    <brk id="215" max="16383" man="1"/>
    <brk id="239" max="16383" man="1"/>
    <brk id="2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2021</vt:lpstr>
      <vt:lpstr>ÖSSZES</vt:lpstr>
      <vt:lpstr>A</vt:lpstr>
      <vt:lpstr>B</vt:lpstr>
      <vt:lpstr>C</vt:lpstr>
      <vt:lpstr>D</vt:lpstr>
      <vt:lpstr>N</vt:lpstr>
    </vt:vector>
  </TitlesOfParts>
  <Company>BIOGAL RT.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7385</dc:creator>
  <cp:lastModifiedBy>Gabor Gergo Daku</cp:lastModifiedBy>
  <cp:lastPrinted>2018-07-30T07:01:03Z</cp:lastPrinted>
  <dcterms:created xsi:type="dcterms:W3CDTF">2008-11-26T06:21:45Z</dcterms:created>
  <dcterms:modified xsi:type="dcterms:W3CDTF">2020-12-24T20:08:06Z</dcterms:modified>
</cp:coreProperties>
</file>